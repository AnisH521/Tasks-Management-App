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4240" windowHeight="12300"/>
  </bookViews>
  <sheets>
    <sheet name="MISSION  OPERATION" sheetId="1" r:id="rId1"/>
    <sheet name="UNUSUAL REPORT" sheetId="2" r:id="rId2"/>
    <sheet name="PUNCTUALITY OF SUBURBAN" sheetId="3" r:id="rId3"/>
    <sheet name="SEC WISE  SUB FROM TRAINS." sheetId="4" r:id="rId4"/>
    <sheet name="SLOT WISE  SUB" sheetId="5" r:id="rId5"/>
    <sheet name="PUNCTUALITY STATISTICS" sheetId="6" r:id="rId6"/>
    <sheet name="ASSET FAILURE" sheetId="7" r:id="rId7"/>
    <sheet name="ART-ARMV CRANE WB STATU" sheetId="8" r:id="rId8"/>
    <sheet name="Break up of terminating" sheetId="9" r:id="rId9"/>
    <sheet name="ICMS ASSET FAILURE" sheetId="10" r:id="rId10"/>
    <sheet name="GLUED JOINT REPORT" sheetId="11" r:id="rId11"/>
  </sheets>
  <definedNames>
    <definedName name="_xlnm.Print_Titles" localSheetId="6">'ASSET FAILURE'!#REF!</definedName>
  </definedNames>
  <calcPr calcId="124519"/>
</workbook>
</file>

<file path=xl/calcChain.xml><?xml version="1.0" encoding="utf-8"?>
<calcChain xmlns="http://schemas.openxmlformats.org/spreadsheetml/2006/main">
  <c r="K11" i="1"/>
  <c r="I11"/>
  <c r="F11"/>
  <c r="D11"/>
  <c r="C11"/>
  <c r="B11"/>
  <c r="E10"/>
  <c r="E9"/>
  <c r="E8"/>
  <c r="E7"/>
  <c r="E6"/>
  <c r="E5"/>
  <c r="E11" s="1"/>
  <c r="B44" i="2"/>
  <c r="L10" i="3"/>
  <c r="K10"/>
  <c r="J10"/>
  <c r="I10"/>
  <c r="F10"/>
  <c r="E10"/>
  <c r="D10"/>
  <c r="C10"/>
  <c r="B10"/>
  <c r="M9"/>
  <c r="E9"/>
  <c r="G9" s="1"/>
  <c r="H9" s="1"/>
  <c r="M8"/>
  <c r="E8"/>
  <c r="G8" s="1"/>
  <c r="H8" s="1"/>
  <c r="M7"/>
  <c r="E7"/>
  <c r="G7" s="1"/>
  <c r="H7" s="1"/>
  <c r="M6"/>
  <c r="E6"/>
  <c r="G6" s="1"/>
  <c r="H6" s="1"/>
  <c r="M5"/>
  <c r="M10" s="1"/>
  <c r="H5"/>
  <c r="G5"/>
  <c r="M4"/>
  <c r="H4"/>
  <c r="G4"/>
  <c r="E4"/>
  <c r="T21" i="4"/>
  <c r="R21"/>
  <c r="P21"/>
  <c r="M21"/>
  <c r="L21"/>
  <c r="V20"/>
  <c r="H20"/>
  <c r="G20"/>
  <c r="F20"/>
  <c r="V19"/>
  <c r="G19"/>
  <c r="F19"/>
  <c r="H19" s="1"/>
  <c r="I19" s="1"/>
  <c r="V18"/>
  <c r="G18"/>
  <c r="F18"/>
  <c r="H18" s="1"/>
  <c r="I18" s="1"/>
  <c r="V17"/>
  <c r="G17"/>
  <c r="H17" s="1"/>
  <c r="I17" s="1"/>
  <c r="F17"/>
  <c r="V16"/>
  <c r="U16"/>
  <c r="U21" s="1"/>
  <c r="G16"/>
  <c r="F16"/>
  <c r="H16" s="1"/>
  <c r="I16" s="1"/>
  <c r="V15"/>
  <c r="U15"/>
  <c r="G15"/>
  <c r="H15" s="1"/>
  <c r="I15" s="1"/>
  <c r="F15"/>
  <c r="V14"/>
  <c r="H14"/>
  <c r="I14" s="1"/>
  <c r="G14"/>
  <c r="F14"/>
  <c r="V13"/>
  <c r="G13"/>
  <c r="F13"/>
  <c r="H13" s="1"/>
  <c r="I13" s="1"/>
  <c r="V12"/>
  <c r="G12"/>
  <c r="F12"/>
  <c r="H12" s="1"/>
  <c r="I12" s="1"/>
  <c r="U11"/>
  <c r="T11"/>
  <c r="S11"/>
  <c r="S21" s="1"/>
  <c r="R11"/>
  <c r="Q11"/>
  <c r="Q21" s="1"/>
  <c r="P11"/>
  <c r="O11"/>
  <c r="O21" s="1"/>
  <c r="M11"/>
  <c r="E11"/>
  <c r="E21" s="1"/>
  <c r="D11"/>
  <c r="D21" s="1"/>
  <c r="C11"/>
  <c r="C21" s="1"/>
  <c r="B11"/>
  <c r="B21" s="1"/>
  <c r="V10"/>
  <c r="H10"/>
  <c r="I10" s="1"/>
  <c r="G10"/>
  <c r="F10"/>
  <c r="V9"/>
  <c r="G9"/>
  <c r="F9"/>
  <c r="H9" s="1"/>
  <c r="I9" s="1"/>
  <c r="V8"/>
  <c r="G8"/>
  <c r="F8"/>
  <c r="H8" s="1"/>
  <c r="I8" s="1"/>
  <c r="V7"/>
  <c r="G7"/>
  <c r="H7" s="1"/>
  <c r="I7" s="1"/>
  <c r="F7"/>
  <c r="V6"/>
  <c r="V11" s="1"/>
  <c r="H6"/>
  <c r="G6"/>
  <c r="F6"/>
  <c r="F11" s="1"/>
  <c r="V5"/>
  <c r="G5"/>
  <c r="F5"/>
  <c r="H5" s="1"/>
  <c r="I5" s="1"/>
  <c r="V4"/>
  <c r="G4"/>
  <c r="F4"/>
  <c r="H4" s="1"/>
  <c r="I4" s="1"/>
  <c r="V3"/>
  <c r="G3"/>
  <c r="H3" s="1"/>
  <c r="I3" s="1"/>
  <c r="F3"/>
  <c r="S21" i="5"/>
  <c r="Q21"/>
  <c r="O21"/>
  <c r="L21"/>
  <c r="V20"/>
  <c r="G20"/>
  <c r="F20"/>
  <c r="H20" s="1"/>
  <c r="V19"/>
  <c r="H19"/>
  <c r="I19" s="1"/>
  <c r="G19"/>
  <c r="F19"/>
  <c r="V18"/>
  <c r="G18"/>
  <c r="H18" s="1"/>
  <c r="I18" s="1"/>
  <c r="F18"/>
  <c r="V17"/>
  <c r="G17"/>
  <c r="F17"/>
  <c r="H17" s="1"/>
  <c r="I17" s="1"/>
  <c r="U16"/>
  <c r="V16" s="1"/>
  <c r="H16"/>
  <c r="I16" s="1"/>
  <c r="G16"/>
  <c r="F16"/>
  <c r="U15"/>
  <c r="V15" s="1"/>
  <c r="G15"/>
  <c r="F15"/>
  <c r="H15" s="1"/>
  <c r="I15" s="1"/>
  <c r="V14"/>
  <c r="G14"/>
  <c r="F14"/>
  <c r="H14" s="1"/>
  <c r="I14" s="1"/>
  <c r="V13"/>
  <c r="H13"/>
  <c r="I13" s="1"/>
  <c r="G13"/>
  <c r="F13"/>
  <c r="V12"/>
  <c r="G12"/>
  <c r="F12"/>
  <c r="H12" s="1"/>
  <c r="I12" s="1"/>
  <c r="U11"/>
  <c r="T11"/>
  <c r="T21" s="1"/>
  <c r="S11"/>
  <c r="R11"/>
  <c r="R21" s="1"/>
  <c r="Q11"/>
  <c r="P11"/>
  <c r="P21" s="1"/>
  <c r="O11"/>
  <c r="M11"/>
  <c r="M21" s="1"/>
  <c r="E11"/>
  <c r="E21" s="1"/>
  <c r="D11"/>
  <c r="D21" s="1"/>
  <c r="C11"/>
  <c r="C21" s="1"/>
  <c r="B11"/>
  <c r="B21" s="1"/>
  <c r="V10"/>
  <c r="G10"/>
  <c r="F10"/>
  <c r="H10" s="1"/>
  <c r="I10" s="1"/>
  <c r="V9"/>
  <c r="H9"/>
  <c r="I9" s="1"/>
  <c r="G9"/>
  <c r="F9"/>
  <c r="V8"/>
  <c r="G8"/>
  <c r="F8"/>
  <c r="H8" s="1"/>
  <c r="I8" s="1"/>
  <c r="V7"/>
  <c r="V11" s="1"/>
  <c r="G7"/>
  <c r="F7"/>
  <c r="F11" s="1"/>
  <c r="V6"/>
  <c r="G6"/>
  <c r="G11" s="1"/>
  <c r="F6"/>
  <c r="H6" s="1"/>
  <c r="V5"/>
  <c r="H5"/>
  <c r="I5" s="1"/>
  <c r="G5"/>
  <c r="F5"/>
  <c r="V4"/>
  <c r="G4"/>
  <c r="F4"/>
  <c r="H4" s="1"/>
  <c r="I4" s="1"/>
  <c r="V3"/>
  <c r="G3"/>
  <c r="F3"/>
  <c r="H3" s="1"/>
  <c r="I3" s="1"/>
  <c r="L18" i="6"/>
  <c r="I18"/>
  <c r="F18"/>
  <c r="D18"/>
  <c r="C18"/>
  <c r="B18"/>
  <c r="E18" s="1"/>
  <c r="G18" s="1"/>
  <c r="H18" s="1"/>
  <c r="E17"/>
  <c r="G17" s="1"/>
  <c r="H17" s="1"/>
  <c r="H16"/>
  <c r="G16"/>
  <c r="E16"/>
  <c r="G15"/>
  <c r="H15" s="1"/>
  <c r="E15"/>
  <c r="E14"/>
  <c r="G14" s="1"/>
  <c r="H14" s="1"/>
  <c r="E13"/>
  <c r="G13" s="1"/>
  <c r="H13" s="1"/>
  <c r="H12"/>
  <c r="G12"/>
  <c r="E12"/>
  <c r="D9"/>
  <c r="C9"/>
  <c r="G8"/>
  <c r="H8" s="1"/>
  <c r="E8"/>
  <c r="E7"/>
  <c r="G7" s="1"/>
  <c r="H7" s="1"/>
  <c r="I6"/>
  <c r="I9" s="1"/>
  <c r="F6"/>
  <c r="F9" s="1"/>
  <c r="D6"/>
  <c r="C6"/>
  <c r="B6"/>
  <c r="B9" s="1"/>
  <c r="E5"/>
  <c r="G5" s="1"/>
  <c r="H5" s="1"/>
  <c r="H4"/>
  <c r="G4"/>
  <c r="E4"/>
  <c r="G10" i="3" l="1"/>
  <c r="H10" s="1"/>
  <c r="F21" i="4"/>
  <c r="V21"/>
  <c r="H11"/>
  <c r="I11" s="1"/>
  <c r="H21"/>
  <c r="I21" s="1"/>
  <c r="G11"/>
  <c r="G21" s="1"/>
  <c r="I6"/>
  <c r="I20"/>
  <c r="I6" i="5"/>
  <c r="I20"/>
  <c r="V21"/>
  <c r="G21"/>
  <c r="F21"/>
  <c r="H7"/>
  <c r="I7" s="1"/>
  <c r="U21"/>
  <c r="E6" i="6"/>
  <c r="H11" i="5" l="1"/>
  <c r="E9" i="6"/>
  <c r="G6"/>
  <c r="I11" i="5" l="1"/>
  <c r="H21"/>
  <c r="I21" s="1"/>
  <c r="H6" i="6"/>
  <c r="G9"/>
  <c r="H9" s="1"/>
</calcChain>
</file>

<file path=xl/sharedStrings.xml><?xml version="1.0" encoding="utf-8"?>
<sst xmlns="http://schemas.openxmlformats.org/spreadsheetml/2006/main" count="809" uniqueCount="407">
  <si>
    <t>PERIOD</t>
  </si>
  <si>
    <t>ACTUAL SCH.</t>
  </si>
  <si>
    <t>CAN</t>
  </si>
  <si>
    <t>S/T
S/O
&amp;
DIV</t>
  </si>
  <si>
    <t>PRESENT
SCH</t>
  </si>
  <si>
    <t>TARGET</t>
  </si>
  <si>
    <t>AVG
 LOSS
DAY</t>
  </si>
  <si>
    <t>AVG. DETEN
TION (IN MTS)</t>
  </si>
  <si>
    <t>LOSS</t>
  </si>
  <si>
    <t>AVG.
 DETEN
TION (IN MTS)</t>
  </si>
  <si>
    <t>AVG. 
DETEN
TION
 (IN MTS)</t>
  </si>
  <si>
    <t>POST 
PEAK=1
(00:00-02:59)</t>
  </si>
  <si>
    <t>PRE 
PEAK
(03.00-08.29)</t>
  </si>
  <si>
    <t>MORNING PEAK
(08.30-11.30)</t>
  </si>
  <si>
    <t>MID 
PEAK
(11.31-17.29)</t>
  </si>
  <si>
    <t>EVENING
 PEAK
(17.30-20.30)</t>
  </si>
  <si>
    <t>POST 
PEAK=2
(20:31-23:59)</t>
  </si>
  <si>
    <t>TOTAL</t>
  </si>
  <si>
    <t>SCHEDULE</t>
  </si>
  <si>
    <t xml:space="preserve">CANCELLED </t>
  </si>
  <si>
    <t>S/T &amp; S/O    DIVT</t>
  </si>
  <si>
    <t>RUN</t>
  </si>
  <si>
    <t>DELAY</t>
  </si>
  <si>
    <t>RT 
(UP TO)
5"</t>
  </si>
  <si>
    <t>%</t>
  </si>
  <si>
    <t>6"-10"</t>
  </si>
  <si>
    <t>11"-15"</t>
  </si>
  <si>
    <t>16"-30"</t>
  </si>
  <si>
    <t>More
 than
 30"</t>
  </si>
  <si>
    <t>MORNING
 PEAK
(08.30-11.30)</t>
  </si>
  <si>
    <t>MID
 PEAK
(11.31-17.29)</t>
  </si>
  <si>
    <t>REMARKS</t>
  </si>
  <si>
    <t xml:space="preserve">CATEGORY
</t>
  </si>
  <si>
    <t>Tr. No</t>
  </si>
  <si>
    <t>CODE</t>
  </si>
  <si>
    <t>SUB 
CODE</t>
  </si>
  <si>
    <t xml:space="preserve"> CAUSE OF DESCRIPTION</t>
  </si>
  <si>
    <t>UNUSUAL OCCURENCES AFFECTING MAIL EXPRESS (M/EXP+TOD) IN SDAH DIVN.</t>
  </si>
  <si>
    <t>UNUSUAL OCCURENCES AFFECTING PSPC (PSPC) IN SDAH DIVN.</t>
  </si>
  <si>
    <t xml:space="preserve"> </t>
  </si>
  <si>
    <t>PSPC</t>
  </si>
  <si>
    <t>ENGG</t>
  </si>
  <si>
    <t>LC</t>
  </si>
  <si>
    <t>LINENC</t>
  </si>
  <si>
    <t>SL
NO</t>
  </si>
  <si>
    <t>SUB
 CODE</t>
  </si>
  <si>
    <t>PATH</t>
  </si>
  <si>
    <t>REPER-P</t>
  </si>
  <si>
    <t>OTH</t>
  </si>
  <si>
    <t>Section</t>
  </si>
  <si>
    <t>SCH</t>
  </si>
  <si>
    <t>DIV
S/T
 S/O</t>
  </si>
  <si>
    <t xml:space="preserve">P/SPL </t>
  </si>
  <si>
    <t>TOT
RUN</t>
  </si>
  <si>
    <t>RT</t>
  </si>
  <si>
    <t xml:space="preserve">PC               </t>
  </si>
  <si>
    <t>CUMU
LATIVE</t>
  </si>
  <si>
    <t>POST
(1)</t>
  </si>
  <si>
    <t>PRE</t>
  </si>
  <si>
    <t>MOR</t>
  </si>
  <si>
    <t>MID</t>
  </si>
  <si>
    <t>EVE</t>
  </si>
  <si>
    <t>POST
(2)</t>
  </si>
  <si>
    <t>TOT</t>
  </si>
  <si>
    <t>MAIN LINE</t>
  </si>
  <si>
    <t>CCR LINE</t>
  </si>
  <si>
    <t>CENTRAL</t>
  </si>
  <si>
    <t>BRP-SPR</t>
  </si>
  <si>
    <t>CG-SEC</t>
  </si>
  <si>
    <t>DH</t>
  </si>
  <si>
    <t>LKPR-NMKA</t>
  </si>
  <si>
    <t>BGB</t>
  </si>
  <si>
    <t>TOTAL
SOUTH SEC</t>
  </si>
  <si>
    <t>HNB</t>
  </si>
  <si>
    <t>GXD</t>
  </si>
  <si>
    <t>LGL</t>
  </si>
  <si>
    <t>RHA-BNJ</t>
  </si>
  <si>
    <t>SDAH-BNJ-RHA</t>
  </si>
  <si>
    <t>BNJ-STB</t>
  </si>
  <si>
    <t>STB-KNJ</t>
  </si>
  <si>
    <t>KNJ-AHT</t>
  </si>
  <si>
    <t>NH-BDC</t>
  </si>
  <si>
    <t xml:space="preserve">  TOTAL
 EMU/SUB</t>
  </si>
  <si>
    <t>PUNCTUALITY OF MAIL/EXP, TOD, PSPC &amp; EMU/SUB.</t>
  </si>
  <si>
    <t>CATEGORY</t>
  </si>
  <si>
    <t>DIV
S/T
&amp;
S/O</t>
  </si>
  <si>
    <t>LOST</t>
  </si>
  <si>
    <t>PC</t>
  </si>
  <si>
    <t>RE
SCH</t>
  </si>
  <si>
    <t>Last Year %</t>
  </si>
  <si>
    <t xml:space="preserve">ONLY MAIL/EXP </t>
  </si>
  <si>
    <t>92.8</t>
  </si>
  <si>
    <t>TOD</t>
  </si>
  <si>
    <t>50.0</t>
  </si>
  <si>
    <t>TOTAL
(M/EXP+TOD)</t>
  </si>
  <si>
    <t>91.4</t>
  </si>
  <si>
    <t>83.9</t>
  </si>
  <si>
    <t>EMU/SUB</t>
  </si>
  <si>
    <t>90.4</t>
  </si>
  <si>
    <t>89.7</t>
  </si>
  <si>
    <t>OVER/ALL</t>
  </si>
  <si>
    <t>89.6</t>
  </si>
  <si>
    <t>SECTION</t>
  </si>
  <si>
    <t>DAY'S
%</t>
  </si>
  <si>
    <t>PROG
%</t>
  </si>
  <si>
    <t>SDAH-NH</t>
  </si>
  <si>
    <t>MAIL/EXP</t>
  </si>
  <si>
    <t>SDAH-CCRL</t>
  </si>
  <si>
    <t>KOAA-NH</t>
  </si>
  <si>
    <t xml:space="preserve"> TOTAL 
M/EXP</t>
  </si>
  <si>
    <t>KOAA-CCRL</t>
  </si>
  <si>
    <t>SDAH-LGL</t>
  </si>
  <si>
    <t>TOTAL 
EMU/SUB</t>
  </si>
  <si>
    <t>KOAA- (LGL   +GXD+PTPL)</t>
  </si>
  <si>
    <t>SL NO.</t>
  </si>
  <si>
    <t>ITEMS</t>
  </si>
  <si>
    <t>STATUS</t>
  </si>
  <si>
    <t>140 T/BD CRANE/BGA NO. 143007</t>
  </si>
  <si>
    <t>WORKING</t>
  </si>
  <si>
    <t>SPARMV/BGA</t>
  </si>
  <si>
    <t>CONVENTIONAL ART/BGA</t>
  </si>
  <si>
    <t>120MT/EIMWB/NH</t>
  </si>
  <si>
    <t>120MT/EIMWB/NACC</t>
  </si>
  <si>
    <t>100MT/STATIC/SDAH</t>
  </si>
  <si>
    <t>Sr.</t>
  </si>
  <si>
    <t>Zone/</t>
  </si>
  <si>
    <t>DIV</t>
  </si>
  <si>
    <t>Reported</t>
  </si>
  <si>
    <t>Automatic Sources</t>
  </si>
  <si>
    <t>Manual</t>
  </si>
  <si>
    <t>RTIS</t>
  </si>
  <si>
    <t>RMLT</t>
  </si>
  <si>
    <t>Data Logger</t>
  </si>
  <si>
    <t>Total</t>
  </si>
  <si>
    <t>(C4+C6+C7)</t>
  </si>
  <si>
    <t>Automatic %</t>
  </si>
  <si>
    <t>(C8/C2)*100</t>
  </si>
  <si>
    <t>TSR</t>
  </si>
  <si>
    <t>Controller</t>
  </si>
  <si>
    <t>PAM User</t>
  </si>
  <si>
    <t>(C10+C11+C12)</t>
  </si>
  <si>
    <t>Manual %</t>
  </si>
  <si>
    <t>(C13/C2)*100</t>
  </si>
  <si>
    <t>Act.</t>
  </si>
  <si>
    <t>Rpt.</t>
  </si>
  <si>
    <t>(C4/C3)*100</t>
  </si>
  <si>
    <t>(C6/C5)*100</t>
  </si>
  <si>
    <t>C1</t>
  </si>
  <si>
    <t>C2</t>
  </si>
  <si>
    <t>C3</t>
  </si>
  <si>
    <t>C4</t>
  </si>
  <si>
    <t>C5</t>
  </si>
  <si>
    <t>C6</t>
  </si>
  <si>
    <t>C7</t>
  </si>
  <si>
    <t>C8</t>
  </si>
  <si>
    <t>C9</t>
  </si>
  <si>
    <t>C10</t>
  </si>
  <si>
    <t>C11</t>
  </si>
  <si>
    <t>C12</t>
  </si>
  <si>
    <t>C13</t>
  </si>
  <si>
    <t>C14</t>
  </si>
  <si>
    <t>SDAH</t>
  </si>
  <si>
    <t>Sl. no.</t>
  </si>
  <si>
    <t>AF ID</t>
  </si>
  <si>
    <t>Zone</t>
  </si>
  <si>
    <t>Division</t>
  </si>
  <si>
    <t>Main Cause Head</t>
  </si>
  <si>
    <t>Sub Cause</t>
  </si>
  <si>
    <t>Type of Failure/Obstruction</t>
  </si>
  <si>
    <t>Failure Date Time</t>
  </si>
  <si>
    <t>Duration (HH:MM)</t>
  </si>
  <si>
    <t>Section (Control Section)</t>
  </si>
  <si>
    <t>Block Section / Station</t>
  </si>
  <si>
    <t>Remarks</t>
  </si>
  <si>
    <t>From</t>
  </si>
  <si>
    <t>To</t>
  </si>
  <si>
    <t>ER</t>
  </si>
  <si>
    <t>ST</t>
  </si>
  <si>
    <t>COA Section</t>
  </si>
  <si>
    <t>Up / Down</t>
  </si>
  <si>
    <t>No. of Trains Delayed</t>
  </si>
  <si>
    <t>Average Detention Time (Mins.)</t>
  </si>
  <si>
    <t>Added on</t>
  </si>
  <si>
    <t>Update Time</t>
  </si>
  <si>
    <t>P</t>
  </si>
  <si>
    <t>G</t>
  </si>
  <si>
    <t>UP</t>
  </si>
  <si>
    <t>DDJ-NH</t>
  </si>
  <si>
    <t>ORL</t>
  </si>
  <si>
    <t>OER</t>
  </si>
  <si>
    <t>DDJ-CCRL</t>
  </si>
  <si>
    <t>HRT</t>
  </si>
  <si>
    <t>00:05 (5)</t>
  </si>
  <si>
    <t>KYI-RHA</t>
  </si>
  <si>
    <t>EER</t>
  </si>
  <si>
    <t>CD</t>
  </si>
  <si>
    <t>00:06 (6)</t>
  </si>
  <si>
    <t>INC</t>
  </si>
  <si>
    <t>INCOTH</t>
  </si>
  <si>
    <t>BT-PTPL</t>
  </si>
  <si>
    <t>Sl. No.</t>
  </si>
  <si>
    <t>STATION</t>
  </si>
  <si>
    <t>TRACK CIRCUIT (F/R)</t>
  </si>
  <si>
    <t>KM</t>
  </si>
  <si>
    <t>LINE</t>
  </si>
  <si>
    <t>GJ/BJ</t>
  </si>
  <si>
    <t>WEA</t>
  </si>
  <si>
    <t>FOG</t>
  </si>
  <si>
    <t>TCF</t>
  </si>
  <si>
    <t>49.9</t>
  </si>
  <si>
    <t>90.5</t>
  </si>
  <si>
    <t>DDJ-SDAH</t>
  </si>
  <si>
    <t>RHA</t>
  </si>
  <si>
    <t>TRAIN DETAINED DUE TO LATE TAKEN OVER OF EMU LOCAL(DKAE/BRPA,NH/BDC &amp; KWAE/BWN LOCAL) AT CCRL &amp; NHLC POINT.</t>
  </si>
  <si>
    <t>TRAIN DETAINED DUE TO LATE TAKEN OVER OF MAIL/EXPRESS &amp; PASSENGER.</t>
  </si>
  <si>
    <t>REPER-N</t>
  </si>
  <si>
    <t>LC GATE</t>
  </si>
  <si>
    <t>RD</t>
  </si>
  <si>
    <t>00:08 (8)</t>
  </si>
  <si>
    <t>GSF</t>
  </si>
  <si>
    <t>0.0</t>
  </si>
  <si>
    <t>ENGOTH</t>
  </si>
  <si>
    <t>00:07 (7)</t>
  </si>
  <si>
    <t>1. ENGINEERING</t>
  </si>
  <si>
    <t>00:20 (20)</t>
  </si>
  <si>
    <t>00:18 (18)</t>
  </si>
  <si>
    <t>00:10 (10)</t>
  </si>
  <si>
    <t xml:space="preserve">REPER_N </t>
  </si>
  <si>
    <t>03.01.26</t>
  </si>
  <si>
    <t>11.0</t>
  </si>
  <si>
    <t>11.7</t>
  </si>
  <si>
    <t>PROGRESSIVE= 93.4</t>
  </si>
  <si>
    <t>92.7</t>
  </si>
  <si>
    <t>91.9</t>
  </si>
  <si>
    <t>00:34 (34)</t>
  </si>
  <si>
    <t>00:21 (21)</t>
  </si>
  <si>
    <t>00:15 (15)</t>
  </si>
  <si>
    <t>NH-KYI</t>
  </si>
  <si>
    <t>KYI</t>
  </si>
  <si>
    <t>NIL</t>
  </si>
  <si>
    <t>ICMS (S&amp;T) ASSET FAILURE REPORT OF 03/01/2026</t>
  </si>
  <si>
    <r>
      <t>Breakup of Terminating Timing Sources [Train Group: </t>
    </r>
    <r>
      <rPr>
        <b/>
        <sz val="11"/>
        <color rgb="FF000099"/>
        <rFont val="Verdana"/>
        <family val="2"/>
      </rPr>
      <t>Mail Express + Passenger Group</t>
    </r>
    <r>
      <rPr>
        <sz val="11"/>
        <color rgb="FF000099"/>
        <rFont val="Verdana"/>
        <family val="2"/>
      </rPr>
      <t>] [Gauge: </t>
    </r>
    <r>
      <rPr>
        <b/>
        <sz val="11"/>
        <color rgb="FF000099"/>
        <rFont val="Verdana"/>
        <family val="2"/>
      </rPr>
      <t>BG</t>
    </r>
    <r>
      <rPr>
        <sz val="11"/>
        <color rgb="FF000099"/>
        <rFont val="Verdana"/>
        <family val="2"/>
      </rPr>
      <t>]
 [Traction: ALL] Terminating Zone Status [Train Status: </t>
    </r>
    <r>
      <rPr>
        <b/>
        <sz val="11"/>
        <color rgb="FF000099"/>
        <rFont val="Verdana"/>
        <family val="2"/>
      </rPr>
      <t>ALL</t>
    </r>
    <r>
      <rPr>
        <sz val="11"/>
        <color rgb="FF000099"/>
        <rFont val="Verdana"/>
        <family val="2"/>
      </rPr>
      <t>][Date: 04-Jan-2026]</t>
    </r>
  </si>
  <si>
    <r>
      <t>1. Zone: </t>
    </r>
    <r>
      <rPr>
        <b/>
        <sz val="12"/>
        <color rgb="FF000099"/>
        <rFont val="Verdana"/>
        <family val="2"/>
      </rPr>
      <t>ER</t>
    </r>
  </si>
  <si>
    <t>POSITION OF MECHANICAL POWER BRANCH ON 04.01.2026</t>
  </si>
  <si>
    <t>ICMS (S&amp;T) ASSET FAILURE REPORT OF 04/01/2026</t>
  </si>
  <si>
    <t>TRACK NO-C12T,12T,011T,06T AND 04T FAILED AT CQR FROM 02.30-5.00 HRS.HENCE DN HOME,DN ADV STR FAILED.REMK:-FAILED DUE TO ENGG DIP LORRY WORK WITH T/BLOCK,RESET APPLIED AND NEXT OPERATION RECTIFIED.</t>
  </si>
  <si>
    <t>02:30 (150)</t>
  </si>
  <si>
    <t>DDJ-BSHT</t>
  </si>
  <si>
    <r>
      <t>Memo No.SM/CQR/03/01/26
As per SSE/BT-II(IC), track sections C-12T,12T,011T,06T,04T failed at CQR  due to rail trolley movement by engineering department with traffic block from 00:55 Hrs to 02:30 Hrs instead of 03:05 hrs.Same reset done by on duty station master at CQR and 12T,06T,04T cleared after one train movement,and C-12T, 011T cleared after two train movements.
Memo served to Dy Ch//CNL/SDAH &amp; Engg./CNL/SDAH.
MSDAC, Make-Eldyne.</t>
    </r>
    <r>
      <rPr>
        <b/>
        <sz val="10"/>
        <rFont val="Arial"/>
        <family val="2"/>
      </rPr>
      <t xml:space="preserve">  </t>
    </r>
    <r>
      <rPr>
        <sz val="11"/>
        <color theme="1"/>
        <rFont val="Calibri"/>
        <family val="2"/>
        <scheme val="minor"/>
      </rPr>
      <t xml:space="preserve">DOI-30.03.2021 (track section)
SSDAC-Dual; BPAC WITH  BSHT MAKE GG TRONICS DOI-08.12.2016, Media-OFC &amp; Quad (BPAC).
LDC-02/01/2025, LDF-02/01/2025.
</t>
    </r>
  </si>
  <si>
    <t>TRACK NO.-04/T2 OF FLU FAILED ON DN LINE FROM-10:14 HRS. IN FACE OF 31522. HENCE DN HOME SIGNAL BECAME RED. P/R. AT-11:30 HRS. REMK- RELAY END G/J SHORTED WITH IRON CHIP, REMOVED THEN P/RT.</t>
  </si>
  <si>
    <t>01:16 (76)</t>
  </si>
  <si>
    <t>KLNP-STB</t>
  </si>
  <si>
    <t>FLU-STB</t>
  </si>
  <si>
    <t xml:space="preserve">Memo No:SM/FLU/01/01/26.
Remarks of TC 04T2 failure at FLU.
Response time: 10:15 hrs.
Action taken and root cause: TCno. 04T2 of FLU failed due to lron chip shorted Relay end Glued Joint at Km no. 8/28- 9/2. Remove the same by Sanjay Debnath (Sr.Tech/ FLU) and failure put right at 11.30 hrs.
Sr.Tech/FLU attended the failure from LC gate no.59/E/C/4.(Approx.03 km from FLU)
Parameters of TCno.04T2.
F/End: 4.05V/ 335mA,R/End: 3.75V/320mA.,TPR: 28.7V.
LDC: 28.12.25, LDF: No failure in last 03 months 
Last date of Epoxy filling: 11.12.2025.
</t>
  </si>
  <si>
    <t>WEST SIDE BOOM OF LC GATE NO.-17/T OF DTK NOT WORKING FROM-12:17-12:52 HRS. HENCE UP GATE SIGNAL AND DOWN STR &amp; ADV STR OF DTK FAILED. REMK- BEFORE ATTENDED FAILURE P/RT, LATER CHECKED AND FOUND OK. KEPT UNDER OBSERVATION UPTO 16:00 HRS.</t>
  </si>
  <si>
    <t>00:35 (35)</t>
  </si>
  <si>
    <t>TKNR-DTK</t>
  </si>
  <si>
    <r>
      <t xml:space="preserve">Station: DTK
Date: 04/01/25
Memo No.SM/DTK/S&amp;T/04/01/26
Failure time: 12:27 hrs
Memo received time: 12:52 hrs 
Rectification time: 12:52 hrs 
Gear Failed: LC Gate no.17T  'B' boom not working, Sliding Barrier available.
Remark: Before attending of Signal staff failure rectified itself, SIM/BT attended from DTK station to LC Gate No.17T (distance from DTK panel to LC Gate 17T approx 1200 meter) , On duty Gate man 'B' boom closed with the help of Crank handle, After opening of ELB, SIM/BT tested ELB several times and found responding properly, all Limit switch checked thoroughly, kept under observation upto 16:00 hrs 
</t>
    </r>
    <r>
      <rPr>
        <b/>
        <sz val="10"/>
        <rFont val="Arial"/>
        <family val="2"/>
      </rPr>
      <t>Root cause:</t>
    </r>
    <r>
      <rPr>
        <sz val="11"/>
        <color theme="1"/>
        <rFont val="Calibri"/>
        <family val="2"/>
        <scheme val="minor"/>
      </rPr>
      <t xml:space="preserve"> Before attending of Signal staff, failure rectified, checked thoroughly, actual cause of failure not found.
</t>
    </r>
    <r>
      <rPr>
        <b/>
        <sz val="10"/>
        <rFont val="Arial"/>
        <family val="2"/>
      </rPr>
      <t xml:space="preserve">Corrective action: </t>
    </r>
    <r>
      <rPr>
        <sz val="11"/>
        <color theme="1"/>
        <rFont val="Calibri"/>
        <family val="2"/>
        <scheme val="minor"/>
      </rPr>
      <t xml:space="preserve">Before attending of Signal staff, Failure rectified, later attended and checked thoroughly all Limit switch, found no abnormality.
ELB make- Urban Engg Assn.  DOI- 27/11/2014.
Name of Gateman - Mili Sarkar.
LDC- 24/12/25, LDF-09/11/25.
RTU/Data Logger not provided.
</t>
    </r>
  </si>
  <si>
    <t>UP MAIN LINE GATE SIGNAL PUT BACK ITSELF IN FACE OF 30135 UP AS PER REPORT OF TRAIN MANAGER.</t>
  </si>
  <si>
    <t>00:02 (2)</t>
  </si>
  <si>
    <t>DDJ-BP</t>
  </si>
  <si>
    <t xml:space="preserve">Memo no-SM/BP/SF/04/01/26.
As per JE/BP; Before attending of Signal staff failure rectified. SIM/TS/BP attanded to LC Gate 17T. As per data logger report SW 4-RR of AG-85 dropped suddenly. Check by SIM/TS/BP and found no fault. After that all the trains passed with proper signal, kept under observation up to 22.00 hrs.
ELB panel make-Deltron.  DOI-08/03/2017.
LDC-25/12/2025, LDF- not in last 3 months.
RTU/Data Logger available.
</t>
  </si>
  <si>
    <t>AUTSF</t>
  </si>
  <si>
    <t>ADK-9 AUTO SIGNAL UP/CCR LINE FAILED FROM 20:10-20:43, 20:55-21:12 HRS.</t>
  </si>
  <si>
    <t>00:33 (33)</t>
  </si>
  <si>
    <t xml:space="preserve">Failure of ADK9 in DDJ-DKAE Auto Section:
Failure time: 20.10 hrs.
Memo no. :SM/BARN/SF/01/01/26.
Information received: 20.28 hrs.
Remarks: Attended HUT4 at BLYG. From Datalogger report it was seen that failure was intermittent in nature. During failure of signal ADK9, it was seen that ADK9HR had energized but none of the OFF aspect ECRs were energized as per available conditions. During checking coil voltage of ADK9HR was 25.40V DC. Outgoing voltage for ADK9 OFF aspects was 112.4 V AC. Analysing Datalogger report, it was suspected that contact B1/B2 or C1/C2 of ADK9HR had offered high resistance. ADK9HR relay was replaced. Later ADK9HR relay was tested with relay testing kit and contact B1/B2 was offering a resistance of 19.06 ohms. ADK9HR Relay replaced.
Old relay particulars:
Make: Urban Engg. Type: QN1. Year: 02/09. Contact configuration: 12F/4B. 
S.No.: F92061.
New relay: Make : Electronica- Kolkata. S.No.: 02777/RS, Year: 05/22
LDC-13/12/25, LDF- not in last 3 months.
Reported at RDSO poratl.
</t>
  </si>
  <si>
    <t>PTF</t>
  </si>
  <si>
    <t>POINT NO -160 FAILED IN REVERSE POSITION AT NH FROM 21:21-22:00 HRS</t>
  </si>
  <si>
    <t>00:39 (39)</t>
  </si>
  <si>
    <t>HLR-NH</t>
  </si>
  <si>
    <t xml:space="preserve">Memo no-SM/NH/EI/SF/02/01/26.
As per SSE/NH; Pt 160 failed in reverse position. Upon checking there was a gap found between outer stock rail and tongue rail of 160A. No further testing could be done due to movement of trains in normal position of point. Later on again testing was obtained and point was set in reverse position by pushing with the help of crow bar and put right at 22:00hrs. SI4 was issued and pressure for reverse setting decreased slightly  and tested to respond properly in both normal and reverse position.
LDF 04/11/25, LDC 01/01/26.
</t>
  </si>
  <si>
    <t>GLUED JOINT OR BLOCK JOINT REPLACEMENT ON 04.01.2026</t>
  </si>
  <si>
    <t>BTY</t>
  </si>
  <si>
    <t>9TF</t>
  </si>
  <si>
    <t>127/31-33</t>
  </si>
  <si>
    <t>GJ</t>
  </si>
  <si>
    <t>9TF glued joint replaced by Engg dept.</t>
  </si>
  <si>
    <t>AFTER MFI WORKS A4,A6 AND A8 SIGNAL FAILED FROM 03.30-04.40 HRS.AUTO OBSERVED FROM 03.30 HRS.</t>
  </si>
  <si>
    <t>01:10 (70)</t>
  </si>
  <si>
    <t>SPR-BRP</t>
  </si>
  <si>
    <t>SPR-BLN</t>
  </si>
  <si>
    <t>EXTRA TIME TAKEN FOR EXTRA CAUTION BETN DDJ-BNJ ON UP LINE(1.07)</t>
  </si>
  <si>
    <t>TKNR-DDJ</t>
  </si>
  <si>
    <t>2. MECHANICAL</t>
  </si>
  <si>
    <t>COACH</t>
  </si>
  <si>
    <t>COTH</t>
  </si>
  <si>
    <t>AS PER TM OF 34886 DN REPORTED THAT TRAIN RUN WITH SIGNLE UNIT AND DETAINED FROM SPR TO DH FROM 05.10-06.33 HRS.</t>
  </si>
  <si>
    <t>01:23 (83)</t>
  </si>
  <si>
    <t>31528 DN DETAINED AT BNXR FROM 16.44-16.51 HRS DUE TO BREAK BINDING ENROUTE IN BETN BP-SDAH.</t>
  </si>
  <si>
    <t>3. OTHER</t>
  </si>
  <si>
    <t>32213 UP LEFT SDAH AT 05:00 HRS. I.E RT, AND PASSED BARN AT 05:24 HRS. BUT M/O TO CCRL AT 05:45 HRS. I.E 21 MTS LATE, O/S BY HWH DIV.</t>
  </si>
  <si>
    <t>32217 UP LEFT SDAH AT 06:05 HRS. I.E RT, AND PASSED BARN AT 06:32 HRS. BUT M/O TO CCRL AT 06:52 HRS. I.E 20 MTS LATE, O/S BY HWH DIV.</t>
  </si>
  <si>
    <t>32219 UP LEFT SDAH AT 06:45 HRS. I.E RT, AND PASSED BARN AT 07:07 HRS. BUT M/O TO CCRL AT 07:58 HRS. I.E 37 MTS LATE, O/S BY HWH DIV.</t>
  </si>
  <si>
    <t>00:51 (51)</t>
  </si>
  <si>
    <t>13185 UP LEFT SDAH AT 17:50 HRS i.e. RT THEN OUTSIDE AT NHLC FROM 18:48-19:16 HRS AS LINE CLEAR NOT RECEIVED FROM HWH DIVISION DUE TO OHE TROUBLE AT BDC/HWH DIVISION. FINALLY 13185 UP M/O NHLC AT 19:17 HRS i.e. 25 MTS LATE.</t>
  </si>
  <si>
    <t>00:28 (28)</t>
  </si>
  <si>
    <t>13155 UP LEFT KOAA AT 20:55 HRS i.e RT THEN OUTSIDE AT NHLC FROM 21:53-22:08 HRS FOR LINE CLEAR EX-HWH DIVISION. FINALLY M/O AT 22:08 HRS i.e 08 MTS LATE.</t>
  </si>
  <si>
    <t>HLR-NHLC</t>
  </si>
  <si>
    <t>37555 UP LEFT NH FROM 23:20 HRS i.e 63 MTS LATE DUE TO PRE OF 12501 &amp; 13153 UP AGAIN DETAINED DUE TO O/S AT NHLC FROM 23:27 HRS.</t>
  </si>
  <si>
    <t>01:03 (63)</t>
  </si>
  <si>
    <t>BP-NH</t>
  </si>
  <si>
    <t>13163 UP LEFT SDAH AT 21:15 HRS i.e RT THEN OUTSIDE AT NHLC FROM 22:22-22:40 HRS FOR LINE CLEAR EX-HWH DIVISION. FINALLY M/O AT 22:41 HRS i.e 27 MTS LATE.</t>
  </si>
  <si>
    <t>12501 UP LEFT KOAA AT 21:45 HRS i.e RT THEN DETAINED AT NH 22:35-22:45 HRS IN REAR OF 13163 UP (WHICH WAS O/S AT NHLC). FINALLY M/O AT 22:53 HRS i.e 08 MTS LATE.</t>
  </si>
  <si>
    <t>13153 UP LEFT SDAH AT 22:05 HRS i.e RT THEN OUTSIDE AT NHLC FROM 23:10-23:18 HRS FOR LINE CLEAR EX-HWH DIVISION. FINALLY M/O AT 23:18 HRS i.e 03 MTS LATE.</t>
  </si>
  <si>
    <t>4. SIGN AND TELE</t>
  </si>
  <si>
    <t>5. UNUSUAL</t>
  </si>
  <si>
    <t>FOG APPEARED IN SDAH/DIVN WITH DEFFERENCE SECTION IN BETN BT-HNB FROM 04:03 HRS, BT-BNJ FROM 04:13 HRS, RHA-LGL FROM 04:17 HRS.BRP-NMKA FROM 05:01 HRS.RHA-GEDE FROM 05:00 HRS.FOG DISAPPEARED FROM ALL SECTION AT-10.00 HRS.(T/LOSS=2).</t>
  </si>
  <si>
    <t>05:57 (357)</t>
  </si>
  <si>
    <t>00:16 (16)</t>
  </si>
  <si>
    <t>DDJ-NHLC</t>
  </si>
  <si>
    <t>31776 O/S AT CSZ FROM-07:35-08:00 HRS DUE TO LOCO REVERSAL OF 63042(COVERTIONAL RAKE RUN INSTEAD OF MEMU RAKE). LOCO SHUNTING FROM-07:30-08:00 HRS.</t>
  </si>
  <si>
    <t>00:52 (52)</t>
  </si>
  <si>
    <t>DDJ-CSZ</t>
  </si>
  <si>
    <t>TRAIN DETAINED ENROUTE DUE TO X-MOVEMENT, PRECEDENCE OR CROSSING.</t>
  </si>
  <si>
    <t>HEAVY ROAD TRAFFIC OVER LC GATE NO.-56/T OF RHA FROM-13:08-13:13, 20:05-20:12, 20:22-20:27 HRS.</t>
  </si>
  <si>
    <t>32242 DN ACT T/OVER CCRL AT 18:49 HRS. INSTEAD OF 18:15 HRS I.E 34 MTS LATE. BUT WRONGLY FEEDED AT ICMS AT 18:29 HRS. I.E. 14 MTS LATE. BY HWH/DIVN.</t>
  </si>
  <si>
    <t>HEAVY ROAD TRAFFIC OVER LC GATE NO.-50/T OF CDH FROM 18:38-18:43 HRS</t>
  </si>
  <si>
    <t>CDH</t>
  </si>
  <si>
    <t>HEAVY ROAD TRAFFIC OVER LC GATE NO.-1/T OF DDC FROM 19:10-19:15, 20:52-20:57 HRS.</t>
  </si>
  <si>
    <t>00:42 (42)</t>
  </si>
  <si>
    <t>DDJ-DDC</t>
  </si>
  <si>
    <t>HEAVY ROAD TRAFFIC OVER LC GATE NO.17/E OF BRP FROM 19:10-19:26, 19:30 HRS.</t>
  </si>
  <si>
    <t>HEAVY ROAD TRAFFIC OVER LC GATE NO.-41/T OF KYI FROM 19:18-19:24, 21:08-21:13 HRS.</t>
  </si>
  <si>
    <t>HEAVY ROAD TRAFFIC OVER LC GATE NO.-27/T OF HB FROM 18:50-18:55, 20:24-20:30 HRS.</t>
  </si>
  <si>
    <t>TKNR-HB</t>
  </si>
  <si>
    <t>HEAVY ROAD TRAFFIC OVER LC GATE NO.-2/T OF BLH FROM 20:44-20:50 HRS.</t>
  </si>
  <si>
    <t>BLH</t>
  </si>
  <si>
    <t>00:19 (19)</t>
  </si>
  <si>
    <t>Asset Failures [Zone:ER] [Division:SDAH] [Classification: ALL_EX_BLOCKS] [Failure Code: ALL] [Failure Sub Code: ALL]
 [Failure Status Basis: Failures (Started) in Selected Date Range] [Date: 04-Jan-2026]</t>
  </si>
  <si>
    <t>PUNCTUALITY STATISTICS ON 04.01.2026.</t>
  </si>
  <si>
    <t>PROG     01-01-25 TO 
04.01.25
( % )</t>
  </si>
  <si>
    <t>PROG    
01-01-26 
TO 
04.01.26
( % )</t>
  </si>
  <si>
    <t>2024-25
--------
PROG
01.04.24 TO 04.01.25       ( % )</t>
  </si>
  <si>
    <t>2025-26
--------
PROG
01.04.25 TO 04.01.26       ( % )</t>
  </si>
  <si>
    <t>93.5</t>
  </si>
  <si>
    <t>91.2</t>
  </si>
  <si>
    <t>79.0</t>
  </si>
  <si>
    <t>85.0</t>
  </si>
  <si>
    <t>PSPC LOSS=5(53180/LC.RD,53091,63041,63057/LINENC, 63105/INC),ST=1(53180)</t>
  </si>
  <si>
    <t>92.3</t>
  </si>
  <si>
    <t>PROG
04.01.26
( % )</t>
  </si>
  <si>
    <t>PROG
04.01.26
LOST</t>
  </si>
  <si>
    <t>M/EXP LOSS=9(13121,13147/S&amp;T,13185,13155,13163, 13153,13189 12501/LINENC,13188/PATH)NCAN=3 (12987,12988,22197)</t>
  </si>
  <si>
    <t>M/EXP LOSS=9(13121,13147/S&amp;T,13185,13155,13163, 13153,13189,12501/LINENC,13188/PATH)NCAN=3 (12987,12988,22197)</t>
  </si>
  <si>
    <r>
      <t>SLOT WISE  SUB FROM TRAINS. DATE:-</t>
    </r>
    <r>
      <rPr>
        <b/>
        <sz val="14"/>
        <color rgb="FFFF0000"/>
        <rFont val="Arial"/>
        <family val="2"/>
      </rPr>
      <t xml:space="preserve">04.01.2026.   </t>
    </r>
  </si>
  <si>
    <t>PROG
04.01.26</t>
  </si>
  <si>
    <t>PROG
04.12.25</t>
  </si>
  <si>
    <r>
      <t>SEC WISE  SUB FROM TRAINS. DATE:-</t>
    </r>
    <r>
      <rPr>
        <b/>
        <sz val="20"/>
        <color rgb="FFFF0000"/>
        <rFont val="Arial"/>
        <family val="2"/>
      </rPr>
      <t xml:space="preserve"> 04.01.2026.  </t>
    </r>
    <r>
      <rPr>
        <b/>
        <sz val="20"/>
        <rFont val="Arial"/>
        <family val="2"/>
      </rPr>
      <t xml:space="preserve"> </t>
    </r>
  </si>
  <si>
    <t xml:space="preserve">         PUNCTUALITY OF SUBURBAN TRAINS   DATE :04.01.2026. </t>
  </si>
  <si>
    <t>DAY'S PERCENTAGE= 95.9</t>
  </si>
  <si>
    <t>UNUSUAL REPORT (IN ICMS) ON-04/01/2026.</t>
  </si>
  <si>
    <t>M/EXP</t>
  </si>
  <si>
    <t>DO</t>
  </si>
  <si>
    <t>13188 DN DETAINED BETWEEN DDJ-KGK IN REAR OF 33624 DN WHICH WAS PASSED KGK AT 18:47 HRS &amp; ARRIVED SDAH PF NO.9 AT 18:53 HRS. FINALLY 13188 DN ARRIVED SDAH PF NO. 13 AT 19:01 HRS i.e. 16 MTS LATE</t>
  </si>
  <si>
    <t>AUF</t>
  </si>
  <si>
    <t>13147 UP DETAINED DUE TO ADK-9 AUTO SIGNAL UP/CCR LINE FAILED FROM 20:10-20:43 HRS. FINALLY 13147 UP M/O CCRL AT 20:26 HRS i.e. 03 MTS LATE.</t>
  </si>
  <si>
    <t>13121 UP LEFT KOAA AT 20:05 HRS i.e. RT THEN DETAINED DUE TO ADK-9 AUTO SIGNAL UP/CCR LINE FAILED FROM 20:10-20:43 HRS. FINALLY 13121 UP M/O CCRL AT 20:44 HRS i.e. 10 MTS LATE.</t>
  </si>
  <si>
    <t xml:space="preserve">12501 UP LEFT KOAA AT 21:45 HRS i.e RT THEN DETAINED AT NH 22:35-22:45 HRS IN REAR OF 13163 UP (WHICH WAS O/S AT NHLC). FINALLY M/O AT 22:53 HRS i.e 08 MTS LATE.
</t>
  </si>
  <si>
    <t xml:space="preserve">13155 UP LEFT KOAA AT 20:55 HRS i.e RT THEN OUTSIDE AT NHLC FROM 21:53-22:08 HRS FOR LINE CLEAR EX-HWH DIVISION. FINALLY M/O AT 22:08 HRS i.e 08 MTS LATE.
</t>
  </si>
  <si>
    <t xml:space="preserve">13153 UP LEFT SDAH AT 22:05 HRS i.e RT THEN OUTSIDE AT NHLC FROM 23:10-23:18 HRS FOR LINE CLEAR EX-HWH DIVISION. FINALLY M/O AT 23:18 HRS i.e 03 MTS LATE.
</t>
  </si>
  <si>
    <t>13189 UP LEFT EX SDAH FROM 22.30 HTS,ie RT AND ARRIVED AT NH 23.13 hrs,ie BT,AS DETAINED AT NH FROM 23.13 HRS IN REAR OF 37555 (KEPT O/S AT NHLC FROM 23:27 HRS) DUE TO LINE CLEAR NOT GIVEN FROM HWH DIVISION.</t>
  </si>
  <si>
    <t>63041 UP LATE STARTED EX-CSZ BY 34 MTS AND M/O TO AZ AT-08:26 HRS i.e, 36 MTS LATE DUE TO LATE ARRIVED OF LINK TRAIN 63042 BY 11 MTS. AND LOCO REVERSAL FROM-07:30-08:00 HRS. (CONVENTIONAL RAKE RUN INSTEAD OF MEMU RAKE).</t>
  </si>
  <si>
    <t>53091</t>
  </si>
  <si>
    <t xml:space="preserve">53091 UP LEFT EX KNJ BY RT AND M/O AT AZ BY 30 MTS AS DETAINED AT CSZ FROM 21.37-22.04 HRS,ie 26 MTS DUE TO LINE CLEAR AT AZ IN HWH/DIVISION.
</t>
  </si>
  <si>
    <t>63057</t>
  </si>
  <si>
    <t xml:space="preserve">63057 UP LATE STARTED EX CSZ BY 21 MTS AND M/O AT AZ BY 48 MTS DUE TO LATE ARRIVAL OF LINK DN(63058) BY 25 MTS.AGAIN DETAINED O/S AT AZ IN HWH/DIVISION.
</t>
  </si>
  <si>
    <t>63105 UP LEFT SDAH AT 20:47 HRS. i.e. 27 MTS. LATE START DUE TO LATE ARRIVAL OF DN LINK TRAIN 63142 BY 112 MTS. 63105 UP FINALLY ARRIVED LGL AT 01:30 HRS. i.e. 38 MTS. LATE.</t>
  </si>
  <si>
    <t>53180 DN LGL DEPT RT, BUT DETAINED DUE TO HEAVY ROAD TRAFFIC OVER LC GATE NO-50/T OF CDH FROM 18.38-18.43 HRS. FINALLY SDAH ARRIVED AT 20.28 HRS ie 18 MTS LATE.</t>
  </si>
  <si>
    <t>Train detained enroute due to x-movement, precedence or crossing.Train Loss=2  33515,33621,</t>
  </si>
  <si>
    <t>Train detained due to late taken over of Mail/Express &amp; Passenger.Train Loss=1 31240</t>
  </si>
  <si>
    <t>Train detained due to late taken over of EMU local(DKAE/BRPA,NH/BDC &amp; KWAE/BWN Local) at CCRL &amp; NHLC point.Train  Loss=1 32216</t>
  </si>
  <si>
    <t>After MFI machine work auto signal A-4, A-6 &amp; A-8 IN BETN. BLN-SPR auto observed from 03:30-04:40 hrs. Train Loss=2 34812, 34411</t>
  </si>
  <si>
    <t>32213 up left SDAH at 05:00 hrs. i.e RT, and passed BARN at 05:24 hrs. But M/O to CCRL at 05:45 hrs. i.e 21 mts late, O/S by HWH DIV. Train Loss=1 32213</t>
  </si>
  <si>
    <t>32217 up left SDAH at 06:05 hrs. i.e RT, and passed BARN at 06:32 hrs. But M/O to CCRL at 06:52 hrs. i.e 20 mts late, O/S by HWH DIV. Train Loss=1 32217</t>
  </si>
  <si>
    <t>32219 up left SDAH at 06:45 hrs. i.e RT, and passed BARN at 07:07 hrs. But M/O to CCRL at 07:58 hrs. i.e 37 mts late,O/S by HWH DIV. Train Loss=1 32219</t>
  </si>
  <si>
    <t>37555 UP LEFT EX NH FROM 23.20 HRS,ie 63 MTS DUE TO PRE OF 12501 &amp; 13153 UP..AGAIN DETAINED DUE TO O/S AT NHLC FROM 23.27 HRS.Train Loss=1 37555</t>
  </si>
  <si>
    <t>S&amp;T</t>
  </si>
  <si>
    <t>Track no-C-12T,12T,011T,06T &amp; 04T at CQR failed from 02:30-05:00 hrs. Hence dn Home, Dn Adv STR and Dn STR signal failed.Train Loss=1 33512</t>
  </si>
  <si>
    <t>Track no-04/T2 of FLU failed on dn line from 10:14-11.30 hrs. In face of 31522.Hence dn Home signal became red.Train Loss=1 31522</t>
  </si>
  <si>
    <t>GF</t>
  </si>
  <si>
    <t xml:space="preserve">West side boom of Lc gate no-17/T of DTK not working from 12:17-12:52 hrs.Hence up gate signal and down STR &amp; Adv STR of DTK failed.Train Loss=1 33655, </t>
  </si>
  <si>
    <t>Point no-160 failed in"R" from 21.21-20.00 hrs.Train Loss=1  37556</t>
  </si>
  <si>
    <t>DCW</t>
  </si>
  <si>
    <t>As reported by Train Manager of 34886 dn that Train run with single unit and detained from SPR-DH.Train Loss=2 34886,34714</t>
  </si>
  <si>
    <t>31528 Dn detained at BNXR from 16.44-16.51 hrs due to Break Binding enroute in betn BP-SDAH.Train Loss=1 31528</t>
  </si>
  <si>
    <t>Fog Appeared in SDAH/Divn with defference section in betn BT-HNB from 04:03 hrs,BT-BNJ from 04:13 hrs,RHA-LGL from 04:17 hrs. BRP-NMKA from 05:01 hrs,RHA-GEDE from 05:00 hrs. Fog disappeared from all section at 10.00 hrs. Train Loss=2 31814,31722,</t>
  </si>
  <si>
    <t>31776 Dn O/S at CSZ from 07:35-08:00 hrs due to LOCO reversal of 63042(covertional rake run instead of MEMU rake).Loco shunting from 07:30-08:00 hrs.Train Loss=1 31776.</t>
  </si>
  <si>
    <t>32242 Dn act T/Over CCRL at 18:49 hrs.instead of 18:15 hrs i.e 34 mts late. But wrongly feeded at ICMS at 18:29 hrs. i.e. 14 mts late. by HWH/Divn. Train Loss=1 32242</t>
  </si>
  <si>
    <t>Heavy road traffic over Lc gate no-56/T of RHA from 13:08-13:13,20.05-20.12,20.22-20.27 hrs. Train Loss=3 33751,31836,31536</t>
  </si>
  <si>
    <t>Heavy road traffic over Lc gate no-27/T of HB from 18.50-18.55,20.24-20.30 hrs.Train Loss=2  33862,33852</t>
  </si>
  <si>
    <t>Heavy road traffic over Lc gate no-41/T of KYI from 19.18-19.24,21.08-21.13 hrs. Train Loss=2  31332,31535</t>
  </si>
  <si>
    <t>Heavy road traffic over Lc gate no-1/T of DDC from 19.10-19.15,20.52-20.57 hrs. Train Loss=2 33847,33628</t>
  </si>
  <si>
    <t>Heavy road traffic over Lc gate no-2/T of BLH from 20.44-20.50 hrs. Train Loss=2  30123,31442</t>
  </si>
  <si>
    <t>Extra time taken for extra caution betn DDJ-BNJ on up line(1.07) Train Loss=2 33843,33857</t>
  </si>
  <si>
    <t>MISSION  OPERATION. DATE:-04.01.2026(SUBURBAN )</t>
  </si>
  <si>
    <t>MONTHLY 
PROGRESSIVE
 UP TO 
04.01.26</t>
  </si>
  <si>
    <t>04.01.26</t>
  </si>
  <si>
    <t>PATH=1
ENGG=2
S&amp;T=1
LINENC=3
DCW=2
WEA=2
INC=1</t>
  </si>
  <si>
    <t>8.5</t>
  </si>
  <si>
    <t>21.0</t>
  </si>
  <si>
    <t>PATH=1</t>
  </si>
  <si>
    <t>14.3</t>
  </si>
  <si>
    <t>S&amp;T=2
DCW=1
LC/RD=1</t>
  </si>
  <si>
    <t>PATH=1
ENGG=1
INC=1
LC/RD=1</t>
  </si>
  <si>
    <t>10.5</t>
  </si>
  <si>
    <t>PATH=1
ENGG=1
LINENC=1
S&amp;T=1
LC.RD=9</t>
  </si>
  <si>
    <t>PATH=4
ENGG=4
LINENC=4
S&amp;T=4
DCW=3
WEA=2
INC=2
LC.RD=11</t>
  </si>
</sst>
</file>

<file path=xl/styles.xml><?xml version="1.0" encoding="utf-8"?>
<styleSheet xmlns="http://schemas.openxmlformats.org/spreadsheetml/2006/main">
  <numFmts count="3">
    <numFmt numFmtId="43" formatCode="_ * #,##0.00_ ;_ * \-#,##0.00_ ;_ * &quot;-&quot;??_ ;_ @_ "/>
    <numFmt numFmtId="164" formatCode="0.0"/>
    <numFmt numFmtId="165" formatCode="_-* #,##0.00_-;\-* #,##0.00_-;_-* &quot;-&quot;??_-;_-@_-"/>
  </numFmts>
  <fonts count="11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6"/>
      <name val="Arial"/>
      <family val="2"/>
    </font>
    <font>
      <sz val="9"/>
      <name val="Arial"/>
      <family val="2"/>
    </font>
    <font>
      <sz val="10"/>
      <color theme="1"/>
      <name val="Calibri"/>
      <family val="2"/>
      <scheme val="minor"/>
    </font>
    <font>
      <sz val="11"/>
      <color theme="1"/>
      <name val="Calibri"/>
      <family val="2"/>
      <scheme val="minor"/>
    </font>
    <font>
      <sz val="10"/>
      <name val="Arial"/>
      <family val="2"/>
    </font>
    <font>
      <sz val="12"/>
      <color theme="1"/>
      <name val="Calibri"/>
      <family val="2"/>
      <scheme val="minor"/>
    </font>
    <font>
      <b/>
      <sz val="10"/>
      <color theme="1"/>
      <name val="Calibri"/>
      <family val="2"/>
      <scheme val="minor"/>
    </font>
    <font>
      <sz val="11"/>
      <color theme="1"/>
      <name val="Calibri"/>
      <family val="2"/>
      <scheme val="minor"/>
    </font>
    <font>
      <b/>
      <sz val="20"/>
      <name val="Times New Roman"/>
      <family val="1"/>
    </font>
    <font>
      <b/>
      <sz val="10"/>
      <name val="Times New Roman"/>
      <family val="1"/>
    </font>
    <font>
      <b/>
      <sz val="14"/>
      <name val="Times New Roman"/>
      <family val="1"/>
    </font>
    <font>
      <b/>
      <sz val="11"/>
      <name val="Times New Roman"/>
      <family val="1"/>
    </font>
    <font>
      <b/>
      <sz val="12"/>
      <color rgb="FF00B050"/>
      <name val="Times New Roman"/>
      <family val="1"/>
    </font>
    <font>
      <b/>
      <sz val="18"/>
      <color rgb="FF00B050"/>
      <name val="Times New Roman"/>
      <family val="1"/>
    </font>
    <font>
      <b/>
      <sz val="16"/>
      <name val="Times New Roman"/>
      <family val="1"/>
    </font>
    <font>
      <b/>
      <sz val="12"/>
      <name val="Times New Roman"/>
      <family val="1"/>
    </font>
    <font>
      <b/>
      <sz val="12"/>
      <color rgb="FFFF0000"/>
      <name val="Times New Roman"/>
      <family val="1"/>
    </font>
    <font>
      <b/>
      <sz val="20"/>
      <name val="Arial"/>
      <family val="2"/>
    </font>
    <font>
      <b/>
      <sz val="22"/>
      <name val="Arial"/>
      <family val="2"/>
    </font>
    <font>
      <b/>
      <sz val="24"/>
      <color rgb="FFFF0000"/>
      <name val="Arial"/>
      <family val="2"/>
    </font>
    <font>
      <b/>
      <sz val="20"/>
      <color rgb="FF0070C0"/>
      <name val="Times New Roman"/>
      <family val="1"/>
    </font>
    <font>
      <b/>
      <sz val="22"/>
      <color rgb="FF0070C0"/>
      <name val="Calibri"/>
      <family val="2"/>
      <scheme val="minor"/>
    </font>
    <font>
      <b/>
      <sz val="20"/>
      <color rgb="FFFF0000"/>
      <name val="Times New Roman"/>
      <family val="1"/>
    </font>
    <font>
      <b/>
      <sz val="14"/>
      <color rgb="FF00B050"/>
      <name val="Times New Roman"/>
      <family val="1"/>
    </font>
    <font>
      <b/>
      <sz val="18"/>
      <color rgb="FFFF00FF"/>
      <name val="Times New Roman"/>
      <family val="1"/>
    </font>
    <font>
      <b/>
      <sz val="14"/>
      <color rgb="FF00B0F0"/>
      <name val="Times New Roman"/>
      <family val="1"/>
    </font>
    <font>
      <b/>
      <sz val="14"/>
      <color rgb="FFFF0000"/>
      <name val="Times New Roman"/>
      <family val="1"/>
    </font>
    <font>
      <b/>
      <sz val="22"/>
      <color rgb="FFFF0000"/>
      <name val="Times New Roman"/>
      <family val="1"/>
    </font>
    <font>
      <b/>
      <sz val="14"/>
      <color rgb="FF7030A0"/>
      <name val="Times New Roman"/>
      <family val="1"/>
    </font>
    <font>
      <b/>
      <sz val="18"/>
      <color rgb="FFFF0000"/>
      <name val="Times New Roman"/>
      <family val="1"/>
    </font>
    <font>
      <b/>
      <sz val="22"/>
      <color rgb="FFFF0000"/>
      <name val="Arial"/>
      <family val="2"/>
    </font>
    <font>
      <b/>
      <sz val="20"/>
      <color rgb="FFFF0000"/>
      <name val="Arial"/>
      <family val="2"/>
    </font>
    <font>
      <b/>
      <sz val="20"/>
      <color rgb="FFFF0000"/>
      <name val="Calibri"/>
      <family val="2"/>
      <scheme val="minor"/>
    </font>
    <font>
      <b/>
      <sz val="14"/>
      <name val="Arial"/>
      <family val="2"/>
    </font>
    <font>
      <b/>
      <sz val="12"/>
      <name val="Arial"/>
      <family val="2"/>
    </font>
    <font>
      <b/>
      <sz val="24"/>
      <name val="Arial"/>
      <family val="2"/>
    </font>
    <font>
      <b/>
      <sz val="20"/>
      <color theme="1"/>
      <name val="Arial"/>
      <family val="2"/>
    </font>
    <font>
      <b/>
      <sz val="14"/>
      <color rgb="FFFF0000"/>
      <name val="Arial"/>
      <family val="2"/>
    </font>
    <font>
      <b/>
      <sz val="24"/>
      <color rgb="FFFF0000"/>
      <name val="Calibri"/>
      <family val="2"/>
      <scheme val="minor"/>
    </font>
    <font>
      <b/>
      <sz val="24"/>
      <name val="Calibri"/>
      <family val="2"/>
      <scheme val="minor"/>
    </font>
    <font>
      <b/>
      <sz val="10"/>
      <name val="Calibri"/>
      <family val="2"/>
      <scheme val="minor"/>
    </font>
    <font>
      <b/>
      <sz val="26"/>
      <color rgb="FFFF0000"/>
      <name val="Calibri"/>
      <family val="2"/>
      <scheme val="minor"/>
    </font>
    <font>
      <b/>
      <sz val="12"/>
      <color rgb="FF002060"/>
      <name val="Arial"/>
      <family val="2"/>
    </font>
    <font>
      <b/>
      <sz val="12"/>
      <color theme="1"/>
      <name val="Calibri"/>
      <family val="2"/>
      <scheme val="minor"/>
    </font>
    <font>
      <b/>
      <sz val="12"/>
      <color rgb="FF00B050"/>
      <name val="Arial"/>
      <family val="2"/>
    </font>
    <font>
      <b/>
      <sz val="12"/>
      <color rgb="FFFF0000"/>
      <name val="Arial"/>
      <family val="2"/>
    </font>
    <font>
      <b/>
      <sz val="12"/>
      <color rgb="FFFF0000"/>
      <name val="Calibri"/>
      <family val="2"/>
      <scheme val="minor"/>
    </font>
    <font>
      <b/>
      <sz val="12"/>
      <name val="Calibri"/>
      <family val="2"/>
      <scheme val="minor"/>
    </font>
    <font>
      <b/>
      <sz val="11"/>
      <name val="Arial"/>
      <family val="2"/>
    </font>
    <font>
      <b/>
      <sz val="12"/>
      <color rgb="FF00B050"/>
      <name val="Calibri"/>
      <family val="2"/>
      <scheme val="minor"/>
    </font>
    <font>
      <sz val="12"/>
      <name val="Arial"/>
      <family val="2"/>
    </font>
    <font>
      <b/>
      <sz val="16"/>
      <color rgb="FF002060"/>
      <name val="Arial"/>
      <family val="2"/>
    </font>
    <font>
      <b/>
      <sz val="16"/>
      <name val="Arial"/>
      <family val="2"/>
    </font>
    <font>
      <b/>
      <sz val="16"/>
      <color rgb="FF00B050"/>
      <name val="Arial"/>
      <family val="2"/>
    </font>
    <font>
      <b/>
      <sz val="16"/>
      <color rgb="FFFF0000"/>
      <name val="Arial"/>
      <family val="2"/>
    </font>
    <font>
      <b/>
      <sz val="16"/>
      <color rgb="FFFF0000"/>
      <name val="Calibri"/>
      <family val="2"/>
      <scheme val="minor"/>
    </font>
    <font>
      <b/>
      <sz val="16"/>
      <name val="Calibri"/>
      <family val="2"/>
      <scheme val="minor"/>
    </font>
    <font>
      <b/>
      <sz val="16"/>
      <color theme="1"/>
      <name val="Calibri"/>
      <family val="2"/>
      <scheme val="minor"/>
    </font>
    <font>
      <sz val="26"/>
      <color theme="1"/>
      <name val="Calibri"/>
      <family val="2"/>
      <scheme val="minor"/>
    </font>
    <font>
      <sz val="22"/>
      <name val="Arial"/>
      <family val="2"/>
    </font>
    <font>
      <sz val="26"/>
      <color rgb="FFFF0000"/>
      <name val="Calibri"/>
      <family val="2"/>
      <scheme val="minor"/>
    </font>
    <font>
      <b/>
      <sz val="18"/>
      <color rgb="FF00B050"/>
      <name val="Arial"/>
      <family val="2"/>
    </font>
    <font>
      <b/>
      <sz val="18"/>
      <color rgb="FF00B0F0"/>
      <name val="Arial"/>
      <family val="2"/>
    </font>
    <font>
      <b/>
      <sz val="18"/>
      <color rgb="FFFF0000"/>
      <name val="Arial"/>
      <family val="2"/>
    </font>
    <font>
      <sz val="20"/>
      <name val="Arial"/>
      <family val="2"/>
    </font>
    <font>
      <sz val="20"/>
      <color theme="1"/>
      <name val="Calibri"/>
      <family val="2"/>
      <scheme val="minor"/>
    </font>
    <font>
      <b/>
      <sz val="9"/>
      <name val="Arial"/>
      <family val="2"/>
    </font>
    <font>
      <b/>
      <sz val="12"/>
      <color rgb="FF00B0F0"/>
      <name val="Arial"/>
      <family val="2"/>
    </font>
    <font>
      <b/>
      <sz val="11"/>
      <color rgb="FFFF0000"/>
      <name val="Arial"/>
      <family val="2"/>
    </font>
    <font>
      <b/>
      <sz val="16"/>
      <color rgb="FF7030A0"/>
      <name val="Calibri"/>
      <family val="2"/>
      <scheme val="minor"/>
    </font>
    <font>
      <b/>
      <sz val="12"/>
      <color rgb="FFFF00FF"/>
      <name val="Arial"/>
      <family val="2"/>
    </font>
    <font>
      <b/>
      <sz val="18"/>
      <name val="Arial"/>
      <family val="2"/>
    </font>
    <font>
      <b/>
      <sz val="14"/>
      <color rgb="FFFF00FF"/>
      <name val="Arial"/>
      <family val="2"/>
    </font>
    <font>
      <b/>
      <sz val="18"/>
      <color indexed="10"/>
      <name val="Arial"/>
      <family val="2"/>
    </font>
    <font>
      <b/>
      <i/>
      <u/>
      <sz val="16"/>
      <color rgb="FF7030A0"/>
      <name val="Arial Narrow"/>
      <family val="2"/>
    </font>
    <font>
      <b/>
      <sz val="16"/>
      <color theme="1"/>
      <name val="Arial Narrow"/>
      <family val="2"/>
    </font>
    <font>
      <b/>
      <sz val="14"/>
      <color theme="1"/>
      <name val="Arial Narrow"/>
      <family val="2"/>
    </font>
    <font>
      <b/>
      <sz val="12"/>
      <color theme="1"/>
      <name val="Arial Narrow"/>
      <family val="2"/>
    </font>
    <font>
      <u/>
      <sz val="7.7"/>
      <color theme="10"/>
      <name val="Calibri"/>
      <family val="2"/>
    </font>
    <font>
      <b/>
      <u/>
      <sz val="26"/>
      <name val="Arial Narrow"/>
      <family val="2"/>
    </font>
    <font>
      <b/>
      <sz val="10"/>
      <name val="Bahnschrift Light SemiCondensed"/>
      <family val="2"/>
    </font>
    <font>
      <b/>
      <sz val="18"/>
      <name val="Arial Narrow"/>
      <family val="2"/>
    </font>
    <font>
      <sz val="8.25"/>
      <color rgb="FF000000"/>
      <name val="Arial"/>
      <family val="2"/>
    </font>
    <font>
      <b/>
      <u/>
      <sz val="18"/>
      <color theme="1"/>
      <name val="Arial"/>
      <family val="2"/>
    </font>
    <font>
      <b/>
      <sz val="11"/>
      <color theme="1"/>
      <name val="Arial"/>
      <family val="2"/>
    </font>
    <font>
      <sz val="10"/>
      <color rgb="FF000000"/>
      <name val="Arial"/>
      <family val="2"/>
    </font>
    <font>
      <b/>
      <sz val="8"/>
      <color rgb="FF000000"/>
      <name val="Arial"/>
      <family val="2"/>
    </font>
    <font>
      <b/>
      <u val="double"/>
      <sz val="22"/>
      <color theme="3" tint="0.39982299264503923"/>
      <name val="Arial Narrow"/>
      <family val="2"/>
    </font>
    <font>
      <b/>
      <sz val="11"/>
      <color theme="1"/>
      <name val="Arial Narrow"/>
      <family val="2"/>
    </font>
    <font>
      <sz val="14"/>
      <color theme="1"/>
      <name val="Arial Narrow"/>
      <family val="2"/>
    </font>
    <font>
      <sz val="8"/>
      <color theme="1"/>
      <name val="Arial"/>
      <family val="2"/>
    </font>
    <font>
      <b/>
      <sz val="22"/>
      <color rgb="FF000000"/>
      <name val="Arial"/>
      <family val="2"/>
    </font>
    <font>
      <b/>
      <sz val="14"/>
      <name val="Bahnschrift Light SemiCondensed"/>
      <family val="2"/>
    </font>
    <font>
      <b/>
      <sz val="14"/>
      <name val="Arial Narrow"/>
      <family val="2"/>
    </font>
    <font>
      <b/>
      <sz val="28"/>
      <name val="Arial"/>
      <family val="2"/>
    </font>
    <font>
      <sz val="10"/>
      <color rgb="FF000099"/>
      <name val="Verdana"/>
      <family val="2"/>
    </font>
    <font>
      <sz val="11"/>
      <color rgb="FF000099"/>
      <name val="Verdana"/>
      <family val="2"/>
    </font>
    <font>
      <b/>
      <sz val="11"/>
      <color rgb="FF000099"/>
      <name val="Verdana"/>
      <family val="2"/>
    </font>
    <font>
      <u/>
      <sz val="10"/>
      <color theme="10"/>
      <name val="Calibri"/>
      <family val="2"/>
    </font>
    <font>
      <b/>
      <sz val="12"/>
      <color rgb="FF000000"/>
      <name val="Arial"/>
      <family val="2"/>
    </font>
    <font>
      <sz val="12"/>
      <color rgb="FF000099"/>
      <name val="Verdana"/>
      <family val="2"/>
    </font>
    <font>
      <b/>
      <sz val="12"/>
      <color rgb="FF000099"/>
      <name val="Verdana"/>
      <family val="2"/>
    </font>
    <font>
      <sz val="12"/>
      <color rgb="FF000000"/>
      <name val="Arial"/>
      <family val="2"/>
    </font>
    <font>
      <u/>
      <sz val="12"/>
      <color theme="10"/>
      <name val="Calibri"/>
      <family val="2"/>
    </font>
    <font>
      <b/>
      <sz val="10"/>
      <name val="Arial"/>
      <family val="2"/>
    </font>
  </fonts>
  <fills count="1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5F5F5"/>
        <bgColor indexed="64"/>
      </patternFill>
    </fill>
    <fill>
      <patternFill patternType="solid">
        <fgColor rgb="FFFFFFFF"/>
        <bgColor indexed="64"/>
      </patternFill>
    </fill>
    <fill>
      <patternFill patternType="solid">
        <fgColor rgb="FFC2DFFF"/>
        <bgColor indexed="64"/>
      </patternFill>
    </fill>
    <fill>
      <patternFill patternType="solid">
        <fgColor rgb="FFCCFFFF"/>
        <bgColor indexed="64"/>
      </patternFill>
    </fill>
    <fill>
      <patternFill patternType="solid">
        <fgColor rgb="FFFFF8C6"/>
        <bgColor indexed="64"/>
      </patternFill>
    </fill>
    <fill>
      <patternFill patternType="solid">
        <fgColor rgb="FFFFE6FF"/>
        <bgColor indexed="64"/>
      </patternFill>
    </fill>
    <fill>
      <patternFill patternType="solid">
        <fgColor rgb="FFFF0000"/>
        <bgColor indexed="64"/>
      </patternFill>
    </fill>
    <fill>
      <patternFill patternType="solid">
        <fgColor theme="9"/>
        <bgColor indexed="64"/>
      </patternFill>
    </fill>
    <fill>
      <patternFill patternType="solid">
        <fgColor rgb="FF0070C0"/>
        <bgColor indexed="64"/>
      </patternFill>
    </fill>
  </fills>
  <borders count="88">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style="medium">
        <color auto="1"/>
      </top>
      <bottom/>
      <diagonal/>
    </border>
    <border>
      <left/>
      <right style="medium">
        <color auto="1"/>
      </right>
      <top style="medium">
        <color auto="1"/>
      </top>
      <bottom/>
      <diagonal/>
    </border>
    <border>
      <left style="medium">
        <color rgb="FFC0C0C0"/>
      </left>
      <right style="medium">
        <color rgb="FFC0C0C0"/>
      </right>
      <top/>
      <bottom style="medium">
        <color rgb="FFB8B8B8"/>
      </bottom>
      <diagonal/>
    </border>
    <border>
      <left style="medium">
        <color rgb="FFC0C0C0"/>
      </left>
      <right style="medium">
        <color rgb="FFC0C0C0"/>
      </right>
      <top/>
      <bottom/>
      <diagonal/>
    </border>
    <border>
      <left style="medium">
        <color rgb="FFC0C0C0"/>
      </left>
      <right/>
      <top/>
      <bottom style="medium">
        <color rgb="FFB8B8B8"/>
      </bottom>
      <diagonal/>
    </border>
    <border>
      <left/>
      <right/>
      <top/>
      <bottom style="medium">
        <color rgb="FFB8B8B8"/>
      </bottom>
      <diagonal/>
    </border>
    <border>
      <left/>
      <right style="medium">
        <color rgb="FFC0C0C0"/>
      </right>
      <top/>
      <bottom style="medium">
        <color rgb="FFB8B8B8"/>
      </bottom>
      <diagonal/>
    </border>
    <border>
      <left style="medium">
        <color rgb="FFC0C0C0"/>
      </left>
      <right style="medium">
        <color rgb="FFC0C0C0"/>
      </right>
      <top style="medium">
        <color rgb="FFC0C0C0"/>
      </top>
      <bottom style="medium">
        <color rgb="FFB8B8B8"/>
      </bottom>
      <diagonal/>
    </border>
    <border>
      <left style="medium">
        <color rgb="FFC0C0C0"/>
      </left>
      <right style="medium">
        <color rgb="FFC0C0C0"/>
      </right>
      <top style="medium">
        <color rgb="FFC0C0C0"/>
      </top>
      <bottom/>
      <diagonal/>
    </border>
    <border>
      <left style="medium">
        <color rgb="FFC0C0C0"/>
      </left>
      <right/>
      <top style="medium">
        <color rgb="FFC0C0C0"/>
      </top>
      <bottom style="medium">
        <color rgb="FFB8B8B8"/>
      </bottom>
      <diagonal/>
    </border>
    <border>
      <left/>
      <right/>
      <top style="medium">
        <color rgb="FFC0C0C0"/>
      </top>
      <bottom style="medium">
        <color rgb="FFB8B8B8"/>
      </bottom>
      <diagonal/>
    </border>
    <border>
      <left/>
      <right style="medium">
        <color rgb="FFC0C0C0"/>
      </right>
      <top style="medium">
        <color rgb="FFC0C0C0"/>
      </top>
      <bottom style="medium">
        <color rgb="FFB8B8B8"/>
      </bottom>
      <diagonal/>
    </border>
    <border>
      <left/>
      <right/>
      <top style="medium">
        <color rgb="FFC0C0C0"/>
      </top>
      <bottom/>
      <diagonal/>
    </border>
    <border>
      <left/>
      <right style="medium">
        <color rgb="FFC0C0C0"/>
      </right>
      <top style="medium">
        <color rgb="FFC0C0C0"/>
      </top>
      <bottom/>
      <diagonal/>
    </border>
    <border>
      <left/>
      <right style="medium">
        <color rgb="FFC0C0C0"/>
      </right>
      <top/>
      <bottom/>
      <diagonal/>
    </border>
    <border>
      <left style="medium">
        <color rgb="FFC0C0C0"/>
      </left>
      <right/>
      <top style="medium">
        <color rgb="FFB8B8B8"/>
      </top>
      <bottom style="medium">
        <color rgb="FFB8B8B8"/>
      </bottom>
      <diagonal/>
    </border>
    <border>
      <left/>
      <right/>
      <top style="medium">
        <color rgb="FFB8B8B8"/>
      </top>
      <bottom style="medium">
        <color rgb="FFB8B8B8"/>
      </bottom>
      <diagonal/>
    </border>
    <border>
      <left/>
      <right style="medium">
        <color rgb="FFC0C0C0"/>
      </right>
      <top style="medium">
        <color rgb="FFB8B8B8"/>
      </top>
      <bottom style="medium">
        <color rgb="FFB8B8B8"/>
      </bottom>
      <diagonal/>
    </border>
    <border>
      <left style="medium">
        <color rgb="FFC0C0C0"/>
      </left>
      <right style="medium">
        <color rgb="FFC0C0C0"/>
      </right>
      <top style="medium">
        <color rgb="FFB8B8B8"/>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medium">
        <color indexed="8"/>
      </right>
      <top style="medium">
        <color indexed="64"/>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8"/>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8"/>
      </right>
      <top style="medium">
        <color indexed="64"/>
      </top>
      <bottom/>
      <diagonal/>
    </border>
    <border>
      <left style="medium">
        <color indexed="64"/>
      </left>
      <right/>
      <top/>
      <bottom/>
      <diagonal/>
    </border>
    <border>
      <left/>
      <right style="medium">
        <color indexed="8"/>
      </right>
      <top/>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indexed="64"/>
      </left>
      <right style="medium">
        <color indexed="8"/>
      </right>
      <top style="thin">
        <color indexed="64"/>
      </top>
      <bottom style="medium">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59077">
    <xf numFmtId="0" fontId="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9" fillId="0" borderId="0"/>
    <xf numFmtId="0" fontId="10" fillId="0" borderId="0"/>
    <xf numFmtId="0" fontId="10" fillId="0" borderId="0"/>
    <xf numFmtId="0" fontId="9" fillId="0" borderId="0">
      <alignment vertical="center"/>
    </xf>
    <xf numFmtId="0" fontId="9" fillId="0" borderId="0">
      <alignment vertical="center"/>
    </xf>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9" fillId="0" borderId="0">
      <alignment vertical="center"/>
    </xf>
    <xf numFmtId="0" fontId="9" fillId="0" borderId="0">
      <alignment vertical="center"/>
    </xf>
    <xf numFmtId="0" fontId="10"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2" fillId="0" borderId="0"/>
    <xf numFmtId="0" fontId="9" fillId="0" borderId="0"/>
    <xf numFmtId="0" fontId="9" fillId="0" borderId="0"/>
    <xf numFmtId="0" fontId="9" fillId="0" borderId="0"/>
    <xf numFmtId="0" fontId="2"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2" fillId="0" borderId="0"/>
    <xf numFmtId="0" fontId="9" fillId="0" borderId="0"/>
    <xf numFmtId="0" fontId="9" fillId="0" borderId="0"/>
    <xf numFmtId="0" fontId="2" fillId="0" borderId="0"/>
    <xf numFmtId="0" fontId="9"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2" fillId="0" borderId="0"/>
    <xf numFmtId="0" fontId="2" fillId="0" borderId="0"/>
    <xf numFmtId="0" fontId="2" fillId="0" borderId="0"/>
    <xf numFmtId="0" fontId="9" fillId="0" borderId="0"/>
    <xf numFmtId="0" fontId="2"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12" fillId="0" borderId="0" applyFont="0" applyFill="0" applyBorder="0" applyAlignment="0" applyProtection="0"/>
    <xf numFmtId="0" fontId="83" fillId="0" borderId="0" applyNumberFormat="0" applyFill="0" applyBorder="0" applyAlignment="0" applyProtection="0">
      <alignment vertical="top"/>
      <protection locked="0"/>
    </xf>
    <xf numFmtId="0" fontId="9" fillId="0" borderId="0">
      <alignment vertical="center"/>
    </xf>
    <xf numFmtId="0" fontId="9" fillId="0" borderId="0">
      <alignment vertical="center"/>
    </xf>
    <xf numFmtId="0" fontId="9" fillId="0" borderId="0">
      <alignment vertical="center"/>
    </xf>
  </cellStyleXfs>
  <cellXfs count="421">
    <xf numFmtId="0" fontId="0" fillId="0" borderId="0" xfId="0"/>
    <xf numFmtId="0" fontId="0" fillId="0" borderId="0" xfId="0" applyAlignment="1">
      <alignment vertical="center"/>
    </xf>
    <xf numFmtId="0" fontId="0" fillId="0" borderId="0" xfId="0" applyAlignment="1">
      <alignment wrapText="1"/>
    </xf>
    <xf numFmtId="0" fontId="5" fillId="0" borderId="0" xfId="0" applyFont="1"/>
    <xf numFmtId="0" fontId="6" fillId="0" borderId="0" xfId="0" applyFont="1"/>
    <xf numFmtId="0" fontId="5" fillId="0" borderId="0" xfId="0" applyFont="1" applyBorder="1"/>
    <xf numFmtId="0" fontId="5" fillId="0" borderId="0" xfId="0" applyFont="1" applyBorder="1" applyAlignment="1">
      <alignment horizontal="center" vertical="center"/>
    </xf>
    <xf numFmtId="0" fontId="7" fillId="0" borderId="0" xfId="0" applyFont="1"/>
    <xf numFmtId="0" fontId="0" fillId="2" borderId="0" xfId="0" applyFill="1"/>
    <xf numFmtId="0" fontId="10" fillId="0" borderId="0" xfId="0" applyFont="1" applyAlignment="1">
      <alignment vertical="top"/>
    </xf>
    <xf numFmtId="0" fontId="11" fillId="0" borderId="0" xfId="0" applyFont="1"/>
    <xf numFmtId="0" fontId="28" fillId="0" borderId="1" xfId="0" applyFont="1" applyBorder="1" applyAlignment="1">
      <alignment horizontal="center" vertical="center" wrapText="1"/>
    </xf>
    <xf numFmtId="0" fontId="22" fillId="0" borderId="2" xfId="0" applyFont="1" applyBorder="1" applyAlignment="1">
      <alignment horizontal="center" vertical="center"/>
    </xf>
    <xf numFmtId="0" fontId="24" fillId="0" borderId="2" xfId="0" applyFont="1" applyFill="1" applyBorder="1" applyAlignment="1">
      <alignment horizontal="center" vertical="center"/>
    </xf>
    <xf numFmtId="0" fontId="29" fillId="0" borderId="2" xfId="0" applyFont="1" applyBorder="1" applyAlignment="1">
      <alignment horizontal="center" vertical="center" wrapText="1"/>
    </xf>
    <xf numFmtId="49" fontId="25" fillId="0" borderId="2" xfId="77" applyNumberFormat="1" applyFont="1" applyBorder="1" applyAlignment="1">
      <alignment horizontal="center" vertical="center" wrapText="1"/>
    </xf>
    <xf numFmtId="164" fontId="25" fillId="0" borderId="2" xfId="0" applyNumberFormat="1" applyFont="1" applyBorder="1" applyAlignment="1">
      <alignment horizontal="center" vertical="center" wrapText="1"/>
    </xf>
    <xf numFmtId="0" fontId="23" fillId="0" borderId="2" xfId="0" applyFont="1" applyBorder="1" applyAlignment="1">
      <alignment horizontal="center" vertical="center"/>
    </xf>
    <xf numFmtId="164" fontId="27" fillId="0" borderId="2" xfId="0" applyNumberFormat="1" applyFont="1" applyBorder="1" applyAlignment="1">
      <alignment horizontal="center" vertical="center" wrapText="1"/>
    </xf>
    <xf numFmtId="1" fontId="47" fillId="0" borderId="2" xfId="0" applyNumberFormat="1" applyFont="1" applyBorder="1" applyAlignment="1">
      <alignment horizontal="center" vertical="center"/>
    </xf>
    <xf numFmtId="1" fontId="56" fillId="0" borderId="2" xfId="0" applyNumberFormat="1" applyFont="1" applyBorder="1" applyAlignment="1">
      <alignment horizontal="center" vertical="center"/>
    </xf>
    <xf numFmtId="0" fontId="42" fillId="0" borderId="8" xfId="0" applyFont="1" applyBorder="1" applyAlignment="1">
      <alignment horizontal="center" vertical="center" wrapText="1"/>
    </xf>
    <xf numFmtId="0" fontId="69" fillId="0" borderId="0" xfId="72" applyFont="1"/>
    <xf numFmtId="0" fontId="70" fillId="0" borderId="0" xfId="0" applyFont="1"/>
    <xf numFmtId="49" fontId="68" fillId="2" borderId="6" xfId="0" applyNumberFormat="1" applyFont="1" applyFill="1" applyBorder="1" applyAlignment="1">
      <alignment horizontal="center" vertical="center"/>
    </xf>
    <xf numFmtId="49" fontId="68" fillId="2" borderId="4" xfId="0" applyNumberFormat="1" applyFont="1" applyFill="1" applyBorder="1" applyAlignment="1">
      <alignment horizontal="center" vertical="center"/>
    </xf>
    <xf numFmtId="0" fontId="45" fillId="0" borderId="0" xfId="0" applyFont="1"/>
    <xf numFmtId="0" fontId="11" fillId="0" borderId="0" xfId="0" applyFont="1" applyBorder="1"/>
    <xf numFmtId="0" fontId="5" fillId="0" borderId="33" xfId="0" applyFont="1" applyBorder="1" applyAlignment="1">
      <alignment horizontal="center" vertical="center"/>
    </xf>
    <xf numFmtId="1" fontId="59" fillId="0" borderId="29" xfId="0" applyNumberFormat="1" applyFont="1" applyBorder="1" applyAlignment="1">
      <alignment horizontal="center" vertical="center" wrapText="1"/>
    </xf>
    <xf numFmtId="0" fontId="79" fillId="0" borderId="37" xfId="0" applyFont="1" applyBorder="1" applyAlignment="1">
      <alignment horizontal="center" vertical="center"/>
    </xf>
    <xf numFmtId="0" fontId="11" fillId="0" borderId="4" xfId="0" applyFont="1" applyBorder="1"/>
    <xf numFmtId="0" fontId="11" fillId="0" borderId="41" xfId="0" applyFont="1" applyBorder="1"/>
    <xf numFmtId="0" fontId="80" fillId="0" borderId="45" xfId="0" applyFont="1" applyBorder="1" applyAlignment="1">
      <alignment horizontal="center" vertical="center"/>
    </xf>
    <xf numFmtId="0" fontId="87" fillId="0" borderId="17" xfId="0" applyFont="1" applyFill="1" applyBorder="1" applyAlignment="1">
      <alignment horizontal="center" vertical="center" wrapText="1"/>
    </xf>
    <xf numFmtId="22" fontId="87" fillId="0" borderId="17" xfId="0" applyNumberFormat="1" applyFont="1" applyFill="1" applyBorder="1" applyAlignment="1">
      <alignment horizontal="center" vertical="center" wrapText="1"/>
    </xf>
    <xf numFmtId="0" fontId="87" fillId="0" borderId="12" xfId="0" applyFont="1" applyFill="1" applyBorder="1" applyAlignment="1">
      <alignment horizontal="center" vertical="center" wrapText="1"/>
    </xf>
    <xf numFmtId="22" fontId="87" fillId="0" borderId="12" xfId="0" applyNumberFormat="1" applyFont="1" applyFill="1" applyBorder="1" applyAlignment="1">
      <alignment horizontal="center" vertical="center" wrapText="1"/>
    </xf>
    <xf numFmtId="0" fontId="89" fillId="0" borderId="48" xfId="0" applyFont="1" applyFill="1" applyBorder="1" applyAlignment="1">
      <alignment horizontal="center" vertical="center" wrapText="1"/>
    </xf>
    <xf numFmtId="0" fontId="89" fillId="0" borderId="49" xfId="0" applyFont="1" applyFill="1" applyBorder="1" applyAlignment="1">
      <alignment horizontal="center" vertical="center" wrapText="1"/>
    </xf>
    <xf numFmtId="0" fontId="89" fillId="0" borderId="50" xfId="0" applyFont="1" applyFill="1" applyBorder="1" applyAlignment="1">
      <alignment horizontal="center" vertical="center" wrapText="1"/>
    </xf>
    <xf numFmtId="0" fontId="95" fillId="5" borderId="0" xfId="0" applyFont="1" applyFill="1" applyAlignment="1">
      <alignment horizontal="center" wrapText="1"/>
    </xf>
    <xf numFmtId="0" fontId="95" fillId="5" borderId="0" xfId="0" applyFont="1" applyFill="1" applyAlignment="1">
      <alignment horizontal="right" wrapText="1"/>
    </xf>
    <xf numFmtId="0" fontId="91" fillId="7" borderId="12" xfId="0" applyFont="1" applyFill="1" applyBorder="1" applyAlignment="1">
      <alignment horizontal="center" vertical="center" wrapText="1"/>
    </xf>
    <xf numFmtId="0" fontId="11" fillId="0" borderId="51" xfId="0" applyFont="1" applyBorder="1"/>
    <xf numFmtId="0" fontId="11" fillId="0" borderId="52" xfId="0" applyFont="1" applyBorder="1"/>
    <xf numFmtId="0" fontId="44" fillId="2" borderId="4" xfId="983" applyNumberFormat="1" applyFont="1" applyFill="1" applyBorder="1" applyAlignment="1">
      <alignment horizontal="center" vertical="center" wrapText="1"/>
    </xf>
    <xf numFmtId="1" fontId="46" fillId="2" borderId="4" xfId="983" applyNumberFormat="1" applyFont="1" applyFill="1" applyBorder="1" applyAlignment="1">
      <alignment horizontal="center" vertical="center" wrapText="1"/>
    </xf>
    <xf numFmtId="0" fontId="45" fillId="0" borderId="4" xfId="0" applyFont="1" applyBorder="1"/>
    <xf numFmtId="0" fontId="5" fillId="0" borderId="52" xfId="0" applyFont="1" applyBorder="1" applyAlignment="1">
      <alignment horizontal="center" vertical="center"/>
    </xf>
    <xf numFmtId="1" fontId="76" fillId="0" borderId="2" xfId="0" applyNumberFormat="1" applyFont="1" applyBorder="1" applyAlignment="1">
      <alignment horizontal="center" vertical="center" wrapText="1"/>
    </xf>
    <xf numFmtId="0" fontId="90" fillId="9" borderId="12" xfId="0" applyFont="1" applyFill="1" applyBorder="1" applyAlignment="1">
      <alignment horizontal="center" vertical="center" wrapText="1"/>
    </xf>
    <xf numFmtId="0" fontId="10" fillId="0" borderId="0" xfId="0" applyFont="1"/>
    <xf numFmtId="0" fontId="104" fillId="7" borderId="17" xfId="0" applyFont="1" applyFill="1" applyBorder="1" applyAlignment="1">
      <alignment horizontal="center" vertical="center" wrapText="1"/>
    </xf>
    <xf numFmtId="0" fontId="104" fillId="7" borderId="18" xfId="0" applyFont="1" applyFill="1" applyBorder="1" applyAlignment="1">
      <alignment horizontal="center" vertical="center" wrapText="1"/>
    </xf>
    <xf numFmtId="0" fontId="10" fillId="6" borderId="22" xfId="0" applyFont="1" applyFill="1" applyBorder="1"/>
    <xf numFmtId="0" fontId="10" fillId="6" borderId="23" xfId="0" applyFont="1" applyFill="1" applyBorder="1"/>
    <xf numFmtId="0" fontId="104" fillId="7" borderId="12" xfId="0" applyFont="1" applyFill="1" applyBorder="1" applyAlignment="1">
      <alignment horizontal="center" vertical="center" wrapText="1"/>
    </xf>
    <xf numFmtId="0" fontId="104" fillId="7" borderId="13" xfId="0" applyFont="1" applyFill="1" applyBorder="1" applyAlignment="1">
      <alignment horizontal="center" vertical="center" wrapText="1"/>
    </xf>
    <xf numFmtId="0" fontId="10" fillId="6" borderId="0" xfId="0" applyFont="1" applyFill="1"/>
    <xf numFmtId="0" fontId="10" fillId="6" borderId="24" xfId="0" applyFont="1" applyFill="1" applyBorder="1"/>
    <xf numFmtId="0" fontId="107" fillId="6" borderId="12" xfId="0" applyFont="1" applyFill="1" applyBorder="1" applyAlignment="1">
      <alignment horizontal="center" vertical="center" wrapText="1"/>
    </xf>
    <xf numFmtId="0" fontId="107" fillId="6" borderId="12" xfId="0" applyFont="1" applyFill="1" applyBorder="1" applyAlignment="1">
      <alignment horizontal="left" vertical="center" wrapText="1"/>
    </xf>
    <xf numFmtId="0" fontId="108" fillId="6" borderId="12" xfId="59073" applyFont="1" applyFill="1" applyBorder="1" applyAlignment="1" applyProtection="1">
      <alignment horizontal="center" vertical="center" wrapText="1"/>
    </xf>
    <xf numFmtId="0" fontId="108" fillId="9" borderId="12" xfId="59073" applyFont="1" applyFill="1" applyBorder="1" applyAlignment="1" applyProtection="1">
      <alignment horizontal="center" vertical="center" wrapText="1"/>
    </xf>
    <xf numFmtId="0" fontId="107" fillId="9" borderId="12" xfId="0" applyFont="1" applyFill="1" applyBorder="1" applyAlignment="1">
      <alignment horizontal="center" vertical="center" wrapText="1"/>
    </xf>
    <xf numFmtId="0" fontId="108" fillId="10" borderId="12" xfId="59073" applyFont="1" applyFill="1" applyBorder="1" applyAlignment="1" applyProtection="1">
      <alignment horizontal="center" vertical="center" wrapText="1"/>
    </xf>
    <xf numFmtId="0" fontId="107" fillId="10" borderId="12" xfId="0" applyFont="1" applyFill="1" applyBorder="1" applyAlignment="1">
      <alignment horizontal="center" vertical="center" wrapText="1"/>
    </xf>
    <xf numFmtId="0" fontId="80" fillId="0" borderId="60" xfId="0" applyFont="1" applyBorder="1" applyAlignment="1">
      <alignment horizontal="center" vertical="center"/>
    </xf>
    <xf numFmtId="0" fontId="80" fillId="0" borderId="69" xfId="0" applyFont="1" applyFill="1" applyBorder="1" applyAlignment="1">
      <alignment horizontal="center" vertical="center"/>
    </xf>
    <xf numFmtId="0" fontId="97" fillId="0" borderId="71" xfId="0" applyFont="1" applyFill="1" applyBorder="1" applyAlignment="1">
      <alignment horizontal="center" vertical="center" wrapText="1"/>
    </xf>
    <xf numFmtId="0" fontId="85" fillId="0" borderId="71" xfId="0" applyFont="1" applyFill="1" applyBorder="1" applyAlignment="1">
      <alignment horizontal="center" vertical="center" wrapText="1"/>
    </xf>
    <xf numFmtId="0" fontId="87" fillId="0" borderId="17" xfId="0" applyFont="1" applyFill="1" applyBorder="1" applyAlignment="1">
      <alignment horizontal="left" vertical="center" wrapText="1"/>
    </xf>
    <xf numFmtId="0" fontId="0" fillId="0" borderId="76" xfId="0" applyFont="1" applyFill="1" applyBorder="1" applyAlignment="1">
      <alignment horizontal="left" vertical="center" wrapText="1"/>
    </xf>
    <xf numFmtId="0" fontId="87" fillId="0" borderId="12" xfId="0" applyFont="1" applyFill="1" applyBorder="1" applyAlignment="1">
      <alignment horizontal="left" vertical="center" wrapText="1"/>
    </xf>
    <xf numFmtId="0" fontId="0" fillId="0" borderId="77" xfId="0" applyBorder="1" applyAlignment="1">
      <alignment horizontal="center" vertical="center"/>
    </xf>
    <xf numFmtId="0" fontId="0" fillId="0" borderId="78" xfId="0" applyBorder="1" applyAlignment="1">
      <alignment horizontal="center" vertical="center"/>
    </xf>
    <xf numFmtId="0" fontId="90" fillId="0" borderId="12" xfId="0" applyFont="1" applyBorder="1" applyAlignment="1">
      <alignment horizontal="center" vertical="center" wrapText="1"/>
    </xf>
    <xf numFmtId="0" fontId="103" fillId="0" borderId="12" xfId="59073" applyFont="1" applyBorder="1" applyAlignment="1" applyProtection="1">
      <alignment horizontal="center" vertical="center" wrapText="1"/>
    </xf>
    <xf numFmtId="0" fontId="90" fillId="0" borderId="12" xfId="0" applyFont="1" applyBorder="1" applyAlignment="1">
      <alignment horizontal="left" vertical="center" wrapText="1"/>
    </xf>
    <xf numFmtId="22" fontId="90" fillId="0" borderId="12" xfId="0" applyNumberFormat="1" applyFont="1" applyBorder="1" applyAlignment="1">
      <alignment horizontal="center" vertical="center" wrapText="1"/>
    </xf>
    <xf numFmtId="0" fontId="90" fillId="5" borderId="12" xfId="0" applyFont="1" applyFill="1" applyBorder="1" applyAlignment="1">
      <alignment horizontal="center" vertical="center" wrapText="1"/>
    </xf>
    <xf numFmtId="0" fontId="103" fillId="5" borderId="12" xfId="59073" applyFont="1" applyFill="1" applyBorder="1" applyAlignment="1" applyProtection="1">
      <alignment horizontal="center" vertical="center" wrapText="1"/>
    </xf>
    <xf numFmtId="0" fontId="90" fillId="5" borderId="12" xfId="0" applyFont="1" applyFill="1" applyBorder="1" applyAlignment="1">
      <alignment horizontal="left" vertical="center" wrapText="1"/>
    </xf>
    <xf numFmtId="22" fontId="90" fillId="5" borderId="12" xfId="0" applyNumberFormat="1" applyFont="1" applyFill="1" applyBorder="1" applyAlignment="1">
      <alignment horizontal="center" vertical="center" wrapText="1"/>
    </xf>
    <xf numFmtId="0" fontId="39" fillId="0" borderId="79" xfId="0" applyFont="1" applyBorder="1" applyAlignment="1">
      <alignment horizontal="center" vertical="center" wrapText="1"/>
    </xf>
    <xf numFmtId="0" fontId="50" fillId="0" borderId="80" xfId="0" applyFont="1" applyBorder="1" applyAlignment="1">
      <alignment horizontal="center" vertical="center"/>
    </xf>
    <xf numFmtId="0" fontId="39" fillId="0" borderId="80" xfId="0" applyFont="1" applyBorder="1" applyAlignment="1">
      <alignment horizontal="center" vertical="center"/>
    </xf>
    <xf numFmtId="0" fontId="39" fillId="0" borderId="80" xfId="0" applyFont="1" applyBorder="1" applyAlignment="1">
      <alignment horizontal="center" vertical="center" wrapText="1"/>
    </xf>
    <xf numFmtId="0" fontId="50" fillId="0" borderId="80" xfId="0" applyFont="1" applyBorder="1" applyAlignment="1">
      <alignment horizontal="center" vertical="center" wrapText="1"/>
    </xf>
    <xf numFmtId="0" fontId="72" fillId="0" borderId="80" xfId="0" applyFont="1" applyBorder="1" applyAlignment="1">
      <alignment horizontal="center" vertical="center" wrapText="1"/>
    </xf>
    <xf numFmtId="0" fontId="73" fillId="0" borderId="80" xfId="0" applyFont="1" applyBorder="1" applyAlignment="1">
      <alignment horizontal="center" vertical="center" wrapText="1"/>
    </xf>
    <xf numFmtId="0" fontId="74" fillId="0" borderId="80" xfId="2" applyFont="1" applyFill="1" applyBorder="1" applyAlignment="1">
      <alignment horizontal="center" vertical="center" wrapText="1"/>
    </xf>
    <xf numFmtId="0" fontId="38" fillId="0" borderId="79" xfId="0" applyFont="1" applyBorder="1" applyAlignment="1">
      <alignment horizontal="center" vertical="center" wrapText="1"/>
    </xf>
    <xf numFmtId="1" fontId="76" fillId="0" borderId="80" xfId="0" applyNumberFormat="1" applyFont="1" applyBorder="1" applyAlignment="1">
      <alignment horizontal="center" vertical="center" wrapText="1"/>
    </xf>
    <xf numFmtId="1" fontId="76" fillId="0" borderId="80" xfId="0" applyNumberFormat="1" applyFont="1" applyBorder="1" applyAlignment="1">
      <alignment horizontal="center" vertical="center"/>
    </xf>
    <xf numFmtId="0" fontId="76" fillId="0" borderId="80" xfId="0" applyFont="1" applyBorder="1" applyAlignment="1">
      <alignment horizontal="center" vertical="center"/>
    </xf>
    <xf numFmtId="0" fontId="68" fillId="0" borderId="80" xfId="0" applyFont="1" applyBorder="1" applyAlignment="1">
      <alignment horizontal="center" vertical="center"/>
    </xf>
    <xf numFmtId="164" fontId="68" fillId="0" borderId="80" xfId="0" applyNumberFormat="1" applyFont="1" applyBorder="1" applyAlignment="1">
      <alignment horizontal="center" vertical="center"/>
    </xf>
    <xf numFmtId="0" fontId="76" fillId="0" borderId="80" xfId="0" applyFont="1" applyBorder="1" applyAlignment="1">
      <alignment horizontal="center" vertical="center" wrapText="1"/>
    </xf>
    <xf numFmtId="49" fontId="67" fillId="0" borderId="80" xfId="0" applyNumberFormat="1" applyFont="1" applyBorder="1" applyAlignment="1">
      <alignment horizontal="center" vertical="center"/>
    </xf>
    <xf numFmtId="49" fontId="68" fillId="2" borderId="80" xfId="0" applyNumberFormat="1" applyFont="1" applyFill="1" applyBorder="1" applyAlignment="1">
      <alignment horizontal="center" vertical="center"/>
    </xf>
    <xf numFmtId="0" fontId="57" fillId="0" borderId="79" xfId="0" applyFont="1" applyBorder="1" applyAlignment="1">
      <alignment horizontal="center" vertical="center" wrapText="1"/>
    </xf>
    <xf numFmtId="1" fontId="68" fillId="0" borderId="80" xfId="0" applyNumberFormat="1" applyFont="1" applyBorder="1" applyAlignment="1">
      <alignment horizontal="center" vertical="center"/>
    </xf>
    <xf numFmtId="0" fontId="68" fillId="0" borderId="80" xfId="0" applyFont="1" applyBorder="1" applyAlignment="1">
      <alignment horizontal="center" vertical="center" wrapText="1"/>
    </xf>
    <xf numFmtId="0" fontId="59" fillId="0" borderId="79" xfId="0" applyFont="1" applyBorder="1" applyAlignment="1">
      <alignment horizontal="center" vertical="center" wrapText="1"/>
    </xf>
    <xf numFmtId="1" fontId="68" fillId="0" borderId="80" xfId="0" applyNumberFormat="1" applyFont="1" applyBorder="1" applyAlignment="1">
      <alignment horizontal="center" vertical="center" wrapText="1"/>
    </xf>
    <xf numFmtId="0" fontId="50" fillId="0" borderId="79" xfId="0" applyFont="1" applyBorder="1" applyAlignment="1">
      <alignment horizontal="center" vertical="center" wrapText="1"/>
    </xf>
    <xf numFmtId="0" fontId="49" fillId="0" borderId="80" xfId="0" applyFont="1" applyBorder="1" applyAlignment="1">
      <alignment horizontal="center" vertical="center" wrapText="1"/>
    </xf>
    <xf numFmtId="0" fontId="77" fillId="0" borderId="80" xfId="0" applyFont="1" applyBorder="1" applyAlignment="1">
      <alignment horizontal="center" vertical="center" wrapText="1"/>
    </xf>
    <xf numFmtId="0" fontId="38" fillId="0" borderId="80" xfId="0" applyFont="1" applyBorder="1" applyAlignment="1">
      <alignment horizontal="center" vertical="center" wrapText="1"/>
    </xf>
    <xf numFmtId="0" fontId="38" fillId="0" borderId="81" xfId="0" applyFont="1" applyBorder="1" applyAlignment="1">
      <alignment horizontal="center" vertical="center" wrapText="1"/>
    </xf>
    <xf numFmtId="0" fontId="38" fillId="0" borderId="79" xfId="0" applyFont="1" applyBorder="1" applyAlignment="1">
      <alignment horizontal="center" vertical="center"/>
    </xf>
    <xf numFmtId="0" fontId="66" fillId="0" borderId="80" xfId="0" applyFont="1" applyBorder="1" applyAlignment="1">
      <alignment horizontal="center" vertical="center" wrapText="1"/>
    </xf>
    <xf numFmtId="0" fontId="66" fillId="0" borderId="80" xfId="0" applyFont="1" applyFill="1" applyBorder="1" applyAlignment="1">
      <alignment horizontal="center" vertical="center" wrapText="1"/>
    </xf>
    <xf numFmtId="0" fontId="53" fillId="0" borderId="79" xfId="0" applyFont="1" applyBorder="1" applyAlignment="1">
      <alignment horizontal="center" vertical="center" wrapText="1"/>
    </xf>
    <xf numFmtId="0" fontId="38" fillId="0" borderId="70" xfId="0" applyFont="1" applyBorder="1" applyAlignment="1">
      <alignment horizontal="center" vertical="center" wrapText="1"/>
    </xf>
    <xf numFmtId="1" fontId="68" fillId="0" borderId="71" xfId="0" applyNumberFormat="1" applyFont="1" applyBorder="1" applyAlignment="1">
      <alignment horizontal="center" vertical="center" wrapText="1"/>
    </xf>
    <xf numFmtId="1" fontId="78" fillId="0" borderId="71" xfId="0" applyNumberFormat="1" applyFont="1" applyBorder="1" applyAlignment="1">
      <alignment horizontal="center" vertical="center" wrapText="1"/>
    </xf>
    <xf numFmtId="0" fontId="68" fillId="0" borderId="71" xfId="0" applyFont="1" applyBorder="1" applyAlignment="1">
      <alignment horizontal="center" vertical="center"/>
    </xf>
    <xf numFmtId="164" fontId="68" fillId="0" borderId="71" xfId="0" applyNumberFormat="1" applyFont="1" applyBorder="1" applyAlignment="1">
      <alignment horizontal="center" vertical="center"/>
    </xf>
    <xf numFmtId="0" fontId="68" fillId="0" borderId="71" xfId="0" applyFont="1" applyBorder="1" applyAlignment="1">
      <alignment horizontal="center" vertical="center" wrapText="1"/>
    </xf>
    <xf numFmtId="0" fontId="77" fillId="0" borderId="71" xfId="0" applyFont="1" applyBorder="1" applyAlignment="1">
      <alignment horizontal="center" vertical="center" wrapText="1"/>
    </xf>
    <xf numFmtId="49" fontId="76" fillId="0" borderId="71" xfId="0" applyNumberFormat="1" applyFont="1" applyBorder="1" applyAlignment="1">
      <alignment horizontal="center" vertical="center"/>
    </xf>
    <xf numFmtId="49" fontId="76" fillId="0" borderId="86" xfId="0" applyNumberFormat="1" applyFont="1" applyBorder="1" applyAlignment="1">
      <alignment horizontal="center" vertical="center"/>
    </xf>
    <xf numFmtId="1" fontId="39" fillId="0" borderId="80" xfId="0" applyNumberFormat="1" applyFont="1" applyBorder="1" applyAlignment="1">
      <alignment horizontal="center" vertical="center"/>
    </xf>
    <xf numFmtId="0" fontId="48" fillId="0" borderId="80" xfId="0" applyFont="1" applyBorder="1" applyAlignment="1">
      <alignment horizontal="center" vertical="center" wrapText="1"/>
    </xf>
    <xf numFmtId="1" fontId="49" fillId="0" borderId="80" xfId="0" applyNumberFormat="1" applyFont="1" applyBorder="1" applyAlignment="1">
      <alignment horizontal="center" vertical="center" wrapText="1"/>
    </xf>
    <xf numFmtId="1" fontId="50" fillId="0" borderId="80" xfId="0" applyNumberFormat="1" applyFont="1" applyBorder="1" applyAlignment="1">
      <alignment horizontal="center" vertical="center" wrapText="1"/>
    </xf>
    <xf numFmtId="1" fontId="50" fillId="0" borderId="80" xfId="0" applyNumberFormat="1" applyFont="1" applyBorder="1" applyAlignment="1">
      <alignment horizontal="center" vertical="center"/>
    </xf>
    <xf numFmtId="1" fontId="51" fillId="0" borderId="80" xfId="0" applyNumberFormat="1" applyFont="1" applyBorder="1" applyAlignment="1">
      <alignment horizontal="center" vertical="center"/>
    </xf>
    <xf numFmtId="0" fontId="51" fillId="0" borderId="80" xfId="0" applyFont="1" applyBorder="1" applyAlignment="1">
      <alignment horizontal="center" vertical="center" wrapText="1"/>
    </xf>
    <xf numFmtId="0" fontId="52" fillId="0" borderId="80" xfId="0" applyFont="1" applyBorder="1" applyAlignment="1">
      <alignment horizontal="center" vertical="center" wrapText="1"/>
    </xf>
    <xf numFmtId="1" fontId="71" fillId="0" borderId="80" xfId="0" applyNumberFormat="1" applyFont="1" applyBorder="1" applyAlignment="1">
      <alignment horizontal="center" vertical="center" wrapText="1"/>
    </xf>
    <xf numFmtId="0" fontId="39" fillId="3" borderId="80" xfId="0" applyFont="1" applyFill="1" applyBorder="1" applyAlignment="1">
      <alignment horizontal="center" vertical="center" wrapText="1"/>
    </xf>
    <xf numFmtId="0" fontId="54" fillId="4" borderId="80" xfId="0" applyFont="1" applyFill="1" applyBorder="1" applyAlignment="1">
      <alignment horizontal="center" vertical="center" wrapText="1"/>
    </xf>
    <xf numFmtId="0" fontId="55" fillId="0" borderId="80" xfId="0" applyFont="1" applyBorder="1" applyAlignment="1">
      <alignment horizontal="center" vertical="center" wrapText="1"/>
    </xf>
    <xf numFmtId="0" fontId="55" fillId="0" borderId="80" xfId="72" applyFont="1" applyBorder="1" applyAlignment="1">
      <alignment horizontal="center" vertical="center" wrapText="1"/>
    </xf>
    <xf numFmtId="1" fontId="57" fillId="0" borderId="80" xfId="0" applyNumberFormat="1" applyFont="1" applyBorder="1" applyAlignment="1">
      <alignment horizontal="center" vertical="center"/>
    </xf>
    <xf numFmtId="1" fontId="58" fillId="0" borderId="80" xfId="0" applyNumberFormat="1" applyFont="1" applyBorder="1" applyAlignment="1">
      <alignment horizontal="center" vertical="center"/>
    </xf>
    <xf numFmtId="1" fontId="59" fillId="0" borderId="80" xfId="0" applyNumberFormat="1" applyFont="1" applyBorder="1" applyAlignment="1">
      <alignment horizontal="center" vertical="center" wrapText="1"/>
    </xf>
    <xf numFmtId="1" fontId="59" fillId="0" borderId="80" xfId="0" applyNumberFormat="1" applyFont="1" applyBorder="1" applyAlignment="1">
      <alignment horizontal="center" vertical="center"/>
    </xf>
    <xf numFmtId="1" fontId="60" fillId="0" borderId="80" xfId="0" applyNumberFormat="1" applyFont="1" applyBorder="1" applyAlignment="1">
      <alignment horizontal="center" vertical="center"/>
    </xf>
    <xf numFmtId="164" fontId="59" fillId="0" borderId="80" xfId="0" applyNumberFormat="1" applyFont="1" applyBorder="1" applyAlignment="1">
      <alignment horizontal="center" vertical="center"/>
    </xf>
    <xf numFmtId="0" fontId="61" fillId="0" borderId="80" xfId="0" applyFont="1" applyBorder="1" applyAlignment="1">
      <alignment horizontal="center" vertical="center"/>
    </xf>
    <xf numFmtId="0" fontId="57" fillId="0" borderId="80" xfId="0" applyFont="1" applyBorder="1" applyAlignment="1">
      <alignment horizontal="center" vertical="center" wrapText="1"/>
    </xf>
    <xf numFmtId="0" fontId="62" fillId="0" borderId="80" xfId="0" applyFont="1" applyBorder="1" applyAlignment="1">
      <alignment horizontal="center" vertical="center"/>
    </xf>
    <xf numFmtId="0" fontId="57" fillId="3" borderId="80" xfId="0" applyFont="1" applyFill="1" applyBorder="1" applyAlignment="1">
      <alignment horizontal="center" vertical="center" wrapText="1"/>
    </xf>
    <xf numFmtId="0" fontId="63" fillId="0" borderId="80" xfId="0" applyFont="1" applyBorder="1" applyAlignment="1">
      <alignment horizontal="center" vertical="center"/>
    </xf>
    <xf numFmtId="0" fontId="64" fillId="0" borderId="80" xfId="0" applyFont="1" applyBorder="1" applyAlignment="1">
      <alignment horizontal="center" vertical="center"/>
    </xf>
    <xf numFmtId="1" fontId="59" fillId="0" borderId="80" xfId="0" applyNumberFormat="1" applyFont="1" applyFill="1" applyBorder="1" applyAlignment="1">
      <alignment horizontal="center" vertical="center"/>
    </xf>
    <xf numFmtId="0" fontId="65" fillId="0" borderId="80" xfId="0" applyFont="1" applyBorder="1" applyAlignment="1">
      <alignment horizontal="center" vertical="center"/>
    </xf>
    <xf numFmtId="164" fontId="36" fillId="0" borderId="80" xfId="0" applyNumberFormat="1" applyFont="1" applyBorder="1" applyAlignment="1">
      <alignment horizontal="center" vertical="center"/>
    </xf>
    <xf numFmtId="164" fontId="66" fillId="0" borderId="80" xfId="0" applyNumberFormat="1" applyFont="1" applyBorder="1" applyAlignment="1">
      <alignment horizontal="center" vertical="center" wrapText="1"/>
    </xf>
    <xf numFmtId="164" fontId="67" fillId="0" borderId="80" xfId="0" applyNumberFormat="1" applyFont="1" applyBorder="1" applyAlignment="1">
      <alignment horizontal="center" vertical="center" wrapText="1"/>
    </xf>
    <xf numFmtId="164" fontId="68" fillId="0" borderId="80" xfId="0" applyNumberFormat="1" applyFont="1" applyBorder="1" applyAlignment="1">
      <alignment horizontal="center" vertical="center" wrapText="1"/>
    </xf>
    <xf numFmtId="164" fontId="50" fillId="0" borderId="80" xfId="0" applyNumberFormat="1" applyFont="1" applyBorder="1" applyAlignment="1">
      <alignment horizontal="center" vertical="center" wrapText="1"/>
    </xf>
    <xf numFmtId="1" fontId="53" fillId="0" borderId="80" xfId="0" applyNumberFormat="1" applyFont="1" applyBorder="1" applyAlignment="1">
      <alignment horizontal="center" vertical="center" wrapText="1"/>
    </xf>
    <xf numFmtId="0" fontId="19" fillId="0" borderId="79" xfId="0" applyFont="1" applyBorder="1" applyAlignment="1">
      <alignment horizontal="center" vertical="center" wrapText="1"/>
    </xf>
    <xf numFmtId="0" fontId="22" fillId="0" borderId="80" xfId="77" applyFont="1" applyBorder="1" applyAlignment="1">
      <alignment horizontal="center" vertical="center"/>
    </xf>
    <xf numFmtId="0" fontId="23" fillId="0" borderId="80" xfId="77" applyFont="1" applyBorder="1" applyAlignment="1">
      <alignment horizontal="center" vertical="center"/>
    </xf>
    <xf numFmtId="0" fontId="24" fillId="0" borderId="80" xfId="0" applyFont="1" applyFill="1" applyBorder="1" applyAlignment="1">
      <alignment horizontal="center" vertical="center"/>
    </xf>
    <xf numFmtId="0" fontId="23" fillId="0" borderId="80" xfId="0" applyFont="1" applyBorder="1" applyAlignment="1">
      <alignment horizontal="center" vertical="center"/>
    </xf>
    <xf numFmtId="0" fontId="24" fillId="0" borderId="80" xfId="0" applyFont="1" applyBorder="1" applyAlignment="1">
      <alignment horizontal="center" vertical="center"/>
    </xf>
    <xf numFmtId="164" fontId="24" fillId="0" borderId="80" xfId="0" applyNumberFormat="1" applyFont="1" applyBorder="1" applyAlignment="1">
      <alignment horizontal="center" vertical="center"/>
    </xf>
    <xf numFmtId="0" fontId="40" fillId="0" borderId="80" xfId="77" applyFont="1" applyBorder="1" applyAlignment="1">
      <alignment horizontal="center" vertical="center"/>
    </xf>
    <xf numFmtId="0" fontId="40" fillId="0" borderId="82" xfId="77" applyFont="1" applyBorder="1" applyAlignment="1">
      <alignment horizontal="center" vertical="center"/>
    </xf>
    <xf numFmtId="0" fontId="24" fillId="0" borderId="81" xfId="0" applyFont="1" applyBorder="1" applyAlignment="1">
      <alignment horizontal="center" vertical="center"/>
    </xf>
    <xf numFmtId="0" fontId="22" fillId="0" borderId="80" xfId="0" applyFont="1" applyBorder="1" applyAlignment="1">
      <alignment horizontal="center" vertical="center"/>
    </xf>
    <xf numFmtId="0" fontId="22" fillId="0" borderId="79" xfId="0" applyFont="1" applyBorder="1" applyAlignment="1">
      <alignment horizontal="center" vertical="center" wrapText="1"/>
    </xf>
    <xf numFmtId="0" fontId="35" fillId="0" borderId="80" xfId="0" applyFont="1" applyBorder="1" applyAlignment="1">
      <alignment horizontal="center" vertical="center"/>
    </xf>
    <xf numFmtId="0" fontId="5" fillId="0" borderId="81" xfId="0" applyFont="1" applyBorder="1" applyAlignment="1">
      <alignment horizontal="center" vertical="center"/>
    </xf>
    <xf numFmtId="0" fontId="44" fillId="2" borderId="80" xfId="983" applyNumberFormat="1" applyFont="1" applyFill="1" applyBorder="1" applyAlignment="1">
      <alignment horizontal="center" vertical="center" wrapText="1"/>
    </xf>
    <xf numFmtId="2" fontId="44" fillId="2" borderId="80" xfId="983" applyNumberFormat="1" applyFont="1" applyFill="1" applyBorder="1" applyAlignment="1">
      <alignment horizontal="center" vertical="center" wrapText="1"/>
    </xf>
    <xf numFmtId="2" fontId="44" fillId="2" borderId="80" xfId="983" applyNumberFormat="1" applyFont="1" applyFill="1" applyBorder="1" applyAlignment="1">
      <alignment horizontal="center" vertical="center"/>
    </xf>
    <xf numFmtId="0" fontId="96" fillId="0" borderId="80" xfId="0" applyFont="1" applyBorder="1" applyAlignment="1">
      <alignment vertical="center" wrapText="1"/>
    </xf>
    <xf numFmtId="0" fontId="44" fillId="2" borderId="80" xfId="983" applyNumberFormat="1" applyFont="1" applyFill="1" applyBorder="1" applyAlignment="1">
      <alignment horizontal="center" vertical="center"/>
    </xf>
    <xf numFmtId="2" fontId="44" fillId="2" borderId="80" xfId="983" applyNumberFormat="1" applyFont="1" applyFill="1" applyBorder="1" applyAlignment="1">
      <alignment vertical="center" wrapText="1"/>
    </xf>
    <xf numFmtId="1" fontId="44" fillId="2" borderId="80" xfId="983" applyNumberFormat="1" applyFont="1" applyFill="1" applyBorder="1" applyAlignment="1">
      <alignment horizontal="center" vertical="center" wrapText="1"/>
    </xf>
    <xf numFmtId="0" fontId="44" fillId="2" borderId="4" xfId="983" applyFont="1" applyFill="1" applyBorder="1" applyAlignment="1">
      <alignment horizontal="justify" vertical="center" wrapText="1"/>
    </xf>
    <xf numFmtId="0" fontId="44" fillId="2" borderId="80" xfId="983" applyFont="1" applyFill="1" applyBorder="1" applyAlignment="1">
      <alignment horizontal="justify" vertical="center" wrapText="1"/>
    </xf>
    <xf numFmtId="0" fontId="44" fillId="2" borderId="2" xfId="983" applyFont="1" applyFill="1" applyBorder="1" applyAlignment="1">
      <alignment horizontal="justify" vertical="center" wrapText="1"/>
    </xf>
    <xf numFmtId="2" fontId="44" fillId="2" borderId="2" xfId="983" applyNumberFormat="1" applyFont="1" applyFill="1" applyBorder="1" applyAlignment="1">
      <alignment horizontal="center" vertical="center" wrapText="1"/>
    </xf>
    <xf numFmtId="0" fontId="44" fillId="2" borderId="4" xfId="983" applyNumberFormat="1" applyFont="1" applyFill="1" applyBorder="1" applyAlignment="1">
      <alignment horizontal="center" vertical="center"/>
    </xf>
    <xf numFmtId="0" fontId="44" fillId="2" borderId="7" xfId="983" applyFont="1" applyFill="1" applyBorder="1" applyAlignment="1">
      <alignment horizontal="justify" vertical="center" wrapText="1"/>
    </xf>
    <xf numFmtId="0" fontId="14" fillId="0" borderId="79" xfId="0" applyFont="1" applyBorder="1" applyAlignment="1">
      <alignment horizontal="center" vertical="center" wrapText="1"/>
    </xf>
    <xf numFmtId="0" fontId="15" fillId="0" borderId="80" xfId="0" applyFont="1" applyBorder="1" applyAlignment="1">
      <alignment horizontal="center" vertical="center" wrapText="1"/>
    </xf>
    <xf numFmtId="14" fontId="16" fillId="0" borderId="80" xfId="0" applyNumberFormat="1" applyFont="1" applyBorder="1" applyAlignment="1">
      <alignment horizontal="center" vertical="center" wrapText="1"/>
    </xf>
    <xf numFmtId="14" fontId="15" fillId="0" borderId="85" xfId="0" applyNumberFormat="1" applyFont="1" applyBorder="1" applyAlignment="1">
      <alignment horizontal="center" vertical="center" wrapText="1"/>
    </xf>
    <xf numFmtId="14" fontId="17" fillId="0" borderId="80" xfId="0" applyNumberFormat="1" applyFont="1" applyBorder="1" applyAlignment="1">
      <alignment horizontal="center" vertical="center" wrapText="1"/>
    </xf>
    <xf numFmtId="14" fontId="18" fillId="0" borderId="85" xfId="0" applyNumberFormat="1" applyFont="1" applyBorder="1" applyAlignment="1">
      <alignment horizontal="center" vertical="center" wrapText="1"/>
    </xf>
    <xf numFmtId="14" fontId="15" fillId="0" borderId="80" xfId="0" applyNumberFormat="1" applyFont="1" applyBorder="1" applyAlignment="1">
      <alignment horizontal="center" vertical="center" wrapText="1"/>
    </xf>
    <xf numFmtId="14" fontId="19" fillId="0" borderId="85" xfId="0" applyNumberFormat="1" applyFont="1" applyBorder="1" applyAlignment="1">
      <alignment horizontal="center" vertical="center" wrapText="1"/>
    </xf>
    <xf numFmtId="0" fontId="15" fillId="0" borderId="81" xfId="0" applyFont="1" applyBorder="1" applyAlignment="1">
      <alignment vertical="center" wrapText="1"/>
    </xf>
    <xf numFmtId="0" fontId="15" fillId="0" borderId="79" xfId="0" applyFont="1" applyBorder="1" applyAlignment="1">
      <alignment horizontal="center" vertical="center" wrapText="1"/>
    </xf>
    <xf numFmtId="0" fontId="20" fillId="0" borderId="80" xfId="0" applyFont="1" applyBorder="1" applyAlignment="1">
      <alignment horizontal="center" vertical="center" wrapText="1"/>
    </xf>
    <xf numFmtId="0" fontId="16" fillId="0" borderId="80" xfId="0" applyFont="1" applyBorder="1" applyAlignment="1">
      <alignment horizontal="center" vertical="center" wrapText="1"/>
    </xf>
    <xf numFmtId="0" fontId="17" fillId="0" borderId="80" xfId="0" applyFont="1" applyBorder="1" applyAlignment="1">
      <alignment horizontal="center" vertical="center" wrapText="1"/>
    </xf>
    <xf numFmtId="0" fontId="21" fillId="0" borderId="80" xfId="0" applyFont="1" applyBorder="1" applyAlignment="1">
      <alignment horizontal="center" vertical="center" wrapText="1"/>
    </xf>
    <xf numFmtId="0" fontId="20" fillId="0" borderId="81" xfId="0" applyFont="1" applyBorder="1" applyAlignment="1">
      <alignment horizontal="center" vertical="center" wrapText="1"/>
    </xf>
    <xf numFmtId="164" fontId="25" fillId="0" borderId="80" xfId="0" applyNumberFormat="1" applyFont="1" applyBorder="1" applyAlignment="1">
      <alignment horizontal="center" vertical="center" wrapText="1"/>
    </xf>
    <xf numFmtId="164" fontId="26" fillId="0" borderId="80" xfId="0" applyNumberFormat="1" applyFont="1" applyBorder="1" applyAlignment="1">
      <alignment horizontal="center" vertical="center"/>
    </xf>
    <xf numFmtId="164" fontId="27" fillId="0" borderId="80" xfId="0" applyNumberFormat="1" applyFont="1" applyBorder="1" applyAlignment="1">
      <alignment horizontal="center" vertical="center" wrapText="1"/>
    </xf>
    <xf numFmtId="0" fontId="19" fillId="0" borderId="81" xfId="77" applyFont="1" applyBorder="1" applyAlignment="1">
      <alignment horizontal="center" vertical="center" wrapText="1"/>
    </xf>
    <xf numFmtId="0" fontId="28" fillId="0" borderId="79" xfId="0" applyFont="1" applyBorder="1" applyAlignment="1">
      <alignment horizontal="center" vertical="center" wrapText="1"/>
    </xf>
    <xf numFmtId="0" fontId="29" fillId="0" borderId="80" xfId="0" applyFont="1" applyBorder="1" applyAlignment="1">
      <alignment horizontal="center" vertical="center" wrapText="1"/>
    </xf>
    <xf numFmtId="49" fontId="25" fillId="0" borderId="80" xfId="77" applyNumberFormat="1" applyFont="1" applyBorder="1" applyAlignment="1">
      <alignment horizontal="center" vertical="center" wrapText="1"/>
    </xf>
    <xf numFmtId="0" fontId="30" fillId="0" borderId="79" xfId="0" applyFont="1" applyBorder="1" applyAlignment="1">
      <alignment horizontal="center" vertical="center" wrapText="1"/>
    </xf>
    <xf numFmtId="49" fontId="27" fillId="0" borderId="80" xfId="0" applyNumberFormat="1" applyFont="1" applyBorder="1" applyAlignment="1">
      <alignment horizontal="center" vertical="center" wrapText="1"/>
    </xf>
    <xf numFmtId="0" fontId="19" fillId="0" borderId="80" xfId="77" applyFont="1" applyBorder="1" applyAlignment="1">
      <alignment horizontal="center" vertical="center" wrapText="1"/>
    </xf>
    <xf numFmtId="0" fontId="31" fillId="0" borderId="79" xfId="0" applyFont="1" applyFill="1" applyBorder="1" applyAlignment="1">
      <alignment horizontal="center" vertical="center" wrapText="1"/>
    </xf>
    <xf numFmtId="0" fontId="29" fillId="0" borderId="80" xfId="0" applyFont="1" applyFill="1" applyBorder="1" applyAlignment="1">
      <alignment horizontal="center" vertical="center" wrapText="1"/>
    </xf>
    <xf numFmtId="49" fontId="25" fillId="0" borderId="80" xfId="77" applyNumberFormat="1" applyFont="1" applyFill="1" applyBorder="1" applyAlignment="1">
      <alignment horizontal="center" vertical="center" wrapText="1"/>
    </xf>
    <xf numFmtId="164" fontId="25" fillId="0" borderId="80" xfId="0" applyNumberFormat="1" applyFont="1" applyFill="1" applyBorder="1" applyAlignment="1">
      <alignment horizontal="center" vertical="center" wrapText="1"/>
    </xf>
    <xf numFmtId="164" fontId="32" fillId="0" borderId="80" xfId="0" applyNumberFormat="1" applyFont="1" applyFill="1" applyBorder="1" applyAlignment="1">
      <alignment horizontal="center" vertical="center" wrapText="1"/>
    </xf>
    <xf numFmtId="0" fontId="33" fillId="0" borderId="79" xfId="0" applyFont="1" applyBorder="1" applyAlignment="1">
      <alignment horizontal="center" vertical="center" wrapText="1"/>
    </xf>
    <xf numFmtId="164" fontId="32" fillId="0" borderId="80" xfId="0" applyNumberFormat="1" applyFont="1" applyBorder="1" applyAlignment="1">
      <alignment horizontal="center" vertical="center" wrapText="1"/>
    </xf>
    <xf numFmtId="0" fontId="34" fillId="0" borderId="80" xfId="0" applyFont="1" applyBorder="1" applyAlignment="1">
      <alignment horizontal="center" vertical="center" wrapText="1"/>
    </xf>
    <xf numFmtId="0" fontId="36" fillId="0" borderId="80" xfId="0" applyFont="1" applyBorder="1" applyAlignment="1">
      <alignment horizontal="center" vertical="center"/>
    </xf>
    <xf numFmtId="164" fontId="37" fillId="0" borderId="80" xfId="0" applyNumberFormat="1" applyFont="1" applyBorder="1" applyAlignment="1">
      <alignment horizontal="center" vertical="center"/>
    </xf>
    <xf numFmtId="49" fontId="35" fillId="0" borderId="80" xfId="0" applyNumberFormat="1" applyFont="1" applyBorder="1" applyAlignment="1">
      <alignment horizontal="center" vertical="center"/>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3" fillId="0" borderId="87" xfId="0" applyFont="1" applyBorder="1" applyAlignment="1">
      <alignment horizontal="center" vertical="center" wrapText="1"/>
    </xf>
    <xf numFmtId="0" fontId="13" fillId="0" borderId="83" xfId="0" applyFont="1" applyBorder="1" applyAlignment="1">
      <alignment horizontal="center" vertical="center" wrapText="1"/>
    </xf>
    <xf numFmtId="0" fontId="13" fillId="0" borderId="84" xfId="0" applyFont="1" applyBorder="1" applyAlignment="1">
      <alignment horizontal="center" vertical="center" wrapText="1"/>
    </xf>
    <xf numFmtId="0" fontId="43" fillId="2" borderId="82" xfId="983" applyNumberFormat="1" applyFont="1" applyFill="1" applyBorder="1" applyAlignment="1">
      <alignment horizontal="center" vertical="center" wrapText="1"/>
    </xf>
    <xf numFmtId="0" fontId="43" fillId="2" borderId="83" xfId="983" applyNumberFormat="1" applyFont="1" applyFill="1" applyBorder="1" applyAlignment="1">
      <alignment horizontal="center" vertical="center" wrapText="1"/>
    </xf>
    <xf numFmtId="0" fontId="43" fillId="2" borderId="85" xfId="983" applyNumberFormat="1" applyFont="1" applyFill="1" applyBorder="1" applyAlignment="1">
      <alignment horizontal="center" vertical="center" wrapText="1"/>
    </xf>
    <xf numFmtId="0" fontId="44" fillId="2" borderId="80" xfId="983" applyNumberFormat="1" applyFont="1" applyFill="1" applyBorder="1" applyAlignment="1">
      <alignment horizontal="center" vertical="center"/>
    </xf>
    <xf numFmtId="0" fontId="44" fillId="2" borderId="2" xfId="983" applyNumberFormat="1" applyFont="1" applyFill="1" applyBorder="1" applyAlignment="1">
      <alignment horizontal="center" vertical="center" wrapText="1"/>
    </xf>
    <xf numFmtId="0" fontId="44" fillId="2" borderId="4" xfId="983" applyNumberFormat="1" applyFont="1" applyFill="1" applyBorder="1" applyAlignment="1">
      <alignment horizontal="center" vertical="center" wrapText="1"/>
    </xf>
    <xf numFmtId="2" fontId="44" fillId="2" borderId="2" xfId="983" applyNumberFormat="1" applyFont="1" applyFill="1" applyBorder="1" applyAlignment="1">
      <alignment horizontal="center" vertical="center" wrapText="1"/>
    </xf>
    <xf numFmtId="2" fontId="44" fillId="2" borderId="4" xfId="983" applyNumberFormat="1" applyFont="1" applyFill="1" applyBorder="1" applyAlignment="1">
      <alignment horizontal="center" vertical="center" wrapText="1"/>
    </xf>
    <xf numFmtId="0" fontId="44" fillId="2" borderId="7" xfId="983" applyNumberFormat="1" applyFont="1" applyFill="1" applyBorder="1" applyAlignment="1">
      <alignment horizontal="center" vertical="center" wrapText="1"/>
    </xf>
    <xf numFmtId="2" fontId="43" fillId="2" borderId="80" xfId="983" applyNumberFormat="1" applyFont="1" applyFill="1" applyBorder="1" applyAlignment="1">
      <alignment horizontal="center" vertical="center" wrapText="1"/>
    </xf>
    <xf numFmtId="0" fontId="43" fillId="2" borderId="4" xfId="983" applyNumberFormat="1" applyFont="1" applyFill="1" applyBorder="1" applyAlignment="1">
      <alignment horizontal="center" vertical="center" wrapText="1"/>
    </xf>
    <xf numFmtId="0" fontId="44" fillId="2" borderId="80" xfId="983" applyNumberFormat="1" applyFont="1" applyFill="1" applyBorder="1" applyAlignment="1">
      <alignment horizontal="center" vertical="center" wrapText="1"/>
    </xf>
    <xf numFmtId="2" fontId="44" fillId="2" borderId="80" xfId="983" applyNumberFormat="1" applyFont="1" applyFill="1" applyBorder="1" applyAlignment="1">
      <alignment horizontal="center" vertical="center" wrapText="1"/>
    </xf>
    <xf numFmtId="0" fontId="44" fillId="2" borderId="2" xfId="983" applyNumberFormat="1" applyFont="1" applyFill="1" applyBorder="1" applyAlignment="1">
      <alignment horizontal="center" vertical="center"/>
    </xf>
    <xf numFmtId="0" fontId="44" fillId="2" borderId="7" xfId="983" applyNumberFormat="1" applyFont="1" applyFill="1" applyBorder="1" applyAlignment="1">
      <alignment horizontal="center" vertical="center"/>
    </xf>
    <xf numFmtId="0" fontId="44" fillId="2" borderId="4" xfId="983" applyNumberFormat="1" applyFont="1" applyFill="1" applyBorder="1" applyAlignment="1">
      <alignment horizontal="center" vertical="center"/>
    </xf>
    <xf numFmtId="0" fontId="22" fillId="0" borderId="43" xfId="0" applyFont="1" applyBorder="1" applyAlignment="1">
      <alignment horizontal="center" vertical="center" wrapText="1"/>
    </xf>
    <xf numFmtId="0" fontId="22" fillId="0" borderId="42" xfId="0" applyFont="1" applyBorder="1" applyAlignment="1">
      <alignment horizontal="center" vertical="center" wrapText="1"/>
    </xf>
    <xf numFmtId="0" fontId="22" fillId="0" borderId="44" xfId="0" applyFont="1" applyBorder="1" applyAlignment="1">
      <alignment horizontal="center" vertical="center" wrapText="1"/>
    </xf>
    <xf numFmtId="0" fontId="38" fillId="0" borderId="34" xfId="0" applyFont="1" applyBorder="1" applyAlignment="1">
      <alignment horizontal="center" vertical="center" textRotation="45" wrapText="1"/>
    </xf>
    <xf numFmtId="0" fontId="38" fillId="0" borderId="3" xfId="0" applyFont="1" applyBorder="1" applyAlignment="1">
      <alignment horizontal="center" vertical="center" textRotation="45" wrapText="1"/>
    </xf>
    <xf numFmtId="0" fontId="39" fillId="0" borderId="35" xfId="0" applyFont="1" applyBorder="1" applyAlignment="1">
      <alignment horizontal="center" vertical="center" textRotation="45" wrapText="1"/>
    </xf>
    <xf numFmtId="0" fontId="39" fillId="0" borderId="4" xfId="0" applyFont="1" applyBorder="1" applyAlignment="1">
      <alignment horizontal="center" vertical="center" textRotation="45" wrapText="1"/>
    </xf>
    <xf numFmtId="0" fontId="38" fillId="0" borderId="35" xfId="0" applyFont="1" applyBorder="1" applyAlignment="1">
      <alignment horizontal="center" vertical="center" textRotation="45" wrapText="1"/>
    </xf>
    <xf numFmtId="0" fontId="38" fillId="0" borderId="4" xfId="0" applyFont="1" applyBorder="1" applyAlignment="1">
      <alignment horizontal="center" vertical="center" textRotation="45" wrapText="1"/>
    </xf>
    <xf numFmtId="0" fontId="38" fillId="0" borderId="35" xfId="0" applyFont="1" applyBorder="1" applyAlignment="1">
      <alignment horizontal="center" vertical="center" wrapText="1"/>
    </xf>
    <xf numFmtId="0" fontId="38" fillId="0" borderId="4" xfId="0" applyFont="1" applyBorder="1" applyAlignment="1">
      <alignment horizontal="center" vertical="center" wrapText="1"/>
    </xf>
    <xf numFmtId="0" fontId="38" fillId="0" borderId="36" xfId="0" applyFont="1" applyBorder="1" applyAlignment="1">
      <alignment horizontal="center" vertical="center" wrapText="1"/>
    </xf>
    <xf numFmtId="0" fontId="38" fillId="0" borderId="5" xfId="0" applyFont="1" applyBorder="1" applyAlignment="1">
      <alignment horizontal="center" vertical="center" wrapText="1"/>
    </xf>
    <xf numFmtId="0" fontId="5" fillId="0" borderId="81" xfId="0" applyFont="1" applyBorder="1" applyAlignment="1">
      <alignment horizontal="center" vertical="center"/>
    </xf>
    <xf numFmtId="0" fontId="41" fillId="0" borderId="87" xfId="0" applyFont="1" applyBorder="1" applyAlignment="1">
      <alignment horizontal="center" vertical="center" wrapText="1"/>
    </xf>
    <xf numFmtId="0" fontId="41" fillId="0" borderId="83" xfId="0" applyFont="1" applyBorder="1" applyAlignment="1">
      <alignment horizontal="center" vertical="center" wrapText="1"/>
    </xf>
    <xf numFmtId="0" fontId="41" fillId="0" borderId="85" xfId="0" applyFont="1" applyBorder="1" applyAlignment="1">
      <alignment horizontal="center" vertical="center" wrapText="1"/>
    </xf>
    <xf numFmtId="0" fontId="41" fillId="0" borderId="82"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83" xfId="0" applyFont="1" applyBorder="1" applyAlignment="1">
      <alignment horizontal="center" vertical="center" wrapText="1"/>
    </xf>
    <xf numFmtId="0" fontId="38" fillId="0" borderId="82" xfId="72" applyFont="1" applyBorder="1" applyAlignment="1">
      <alignment horizontal="center" vertical="center" wrapText="1"/>
    </xf>
    <xf numFmtId="0" fontId="38" fillId="0" borderId="83" xfId="72" applyFont="1" applyBorder="1" applyAlignment="1">
      <alignment horizontal="center" vertical="center" wrapText="1"/>
    </xf>
    <xf numFmtId="0" fontId="53" fillId="0" borderId="82" xfId="0" applyFont="1" applyBorder="1" applyAlignment="1">
      <alignment horizontal="left" vertical="center" wrapText="1"/>
    </xf>
    <xf numFmtId="0" fontId="53" fillId="0" borderId="83" xfId="0" applyFont="1" applyBorder="1" applyAlignment="1">
      <alignment horizontal="left" vertical="center" wrapText="1"/>
    </xf>
    <xf numFmtId="0" fontId="53" fillId="0" borderId="84" xfId="0" applyFont="1" applyBorder="1" applyAlignment="1">
      <alignment horizontal="left" vertical="center" wrapText="1"/>
    </xf>
    <xf numFmtId="165" fontId="13" fillId="0" borderId="30" xfId="59072" applyNumberFormat="1" applyFont="1" applyBorder="1" applyAlignment="1">
      <alignment horizontal="center" vertical="center"/>
    </xf>
    <xf numFmtId="165" fontId="13" fillId="0" borderId="31" xfId="59072" applyNumberFormat="1" applyFont="1" applyBorder="1" applyAlignment="1">
      <alignment horizontal="center" vertical="center"/>
    </xf>
    <xf numFmtId="165" fontId="13" fillId="0" borderId="32" xfId="59072" applyNumberFormat="1" applyFont="1" applyBorder="1" applyAlignment="1">
      <alignment horizontal="center" vertical="center"/>
    </xf>
    <xf numFmtId="0" fontId="57" fillId="0" borderId="79" xfId="0" applyFont="1" applyBorder="1" applyAlignment="1">
      <alignment horizontal="center" vertical="center" wrapText="1"/>
    </xf>
    <xf numFmtId="0" fontId="57" fillId="0" borderId="80" xfId="0" applyFont="1" applyBorder="1" applyAlignment="1">
      <alignment horizontal="center" vertical="center" wrapText="1"/>
    </xf>
    <xf numFmtId="0" fontId="57" fillId="0" borderId="81" xfId="0" applyFont="1" applyBorder="1" applyAlignment="1">
      <alignment horizontal="center" vertical="center" wrapText="1"/>
    </xf>
    <xf numFmtId="0" fontId="75" fillId="0" borderId="80" xfId="0" applyFont="1" applyBorder="1" applyAlignment="1">
      <alignment horizontal="center" vertical="center" wrapText="1"/>
    </xf>
    <xf numFmtId="0" fontId="75" fillId="0" borderId="81" xfId="0" applyFont="1" applyBorder="1" applyAlignment="1">
      <alignment horizontal="center" vertical="center" wrapText="1"/>
    </xf>
    <xf numFmtId="0" fontId="53" fillId="0" borderId="80" xfId="0" applyFont="1" applyBorder="1" applyAlignment="1">
      <alignment horizontal="left" vertical="center" wrapText="1"/>
    </xf>
    <xf numFmtId="0" fontId="53" fillId="0" borderId="81" xfId="0" applyFont="1" applyBorder="1" applyAlignment="1">
      <alignment horizontal="left" vertical="center" wrapText="1"/>
    </xf>
    <xf numFmtId="0" fontId="38" fillId="0" borderId="72" xfId="0" applyFont="1" applyBorder="1" applyAlignment="1">
      <alignment horizontal="center" vertical="center" wrapText="1"/>
    </xf>
    <xf numFmtId="0" fontId="38" fillId="0" borderId="74" xfId="0" applyFont="1" applyBorder="1" applyAlignment="1">
      <alignment horizontal="center" vertical="center" wrapText="1"/>
    </xf>
    <xf numFmtId="0" fontId="75" fillId="0" borderId="4" xfId="0" applyFont="1" applyBorder="1" applyAlignment="1">
      <alignment horizontal="left" vertical="center" wrapText="1"/>
    </xf>
    <xf numFmtId="0" fontId="75" fillId="0" borderId="9" xfId="0" applyFont="1" applyBorder="1" applyAlignment="1">
      <alignment horizontal="left" vertical="center" wrapText="1"/>
    </xf>
    <xf numFmtId="0" fontId="75" fillId="0" borderId="79" xfId="0" applyFont="1" applyBorder="1" applyAlignment="1">
      <alignment horizontal="center" vertical="center"/>
    </xf>
    <xf numFmtId="0" fontId="75" fillId="0" borderId="80" xfId="0" applyFont="1" applyBorder="1" applyAlignment="1">
      <alignment horizontal="center" vertical="center"/>
    </xf>
    <xf numFmtId="0" fontId="75" fillId="0" borderId="81" xfId="0" applyFont="1" applyBorder="1" applyAlignment="1">
      <alignment horizontal="center" vertical="center"/>
    </xf>
    <xf numFmtId="0" fontId="38" fillId="0" borderId="80" xfId="0" applyFont="1" applyBorder="1" applyAlignment="1">
      <alignment horizontal="center" vertical="center" wrapText="1"/>
    </xf>
    <xf numFmtId="0" fontId="38" fillId="0" borderId="82" xfId="0" applyFont="1" applyBorder="1" applyAlignment="1">
      <alignment horizontal="center" vertical="center" wrapText="1"/>
    </xf>
    <xf numFmtId="0" fontId="38" fillId="0" borderId="85"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85" xfId="0" applyFont="1" applyBorder="1" applyAlignment="1">
      <alignment horizontal="center" vertical="center" wrapText="1"/>
    </xf>
    <xf numFmtId="0" fontId="100" fillId="5" borderId="25" xfId="0" applyFont="1" applyFill="1" applyBorder="1" applyAlignment="1">
      <alignment horizontal="left" vertical="center" wrapText="1"/>
    </xf>
    <xf numFmtId="0" fontId="100" fillId="5" borderId="26" xfId="0" applyFont="1" applyFill="1" applyBorder="1" applyAlignment="1">
      <alignment horizontal="left" vertical="center" wrapText="1"/>
    </xf>
    <xf numFmtId="0" fontId="100" fillId="5" borderId="27" xfId="0" applyFont="1" applyFill="1" applyBorder="1" applyAlignment="1">
      <alignment horizontal="left" vertical="center" wrapText="1"/>
    </xf>
    <xf numFmtId="0" fontId="91" fillId="7" borderId="19" xfId="0" applyFont="1" applyFill="1" applyBorder="1" applyAlignment="1">
      <alignment horizontal="center" vertical="center" wrapText="1"/>
    </xf>
    <xf numFmtId="0" fontId="91" fillId="7" borderId="20" xfId="0" applyFont="1" applyFill="1" applyBorder="1" applyAlignment="1">
      <alignment horizontal="center" vertical="center" wrapText="1"/>
    </xf>
    <xf numFmtId="0" fontId="91" fillId="7" borderId="21" xfId="0" applyFont="1" applyFill="1" applyBorder="1" applyAlignment="1">
      <alignment horizontal="center" vertical="center" wrapText="1"/>
    </xf>
    <xf numFmtId="0" fontId="91" fillId="7" borderId="18" xfId="0" applyFont="1" applyFill="1" applyBorder="1" applyAlignment="1">
      <alignment horizontal="center" vertical="center" wrapText="1"/>
    </xf>
    <xf numFmtId="0" fontId="91" fillId="7" borderId="12" xfId="0" applyFont="1" applyFill="1" applyBorder="1" applyAlignment="1">
      <alignment horizontal="center" vertical="center" wrapText="1"/>
    </xf>
    <xf numFmtId="0" fontId="101" fillId="5" borderId="0" xfId="0" applyFont="1" applyFill="1" applyAlignment="1">
      <alignment horizontal="center" vertical="center" wrapText="1"/>
    </xf>
    <xf numFmtId="0" fontId="90" fillId="5" borderId="25" xfId="0" applyFont="1" applyFill="1" applyBorder="1" applyAlignment="1">
      <alignment horizontal="left" vertical="center" wrapText="1"/>
    </xf>
    <xf numFmtId="0" fontId="90" fillId="5" borderId="26" xfId="0" applyFont="1" applyFill="1" applyBorder="1" applyAlignment="1">
      <alignment horizontal="left" vertical="center" wrapText="1"/>
    </xf>
    <xf numFmtId="0" fontId="90" fillId="5" borderId="27" xfId="0" applyFont="1" applyFill="1" applyBorder="1" applyAlignment="1">
      <alignment horizontal="left" vertical="center" wrapText="1"/>
    </xf>
    <xf numFmtId="0" fontId="100" fillId="0" borderId="25" xfId="0" applyFont="1" applyBorder="1" applyAlignment="1">
      <alignment horizontal="left" vertical="center" wrapText="1"/>
    </xf>
    <xf numFmtId="0" fontId="100" fillId="0" borderId="26" xfId="0" applyFont="1" applyBorder="1" applyAlignment="1">
      <alignment horizontal="left" vertical="center" wrapText="1"/>
    </xf>
    <xf numFmtId="0" fontId="100" fillId="0" borderId="27" xfId="0" applyFont="1" applyBorder="1" applyAlignment="1">
      <alignment horizontal="left" vertical="center" wrapText="1"/>
    </xf>
    <xf numFmtId="0" fontId="90" fillId="0" borderId="25" xfId="0" applyFont="1" applyBorder="1" applyAlignment="1">
      <alignment horizontal="left" vertical="center" wrapText="1"/>
    </xf>
    <xf numFmtId="0" fontId="90" fillId="0" borderId="26" xfId="0" applyFont="1" applyBorder="1" applyAlignment="1">
      <alignment horizontal="left" vertical="center" wrapText="1"/>
    </xf>
    <xf numFmtId="0" fontId="90" fillId="0" borderId="27" xfId="0" applyFont="1" applyBorder="1" applyAlignment="1">
      <alignment horizontal="left" vertical="center" wrapText="1"/>
    </xf>
    <xf numFmtId="0" fontId="81" fillId="0" borderId="61" xfId="0" applyFont="1" applyBorder="1" applyAlignment="1">
      <alignment horizontal="center" vertical="center"/>
    </xf>
    <xf numFmtId="0" fontId="81" fillId="0" borderId="62" xfId="0" applyFont="1" applyBorder="1" applyAlignment="1">
      <alignment horizontal="center" vertical="center"/>
    </xf>
    <xf numFmtId="0" fontId="81" fillId="0" borderId="63" xfId="0" applyFont="1" applyBorder="1" applyAlignment="1">
      <alignment horizontal="center" vertical="center"/>
    </xf>
    <xf numFmtId="0" fontId="81" fillId="0" borderId="64" xfId="0" applyFont="1" applyBorder="1" applyAlignment="1">
      <alignment horizontal="center" vertical="center"/>
    </xf>
    <xf numFmtId="0" fontId="93" fillId="0" borderId="65" xfId="0" applyFont="1" applyBorder="1" applyAlignment="1">
      <alignment horizontal="center" vertical="center" wrapText="1"/>
    </xf>
    <xf numFmtId="0" fontId="93" fillId="0" borderId="62" xfId="0" applyFont="1" applyBorder="1" applyAlignment="1">
      <alignment horizontal="center" vertical="center" wrapText="1"/>
    </xf>
    <xf numFmtId="0" fontId="93" fillId="0" borderId="64" xfId="0" applyFont="1" applyBorder="1" applyAlignment="1">
      <alignment horizontal="center" vertical="center" wrapText="1"/>
    </xf>
    <xf numFmtId="0" fontId="92" fillId="0" borderId="43" xfId="0" applyFont="1" applyBorder="1" applyAlignment="1">
      <alignment horizontal="center" vertical="center"/>
    </xf>
    <xf numFmtId="0" fontId="92" fillId="0" borderId="42" xfId="0" applyFont="1" applyBorder="1" applyAlignment="1">
      <alignment horizontal="center" vertical="center"/>
    </xf>
    <xf numFmtId="0" fontId="92" fillId="0" borderId="44" xfId="0" applyFont="1" applyBorder="1" applyAlignment="1">
      <alignment horizontal="center" vertical="center"/>
    </xf>
    <xf numFmtId="0" fontId="81" fillId="0" borderId="39" xfId="0" applyFont="1" applyBorder="1" applyAlignment="1">
      <alignment horizontal="center" vertical="center"/>
    </xf>
    <xf numFmtId="0" fontId="81" fillId="0" borderId="29" xfId="0" applyFont="1" applyBorder="1" applyAlignment="1">
      <alignment horizontal="center" vertical="center"/>
    </xf>
    <xf numFmtId="0" fontId="81" fillId="0" borderId="46" xfId="0" applyFont="1" applyBorder="1" applyAlignment="1">
      <alignment horizontal="center" vertical="center"/>
    </xf>
    <xf numFmtId="0" fontId="81" fillId="0" borderId="39" xfId="0" applyFont="1" applyBorder="1" applyAlignment="1">
      <alignment horizontal="center" vertical="center" wrapText="1"/>
    </xf>
    <xf numFmtId="0" fontId="81" fillId="0" borderId="29" xfId="0" applyFont="1" applyBorder="1" applyAlignment="1">
      <alignment horizontal="center" vertical="center" wrapText="1"/>
    </xf>
    <xf numFmtId="0" fontId="81" fillId="0" borderId="59" xfId="0" applyFont="1" applyBorder="1" applyAlignment="1">
      <alignment horizontal="center" vertical="center" wrapText="1"/>
    </xf>
    <xf numFmtId="0" fontId="82" fillId="0" borderId="47" xfId="0" applyFont="1" applyBorder="1" applyAlignment="1">
      <alignment horizontal="center" vertical="center" wrapText="1"/>
    </xf>
    <xf numFmtId="0" fontId="82" fillId="0" borderId="29" xfId="0" applyFont="1" applyBorder="1" applyAlignment="1">
      <alignment horizontal="center" vertical="center" wrapText="1"/>
    </xf>
    <xf numFmtId="0" fontId="82" fillId="0" borderId="59" xfId="0" applyFont="1" applyBorder="1" applyAlignment="1">
      <alignment horizontal="center" vertical="center" wrapText="1"/>
    </xf>
    <xf numFmtId="0" fontId="79" fillId="0" borderId="38" xfId="0" applyFont="1" applyBorder="1" applyAlignment="1">
      <alignment horizontal="center" vertical="center"/>
    </xf>
    <xf numFmtId="0" fontId="79" fillId="0" borderId="10" xfId="0" applyFont="1" applyBorder="1" applyAlignment="1">
      <alignment horizontal="center" vertical="center"/>
    </xf>
    <xf numFmtId="0" fontId="79" fillId="0" borderId="11" xfId="0" applyFont="1" applyBorder="1" applyAlignment="1">
      <alignment horizontal="center" vertical="center"/>
    </xf>
    <xf numFmtId="0" fontId="81" fillId="0" borderId="65" xfId="0" applyFont="1" applyBorder="1" applyAlignment="1">
      <alignment horizontal="center" vertical="center" wrapText="1"/>
    </xf>
    <xf numFmtId="0" fontId="94" fillId="0" borderId="62" xfId="0" applyFont="1" applyBorder="1" applyAlignment="1">
      <alignment horizontal="center" vertical="center" wrapText="1"/>
    </xf>
    <xf numFmtId="0" fontId="94" fillId="0" borderId="64" xfId="0" applyFont="1" applyBorder="1" applyAlignment="1">
      <alignment horizontal="center" vertical="center" wrapText="1"/>
    </xf>
    <xf numFmtId="0" fontId="81" fillId="0" borderId="66" xfId="0" applyFont="1" applyBorder="1" applyAlignment="1">
      <alignment horizontal="center" vertical="center"/>
    </xf>
    <xf numFmtId="0" fontId="81" fillId="0" borderId="67" xfId="0" applyFont="1" applyBorder="1" applyAlignment="1">
      <alignment horizontal="center" vertical="center"/>
    </xf>
    <xf numFmtId="0" fontId="81" fillId="0" borderId="68" xfId="0" applyFont="1" applyBorder="1" applyAlignment="1">
      <alignment horizontal="center" vertical="center"/>
    </xf>
    <xf numFmtId="0" fontId="81" fillId="0" borderId="62" xfId="0" applyFont="1" applyBorder="1" applyAlignment="1">
      <alignment horizontal="center" vertical="center" wrapText="1"/>
    </xf>
    <xf numFmtId="0" fontId="81" fillId="0" borderId="64" xfId="0" applyFont="1" applyBorder="1" applyAlignment="1">
      <alignment horizontal="center" vertical="center" wrapText="1"/>
    </xf>
    <xf numFmtId="0" fontId="80" fillId="0" borderId="70" xfId="0" applyFont="1" applyBorder="1" applyAlignment="1">
      <alignment horizontal="center" vertical="center"/>
    </xf>
    <xf numFmtId="0" fontId="80" fillId="0" borderId="71" xfId="0" applyFont="1" applyBorder="1" applyAlignment="1">
      <alignment horizontal="center" vertical="center"/>
    </xf>
    <xf numFmtId="0" fontId="80" fillId="0" borderId="72" xfId="0" applyFont="1" applyBorder="1" applyAlignment="1">
      <alignment horizontal="center" vertical="center"/>
    </xf>
    <xf numFmtId="0" fontId="81" fillId="0" borderId="70" xfId="0" applyFont="1" applyBorder="1" applyAlignment="1">
      <alignment horizontal="center" vertical="center"/>
    </xf>
    <xf numFmtId="0" fontId="81" fillId="0" borderId="71" xfId="0" applyFont="1" applyBorder="1" applyAlignment="1">
      <alignment horizontal="center" vertical="center"/>
    </xf>
    <xf numFmtId="0" fontId="81" fillId="0" borderId="73" xfId="0" applyFont="1" applyBorder="1" applyAlignment="1">
      <alignment horizontal="center" vertical="center"/>
    </xf>
    <xf numFmtId="0" fontId="82" fillId="0" borderId="74" xfId="0" applyFont="1" applyBorder="1" applyAlignment="1">
      <alignment horizontal="center" vertical="center" wrapText="1"/>
    </xf>
    <xf numFmtId="0" fontId="82" fillId="0" borderId="71" xfId="0" applyFont="1" applyBorder="1" applyAlignment="1">
      <alignment horizontal="center" vertical="center" wrapText="1"/>
    </xf>
    <xf numFmtId="0" fontId="82" fillId="0" borderId="73" xfId="0" applyFont="1" applyBorder="1" applyAlignment="1">
      <alignment horizontal="center" vertical="center" wrapText="1"/>
    </xf>
    <xf numFmtId="0" fontId="105" fillId="8" borderId="14" xfId="0" applyFont="1" applyFill="1" applyBorder="1" applyAlignment="1">
      <alignment horizontal="left" wrapText="1"/>
    </xf>
    <xf numFmtId="0" fontId="105" fillId="8" borderId="15" xfId="0" applyFont="1" applyFill="1" applyBorder="1" applyAlignment="1">
      <alignment horizontal="left" wrapText="1"/>
    </xf>
    <xf numFmtId="0" fontId="105" fillId="8" borderId="16" xfId="0" applyFont="1" applyFill="1" applyBorder="1" applyAlignment="1">
      <alignment horizontal="left" wrapText="1"/>
    </xf>
    <xf numFmtId="0" fontId="104" fillId="7" borderId="18" xfId="0" applyFont="1" applyFill="1" applyBorder="1" applyAlignment="1">
      <alignment horizontal="center" vertical="center" wrapText="1"/>
    </xf>
    <xf numFmtId="0" fontId="104" fillId="7" borderId="13" xfId="0" applyFont="1" applyFill="1" applyBorder="1" applyAlignment="1">
      <alignment horizontal="center" vertical="center" wrapText="1"/>
    </xf>
    <xf numFmtId="0" fontId="104" fillId="7" borderId="12" xfId="0" applyFont="1" applyFill="1" applyBorder="1" applyAlignment="1">
      <alignment horizontal="center" vertical="center" wrapText="1"/>
    </xf>
    <xf numFmtId="0" fontId="104" fillId="7" borderId="19" xfId="0" applyFont="1" applyFill="1" applyBorder="1" applyAlignment="1">
      <alignment horizontal="center" vertical="center" wrapText="1"/>
    </xf>
    <xf numFmtId="0" fontId="104" fillId="7" borderId="20" xfId="0" applyFont="1" applyFill="1" applyBorder="1" applyAlignment="1">
      <alignment horizontal="center" vertical="center" wrapText="1"/>
    </xf>
    <xf numFmtId="0" fontId="104" fillId="7" borderId="21" xfId="0" applyFont="1" applyFill="1" applyBorder="1" applyAlignment="1">
      <alignment horizontal="center" vertical="center" wrapText="1"/>
    </xf>
    <xf numFmtId="0" fontId="104" fillId="7" borderId="25" xfId="0" applyFont="1" applyFill="1" applyBorder="1" applyAlignment="1">
      <alignment horizontal="center" vertical="center" wrapText="1"/>
    </xf>
    <xf numFmtId="0" fontId="104" fillId="7" borderId="26" xfId="0" applyFont="1" applyFill="1" applyBorder="1" applyAlignment="1">
      <alignment horizontal="center" vertical="center" wrapText="1"/>
    </xf>
    <xf numFmtId="0" fontId="104" fillId="7" borderId="27" xfId="0" applyFont="1" applyFill="1" applyBorder="1" applyAlignment="1">
      <alignment horizontal="center" vertical="center" wrapText="1"/>
    </xf>
    <xf numFmtId="0" fontId="104" fillId="7" borderId="28" xfId="0" applyFont="1" applyFill="1" applyBorder="1" applyAlignment="1">
      <alignment horizontal="center" vertical="center" wrapText="1"/>
    </xf>
    <xf numFmtId="0" fontId="99" fillId="0" borderId="38" xfId="0" applyFont="1" applyBorder="1" applyAlignment="1">
      <alignment horizontal="center" vertical="center"/>
    </xf>
    <xf numFmtId="0" fontId="99" fillId="0" borderId="10" xfId="0" applyFont="1" applyBorder="1" applyAlignment="1">
      <alignment horizontal="center" vertical="center"/>
    </xf>
    <xf numFmtId="0" fontId="99" fillId="0" borderId="53" xfId="0" applyFont="1" applyBorder="1" applyAlignment="1">
      <alignment horizontal="center" vertical="center"/>
    </xf>
    <xf numFmtId="0" fontId="99" fillId="0" borderId="54" xfId="0" applyFont="1" applyBorder="1" applyAlignment="1">
      <alignment horizontal="center" vertical="center"/>
    </xf>
    <xf numFmtId="0" fontId="99" fillId="0" borderId="0" xfId="0" applyFont="1" applyAlignment="1">
      <alignment horizontal="center" vertical="center"/>
    </xf>
    <xf numFmtId="0" fontId="99" fillId="0" borderId="55" xfId="0" applyFont="1" applyBorder="1" applyAlignment="1">
      <alignment horizontal="center" vertical="center"/>
    </xf>
    <xf numFmtId="0" fontId="99" fillId="0" borderId="56" xfId="0" applyFont="1" applyBorder="1" applyAlignment="1">
      <alignment horizontal="center" vertical="center"/>
    </xf>
    <xf numFmtId="0" fontId="99" fillId="0" borderId="57" xfId="0" applyFont="1" applyBorder="1" applyAlignment="1">
      <alignment horizontal="center" vertical="center"/>
    </xf>
    <xf numFmtId="0" fontId="99" fillId="0" borderId="58" xfId="0" applyFont="1" applyBorder="1" applyAlignment="1">
      <alignment horizontal="center" vertical="center"/>
    </xf>
    <xf numFmtId="0" fontId="84" fillId="0" borderId="0" xfId="0" applyFont="1" applyFill="1" applyBorder="1" applyAlignment="1">
      <alignment horizontal="center" vertical="center" wrapText="1"/>
    </xf>
    <xf numFmtId="0" fontId="97" fillId="0" borderId="39" xfId="0" applyFont="1" applyFill="1" applyBorder="1" applyAlignment="1">
      <alignment horizontal="center" vertical="center" wrapText="1"/>
    </xf>
    <xf numFmtId="0" fontId="97" fillId="0" borderId="70" xfId="0" applyFont="1" applyFill="1" applyBorder="1" applyAlignment="1">
      <alignment horizontal="center" vertical="center" wrapText="1"/>
    </xf>
    <xf numFmtId="0" fontId="97" fillId="0" borderId="29" xfId="0" applyFont="1" applyFill="1" applyBorder="1" applyAlignment="1">
      <alignment horizontal="center" vertical="center" wrapText="1"/>
    </xf>
    <xf numFmtId="0" fontId="97" fillId="0" borderId="71" xfId="0" applyFont="1" applyFill="1" applyBorder="1" applyAlignment="1">
      <alignment horizontal="center" vertical="center" wrapText="1"/>
    </xf>
    <xf numFmtId="0" fontId="98" fillId="0" borderId="40" xfId="0" applyFont="1" applyFill="1" applyBorder="1" applyAlignment="1">
      <alignment horizontal="center" vertical="center" wrapText="1"/>
    </xf>
    <xf numFmtId="0" fontId="98" fillId="0" borderId="75" xfId="0" applyFont="1" applyFill="1" applyBorder="1" applyAlignment="1">
      <alignment horizontal="center" vertical="center" wrapText="1"/>
    </xf>
    <xf numFmtId="0" fontId="85" fillId="0" borderId="39" xfId="0" applyFont="1" applyFill="1" applyBorder="1" applyAlignment="1">
      <alignment horizontal="center" vertical="center" wrapText="1"/>
    </xf>
    <xf numFmtId="0" fontId="85" fillId="0" borderId="70" xfId="0" applyFont="1" applyFill="1" applyBorder="1" applyAlignment="1">
      <alignment horizontal="center" vertical="center" wrapText="1"/>
    </xf>
    <xf numFmtId="0" fontId="85" fillId="0" borderId="29" xfId="0" applyFont="1" applyFill="1" applyBorder="1" applyAlignment="1">
      <alignment horizontal="center" vertical="center" wrapText="1"/>
    </xf>
    <xf numFmtId="0" fontId="85" fillId="0" borderId="71" xfId="0" applyFont="1" applyFill="1" applyBorder="1" applyAlignment="1">
      <alignment horizontal="center" vertical="center" wrapText="1"/>
    </xf>
    <xf numFmtId="0" fontId="86" fillId="0" borderId="40" xfId="0" applyFont="1" applyFill="1" applyBorder="1" applyAlignment="1">
      <alignment horizontal="center" vertical="center" wrapText="1"/>
    </xf>
    <xf numFmtId="0" fontId="86" fillId="0" borderId="75" xfId="0" applyFont="1" applyFill="1" applyBorder="1" applyAlignment="1">
      <alignment horizontal="center" vertical="center" wrapText="1"/>
    </xf>
    <xf numFmtId="0" fontId="88" fillId="0" borderId="0" xfId="0" applyFont="1" applyFill="1" applyBorder="1" applyAlignment="1">
      <alignment horizontal="center" vertical="center" wrapText="1"/>
    </xf>
    <xf numFmtId="0" fontId="44" fillId="3" borderId="2" xfId="983" applyNumberFormat="1" applyFont="1" applyFill="1" applyBorder="1" applyAlignment="1">
      <alignment horizontal="center" vertical="center" wrapText="1"/>
    </xf>
    <xf numFmtId="0" fontId="44" fillId="3" borderId="2" xfId="983" applyNumberFormat="1" applyFont="1" applyFill="1" applyBorder="1" applyAlignment="1">
      <alignment horizontal="center" vertical="center"/>
    </xf>
    <xf numFmtId="0" fontId="44" fillId="3" borderId="7" xfId="983" applyFont="1" applyFill="1" applyBorder="1" applyAlignment="1">
      <alignment horizontal="justify" vertical="center" wrapText="1"/>
    </xf>
    <xf numFmtId="0" fontId="44" fillId="3" borderId="80" xfId="983" applyFont="1" applyFill="1" applyBorder="1" applyAlignment="1">
      <alignment horizontal="justify" vertical="center" wrapText="1"/>
    </xf>
    <xf numFmtId="0" fontId="44" fillId="3" borderId="4" xfId="983" applyNumberFormat="1" applyFont="1" applyFill="1" applyBorder="1" applyAlignment="1">
      <alignment horizontal="center" vertical="center" wrapText="1"/>
    </xf>
    <xf numFmtId="0" fontId="44" fillId="3" borderId="4" xfId="983" applyNumberFormat="1" applyFont="1" applyFill="1" applyBorder="1" applyAlignment="1">
      <alignment horizontal="center" vertical="center"/>
    </xf>
    <xf numFmtId="0" fontId="44" fillId="11" borderId="2" xfId="983" applyNumberFormat="1" applyFont="1" applyFill="1" applyBorder="1" applyAlignment="1">
      <alignment horizontal="center" vertical="center" wrapText="1"/>
    </xf>
    <xf numFmtId="0" fontId="44" fillId="11" borderId="2" xfId="983" applyNumberFormat="1" applyFont="1" applyFill="1" applyBorder="1" applyAlignment="1">
      <alignment horizontal="center" vertical="center"/>
    </xf>
    <xf numFmtId="0" fontId="44" fillId="11" borderId="7" xfId="983" applyFont="1" applyFill="1" applyBorder="1" applyAlignment="1">
      <alignment horizontal="justify" vertical="center" wrapText="1"/>
    </xf>
    <xf numFmtId="0" fontId="44" fillId="11" borderId="7" xfId="983" applyNumberFormat="1" applyFont="1" applyFill="1" applyBorder="1" applyAlignment="1">
      <alignment horizontal="center" vertical="center" wrapText="1"/>
    </xf>
    <xf numFmtId="0" fontId="44" fillId="11" borderId="7" xfId="983" applyNumberFormat="1" applyFont="1" applyFill="1" applyBorder="1" applyAlignment="1">
      <alignment horizontal="center" vertical="center"/>
    </xf>
    <xf numFmtId="0" fontId="44" fillId="11" borderId="80" xfId="983" applyFont="1" applyFill="1" applyBorder="1" applyAlignment="1">
      <alignment horizontal="justify" vertical="center" wrapText="1"/>
    </xf>
    <xf numFmtId="0" fontId="44" fillId="11" borderId="4" xfId="983" applyNumberFormat="1" applyFont="1" applyFill="1" applyBorder="1" applyAlignment="1">
      <alignment horizontal="center" vertical="center" wrapText="1"/>
    </xf>
    <xf numFmtId="0" fontId="44" fillId="11" borderId="4" xfId="983" applyNumberFormat="1" applyFont="1" applyFill="1" applyBorder="1" applyAlignment="1">
      <alignment horizontal="center" vertical="center"/>
    </xf>
    <xf numFmtId="0" fontId="44" fillId="12" borderId="80" xfId="983" applyFont="1" applyFill="1" applyBorder="1" applyAlignment="1">
      <alignment horizontal="justify" vertical="center" wrapText="1"/>
    </xf>
    <xf numFmtId="0" fontId="44" fillId="13" borderId="4" xfId="983" applyNumberFormat="1" applyFont="1" applyFill="1" applyBorder="1" applyAlignment="1">
      <alignment horizontal="center" vertical="center" wrapText="1"/>
    </xf>
    <xf numFmtId="0" fontId="44" fillId="13" borderId="4" xfId="983" applyNumberFormat="1" applyFont="1" applyFill="1" applyBorder="1" applyAlignment="1">
      <alignment horizontal="center" vertical="center"/>
    </xf>
    <xf numFmtId="0" fontId="44" fillId="13" borderId="4" xfId="983" applyFont="1" applyFill="1" applyBorder="1" applyAlignment="1">
      <alignment horizontal="justify" vertical="center" wrapText="1"/>
    </xf>
    <xf numFmtId="0" fontId="44" fillId="12" borderId="2" xfId="983" applyNumberFormat="1" applyFont="1" applyFill="1" applyBorder="1" applyAlignment="1">
      <alignment horizontal="center" vertical="center" wrapText="1"/>
    </xf>
    <xf numFmtId="0" fontId="44" fillId="12" borderId="2" xfId="983" applyNumberFormat="1" applyFont="1" applyFill="1" applyBorder="1" applyAlignment="1">
      <alignment horizontal="center" vertical="center"/>
    </xf>
    <xf numFmtId="0" fontId="44" fillId="12" borderId="2" xfId="983" applyFont="1" applyFill="1" applyBorder="1" applyAlignment="1">
      <alignment horizontal="justify" vertical="center" wrapText="1"/>
    </xf>
    <xf numFmtId="0" fontId="44" fillId="12" borderId="7" xfId="983" applyNumberFormat="1" applyFont="1" applyFill="1" applyBorder="1" applyAlignment="1">
      <alignment horizontal="center" vertical="center" wrapText="1"/>
    </xf>
    <xf numFmtId="0" fontId="44" fillId="12" borderId="7" xfId="983" applyNumberFormat="1" applyFont="1" applyFill="1" applyBorder="1" applyAlignment="1">
      <alignment horizontal="center" vertical="center"/>
    </xf>
    <xf numFmtId="0" fontId="44" fillId="12" borderId="4" xfId="983" applyNumberFormat="1" applyFont="1" applyFill="1" applyBorder="1" applyAlignment="1">
      <alignment horizontal="center" vertical="center" wrapText="1"/>
    </xf>
    <xf numFmtId="0" fontId="44" fillId="12" borderId="4" xfId="983" applyNumberFormat="1" applyFont="1" applyFill="1" applyBorder="1" applyAlignment="1">
      <alignment horizontal="center" vertical="center"/>
    </xf>
    <xf numFmtId="0" fontId="44" fillId="12" borderId="2" xfId="983" applyNumberFormat="1" applyFont="1" applyFill="1" applyBorder="1" applyAlignment="1">
      <alignment horizontal="center" vertical="center"/>
    </xf>
    <xf numFmtId="0" fontId="44" fillId="12" borderId="7" xfId="983" applyNumberFormat="1" applyFont="1" applyFill="1" applyBorder="1" applyAlignment="1">
      <alignment horizontal="center" vertical="center"/>
    </xf>
    <xf numFmtId="0" fontId="96" fillId="12" borderId="80" xfId="0" applyFont="1" applyFill="1" applyBorder="1" applyAlignment="1">
      <alignment vertical="center" wrapText="1"/>
    </xf>
    <xf numFmtId="0" fontId="44" fillId="12" borderId="80" xfId="983" applyNumberFormat="1" applyFont="1" applyFill="1" applyBorder="1" applyAlignment="1">
      <alignment horizontal="center" vertical="center"/>
    </xf>
    <xf numFmtId="2" fontId="44" fillId="12" borderId="4" xfId="983" applyNumberFormat="1" applyFont="1" applyFill="1" applyBorder="1" applyAlignment="1">
      <alignment horizontal="center" vertical="center" wrapText="1"/>
    </xf>
    <xf numFmtId="49" fontId="44" fillId="12" borderId="4" xfId="983" applyNumberFormat="1" applyFont="1" applyFill="1" applyBorder="1" applyAlignment="1">
      <alignment horizontal="center" vertical="center" wrapText="1"/>
    </xf>
    <xf numFmtId="2" fontId="44" fillId="12" borderId="4" xfId="983" applyNumberFormat="1" applyFont="1" applyFill="1" applyBorder="1" applyAlignment="1">
      <alignment vertical="center" wrapText="1"/>
    </xf>
    <xf numFmtId="2" fontId="44" fillId="12" borderId="80" xfId="983" applyNumberFormat="1" applyFont="1" applyFill="1" applyBorder="1" applyAlignment="1">
      <alignment horizontal="center" vertical="center" wrapText="1"/>
    </xf>
    <xf numFmtId="49" fontId="44" fillId="12" borderId="80" xfId="983" applyNumberFormat="1" applyFont="1" applyFill="1" applyBorder="1" applyAlignment="1">
      <alignment horizontal="center" vertical="center" wrapText="1"/>
    </xf>
    <xf numFmtId="2" fontId="44" fillId="12" borderId="80" xfId="983" applyNumberFormat="1" applyFont="1" applyFill="1" applyBorder="1" applyAlignment="1">
      <alignment vertical="center" wrapText="1"/>
    </xf>
    <xf numFmtId="2" fontId="44" fillId="11" borderId="80" xfId="983" applyNumberFormat="1" applyFont="1" applyFill="1" applyBorder="1" applyAlignment="1">
      <alignment horizontal="center" vertical="center" wrapText="1"/>
    </xf>
    <xf numFmtId="1" fontId="44" fillId="11" borderId="80" xfId="983" applyNumberFormat="1" applyFont="1" applyFill="1" applyBorder="1" applyAlignment="1">
      <alignment horizontal="center" vertical="center" wrapText="1"/>
    </xf>
    <xf numFmtId="0" fontId="96" fillId="11" borderId="80" xfId="0" applyFont="1" applyFill="1" applyBorder="1" applyAlignment="1">
      <alignment vertical="center" wrapText="1"/>
    </xf>
  </cellXfs>
  <cellStyles count="59077">
    <cellStyle name="Comma" xfId="59072" builtinId="3"/>
    <cellStyle name="Comma 2" xfId="987"/>
    <cellStyle name="Comma 2 2" xfId="12090"/>
    <cellStyle name="Comma 3" xfId="1009"/>
    <cellStyle name="Comma 3 2" xfId="12091"/>
    <cellStyle name="Comma 4" xfId="1023"/>
    <cellStyle name="Comma 4 2" xfId="12092"/>
    <cellStyle name="Comma 5" xfId="12093"/>
    <cellStyle name="Comma 6" xfId="12094"/>
    <cellStyle name="Hyperlink" xfId="59073" builtinId="8"/>
    <cellStyle name="Normal" xfId="0" builtinId="0"/>
    <cellStyle name="Normal 10" xfId="1"/>
    <cellStyle name="Normal 10 10" xfId="12096"/>
    <cellStyle name="Normal 10 10 10" xfId="12097"/>
    <cellStyle name="Normal 10 10 10 10" xfId="12098"/>
    <cellStyle name="Normal 10 10 10 11" xfId="12099"/>
    <cellStyle name="Normal 10 10 10 12" xfId="12100"/>
    <cellStyle name="Normal 10 10 10 13" xfId="12101"/>
    <cellStyle name="Normal 10 10 10 14" xfId="12102"/>
    <cellStyle name="Normal 10 10 10 2" xfId="12103"/>
    <cellStyle name="Normal 10 10 10 2 2" xfId="12104"/>
    <cellStyle name="Normal 10 10 10 2 2 2" xfId="12105"/>
    <cellStyle name="Normal 10 10 10 2 3" xfId="12106"/>
    <cellStyle name="Normal 10 10 10 2 3 2" xfId="12107"/>
    <cellStyle name="Normal 10 10 10 2 4" xfId="12108"/>
    <cellStyle name="Normal 10 10 10 2 4 2" xfId="12109"/>
    <cellStyle name="Normal 10 10 10 2 5" xfId="12110"/>
    <cellStyle name="Normal 10 10 10 2 5 2" xfId="12111"/>
    <cellStyle name="Normal 10 10 10 2 6" xfId="12112"/>
    <cellStyle name="Normal 10 10 10 2 7" xfId="12113"/>
    <cellStyle name="Normal 10 10 10 2 8" xfId="12114"/>
    <cellStyle name="Normal 10 10 10 2 9" xfId="12115"/>
    <cellStyle name="Normal 10 10 10 3" xfId="12116"/>
    <cellStyle name="Normal 10 10 10 3 2" xfId="12117"/>
    <cellStyle name="Normal 10 10 10 3 2 2" xfId="12118"/>
    <cellStyle name="Normal 10 10 10 3 3" xfId="12119"/>
    <cellStyle name="Normal 10 10 10 3 4" xfId="12120"/>
    <cellStyle name="Normal 10 10 10 3 5" xfId="12121"/>
    <cellStyle name="Normal 10 10 10 4" xfId="12122"/>
    <cellStyle name="Normal 10 10 10 4 2" xfId="12123"/>
    <cellStyle name="Normal 10 10 10 5" xfId="12124"/>
    <cellStyle name="Normal 10 10 10 5 2" xfId="12125"/>
    <cellStyle name="Normal 10 10 10 6" xfId="12126"/>
    <cellStyle name="Normal 10 10 10 6 2" xfId="12127"/>
    <cellStyle name="Normal 10 10 10 7" xfId="12128"/>
    <cellStyle name="Normal 10 10 10 7 2" xfId="12129"/>
    <cellStyle name="Normal 10 10 10 8" xfId="12130"/>
    <cellStyle name="Normal 10 10 10 9" xfId="12131"/>
    <cellStyle name="Normal 10 10 11" xfId="12132"/>
    <cellStyle name="Normal 10 10 11 2" xfId="12133"/>
    <cellStyle name="Normal 10 10 11 2 2" xfId="12134"/>
    <cellStyle name="Normal 10 10 11 3" xfId="12135"/>
    <cellStyle name="Normal 10 10 11 3 2" xfId="12136"/>
    <cellStyle name="Normal 10 10 11 4" xfId="12137"/>
    <cellStyle name="Normal 10 10 11 4 2" xfId="12138"/>
    <cellStyle name="Normal 10 10 11 5" xfId="12139"/>
    <cellStyle name="Normal 10 10 11 5 2" xfId="12140"/>
    <cellStyle name="Normal 10 10 11 6" xfId="12141"/>
    <cellStyle name="Normal 10 10 11 7" xfId="12142"/>
    <cellStyle name="Normal 10 10 11 8" xfId="12143"/>
    <cellStyle name="Normal 10 10 11 9" xfId="12144"/>
    <cellStyle name="Normal 10 10 12" xfId="12145"/>
    <cellStyle name="Normal 10 10 12 2" xfId="12146"/>
    <cellStyle name="Normal 10 10 12 2 2" xfId="12147"/>
    <cellStyle name="Normal 10 10 12 3" xfId="12148"/>
    <cellStyle name="Normal 10 10 12 4" xfId="12149"/>
    <cellStyle name="Normal 10 10 12 5" xfId="12150"/>
    <cellStyle name="Normal 10 10 13" xfId="12151"/>
    <cellStyle name="Normal 10 10 13 2" xfId="12152"/>
    <cellStyle name="Normal 10 10 14" xfId="12153"/>
    <cellStyle name="Normal 10 10 14 2" xfId="12154"/>
    <cellStyle name="Normal 10 10 15" xfId="12155"/>
    <cellStyle name="Normal 10 10 15 2" xfId="12156"/>
    <cellStyle name="Normal 10 10 16" xfId="12157"/>
    <cellStyle name="Normal 10 10 16 2" xfId="12158"/>
    <cellStyle name="Normal 10 10 17" xfId="12159"/>
    <cellStyle name="Normal 10 10 18" xfId="12160"/>
    <cellStyle name="Normal 10 10 19" xfId="12161"/>
    <cellStyle name="Normal 10 10 2" xfId="12162"/>
    <cellStyle name="Normal 10 10 2 10" xfId="12163"/>
    <cellStyle name="Normal 10 10 2 11" xfId="12164"/>
    <cellStyle name="Normal 10 10 2 12" xfId="12165"/>
    <cellStyle name="Normal 10 10 2 13" xfId="12166"/>
    <cellStyle name="Normal 10 10 2 14" xfId="12167"/>
    <cellStyle name="Normal 10 10 2 15" xfId="12168"/>
    <cellStyle name="Normal 10 10 2 16" xfId="12169"/>
    <cellStyle name="Normal 10 10 2 17" xfId="12170"/>
    <cellStyle name="Normal 10 10 2 18" xfId="12171"/>
    <cellStyle name="Normal 10 10 2 2" xfId="12172"/>
    <cellStyle name="Normal 10 10 2 2 10" xfId="12173"/>
    <cellStyle name="Normal 10 10 2 2 11" xfId="12174"/>
    <cellStyle name="Normal 10 10 2 2 12" xfId="12175"/>
    <cellStyle name="Normal 10 10 2 2 13" xfId="12176"/>
    <cellStyle name="Normal 10 10 2 2 2" xfId="12177"/>
    <cellStyle name="Normal 10 10 2 2 2 2" xfId="12178"/>
    <cellStyle name="Normal 10 10 2 2 2 2 2" xfId="12179"/>
    <cellStyle name="Normal 10 10 2 2 2 3" xfId="12180"/>
    <cellStyle name="Normal 10 10 2 2 2 4" xfId="12181"/>
    <cellStyle name="Normal 10 10 2 2 2 5" xfId="12182"/>
    <cellStyle name="Normal 10 10 2 2 3" xfId="12183"/>
    <cellStyle name="Normal 10 10 2 2 3 2" xfId="12184"/>
    <cellStyle name="Normal 10 10 2 2 4" xfId="12185"/>
    <cellStyle name="Normal 10 10 2 2 4 2" xfId="12186"/>
    <cellStyle name="Normal 10 10 2 2 5" xfId="12187"/>
    <cellStyle name="Normal 10 10 2 2 5 2" xfId="12188"/>
    <cellStyle name="Normal 10 10 2 2 6" xfId="12189"/>
    <cellStyle name="Normal 10 10 2 2 6 2" xfId="12190"/>
    <cellStyle name="Normal 10 10 2 2 7" xfId="12191"/>
    <cellStyle name="Normal 10 10 2 2 8" xfId="12192"/>
    <cellStyle name="Normal 10 10 2 2 9" xfId="12193"/>
    <cellStyle name="Normal 10 10 2 3" xfId="12194"/>
    <cellStyle name="Normal 10 10 2 3 2" xfId="12195"/>
    <cellStyle name="Normal 10 10 2 3 2 2" xfId="12196"/>
    <cellStyle name="Normal 10 10 2 3 3" xfId="12197"/>
    <cellStyle name="Normal 10 10 2 3 4" xfId="12198"/>
    <cellStyle name="Normal 10 10 2 3 5" xfId="12199"/>
    <cellStyle name="Normal 10 10 2 4" xfId="12200"/>
    <cellStyle name="Normal 10 10 2 4 2" xfId="12201"/>
    <cellStyle name="Normal 10 10 2 5" xfId="12202"/>
    <cellStyle name="Normal 10 10 2 5 2" xfId="12203"/>
    <cellStyle name="Normal 10 10 2 6" xfId="12204"/>
    <cellStyle name="Normal 10 10 2 6 2" xfId="12205"/>
    <cellStyle name="Normal 10 10 2 7" xfId="12206"/>
    <cellStyle name="Normal 10 10 2 7 2" xfId="12207"/>
    <cellStyle name="Normal 10 10 2 8" xfId="12208"/>
    <cellStyle name="Normal 10 10 2 9" xfId="12209"/>
    <cellStyle name="Normal 10 10 20" xfId="12210"/>
    <cellStyle name="Normal 10 10 21" xfId="12211"/>
    <cellStyle name="Normal 10 10 22" xfId="12212"/>
    <cellStyle name="Normal 10 10 23" xfId="12213"/>
    <cellStyle name="Normal 10 10 24" xfId="12214"/>
    <cellStyle name="Normal 10 10 25" xfId="12215"/>
    <cellStyle name="Normal 10 10 3" xfId="12216"/>
    <cellStyle name="Normal 10 10 3 10" xfId="12217"/>
    <cellStyle name="Normal 10 10 3 11" xfId="12218"/>
    <cellStyle name="Normal 10 10 3 12" xfId="12219"/>
    <cellStyle name="Normal 10 10 3 13" xfId="12220"/>
    <cellStyle name="Normal 10 10 3 14" xfId="12221"/>
    <cellStyle name="Normal 10 10 3 15" xfId="12222"/>
    <cellStyle name="Normal 10 10 3 16" xfId="12223"/>
    <cellStyle name="Normal 10 10 3 17" xfId="12224"/>
    <cellStyle name="Normal 10 10 3 18" xfId="12225"/>
    <cellStyle name="Normal 10 10 3 2" xfId="12226"/>
    <cellStyle name="Normal 10 10 3 2 10" xfId="12227"/>
    <cellStyle name="Normal 10 10 3 2 11" xfId="12228"/>
    <cellStyle name="Normal 10 10 3 2 12" xfId="12229"/>
    <cellStyle name="Normal 10 10 3 2 13" xfId="12230"/>
    <cellStyle name="Normal 10 10 3 2 2" xfId="12231"/>
    <cellStyle name="Normal 10 10 3 2 2 2" xfId="12232"/>
    <cellStyle name="Normal 10 10 3 2 2 2 2" xfId="12233"/>
    <cellStyle name="Normal 10 10 3 2 2 3" xfId="12234"/>
    <cellStyle name="Normal 10 10 3 2 2 4" xfId="12235"/>
    <cellStyle name="Normal 10 10 3 2 2 5" xfId="12236"/>
    <cellStyle name="Normal 10 10 3 2 3" xfId="12237"/>
    <cellStyle name="Normal 10 10 3 2 3 2" xfId="12238"/>
    <cellStyle name="Normal 10 10 3 2 4" xfId="12239"/>
    <cellStyle name="Normal 10 10 3 2 4 2" xfId="12240"/>
    <cellStyle name="Normal 10 10 3 2 5" xfId="12241"/>
    <cellStyle name="Normal 10 10 3 2 5 2" xfId="12242"/>
    <cellStyle name="Normal 10 10 3 2 6" xfId="12243"/>
    <cellStyle name="Normal 10 10 3 2 6 2" xfId="12244"/>
    <cellStyle name="Normal 10 10 3 2 7" xfId="12245"/>
    <cellStyle name="Normal 10 10 3 2 8" xfId="12246"/>
    <cellStyle name="Normal 10 10 3 2 9" xfId="12247"/>
    <cellStyle name="Normal 10 10 3 3" xfId="12248"/>
    <cellStyle name="Normal 10 10 3 3 2" xfId="12249"/>
    <cellStyle name="Normal 10 10 3 3 2 2" xfId="12250"/>
    <cellStyle name="Normal 10 10 3 3 3" xfId="12251"/>
    <cellStyle name="Normal 10 10 3 3 4" xfId="12252"/>
    <cellStyle name="Normal 10 10 3 3 5" xfId="12253"/>
    <cellStyle name="Normal 10 10 3 4" xfId="12254"/>
    <cellStyle name="Normal 10 10 3 4 2" xfId="12255"/>
    <cellStyle name="Normal 10 10 3 5" xfId="12256"/>
    <cellStyle name="Normal 10 10 3 5 2" xfId="12257"/>
    <cellStyle name="Normal 10 10 3 6" xfId="12258"/>
    <cellStyle name="Normal 10 10 3 6 2" xfId="12259"/>
    <cellStyle name="Normal 10 10 3 7" xfId="12260"/>
    <cellStyle name="Normal 10 10 3 7 2" xfId="12261"/>
    <cellStyle name="Normal 10 10 3 8" xfId="12262"/>
    <cellStyle name="Normal 10 10 3 9" xfId="12263"/>
    <cellStyle name="Normal 10 10 4" xfId="12264"/>
    <cellStyle name="Normal 10 10 4 10" xfId="12265"/>
    <cellStyle name="Normal 10 10 4 11" xfId="12266"/>
    <cellStyle name="Normal 10 10 4 12" xfId="12267"/>
    <cellStyle name="Normal 10 10 4 13" xfId="12268"/>
    <cellStyle name="Normal 10 10 4 14" xfId="12269"/>
    <cellStyle name="Normal 10 10 4 15" xfId="12270"/>
    <cellStyle name="Normal 10 10 4 16" xfId="12271"/>
    <cellStyle name="Normal 10 10 4 17" xfId="12272"/>
    <cellStyle name="Normal 10 10 4 18" xfId="12273"/>
    <cellStyle name="Normal 10 10 4 2" xfId="12274"/>
    <cellStyle name="Normal 10 10 4 2 10" xfId="12275"/>
    <cellStyle name="Normal 10 10 4 2 11" xfId="12276"/>
    <cellStyle name="Normal 10 10 4 2 12" xfId="12277"/>
    <cellStyle name="Normal 10 10 4 2 13" xfId="12278"/>
    <cellStyle name="Normal 10 10 4 2 2" xfId="12279"/>
    <cellStyle name="Normal 10 10 4 2 2 2" xfId="12280"/>
    <cellStyle name="Normal 10 10 4 2 2 2 2" xfId="12281"/>
    <cellStyle name="Normal 10 10 4 2 2 3" xfId="12282"/>
    <cellStyle name="Normal 10 10 4 2 2 4" xfId="12283"/>
    <cellStyle name="Normal 10 10 4 2 2 5" xfId="12284"/>
    <cellStyle name="Normal 10 10 4 2 3" xfId="12285"/>
    <cellStyle name="Normal 10 10 4 2 3 2" xfId="12286"/>
    <cellStyle name="Normal 10 10 4 2 4" xfId="12287"/>
    <cellStyle name="Normal 10 10 4 2 4 2" xfId="12288"/>
    <cellStyle name="Normal 10 10 4 2 5" xfId="12289"/>
    <cellStyle name="Normal 10 10 4 2 5 2" xfId="12290"/>
    <cellStyle name="Normal 10 10 4 2 6" xfId="12291"/>
    <cellStyle name="Normal 10 10 4 2 6 2" xfId="12292"/>
    <cellStyle name="Normal 10 10 4 2 7" xfId="12293"/>
    <cellStyle name="Normal 10 10 4 2 8" xfId="12294"/>
    <cellStyle name="Normal 10 10 4 2 9" xfId="12295"/>
    <cellStyle name="Normal 10 10 4 3" xfId="12296"/>
    <cellStyle name="Normal 10 10 4 3 2" xfId="12297"/>
    <cellStyle name="Normal 10 10 4 3 2 2" xfId="12298"/>
    <cellStyle name="Normal 10 10 4 3 3" xfId="12299"/>
    <cellStyle name="Normal 10 10 4 3 4" xfId="12300"/>
    <cellStyle name="Normal 10 10 4 3 5" xfId="12301"/>
    <cellStyle name="Normal 10 10 4 4" xfId="12302"/>
    <cellStyle name="Normal 10 10 4 4 2" xfId="12303"/>
    <cellStyle name="Normal 10 10 4 5" xfId="12304"/>
    <cellStyle name="Normal 10 10 4 5 2" xfId="12305"/>
    <cellStyle name="Normal 10 10 4 6" xfId="12306"/>
    <cellStyle name="Normal 10 10 4 6 2" xfId="12307"/>
    <cellStyle name="Normal 10 10 4 7" xfId="12308"/>
    <cellStyle name="Normal 10 10 4 7 2" xfId="12309"/>
    <cellStyle name="Normal 10 10 4 8" xfId="12310"/>
    <cellStyle name="Normal 10 10 4 9" xfId="12311"/>
    <cellStyle name="Normal 10 10 5" xfId="12312"/>
    <cellStyle name="Normal 10 10 5 10" xfId="12313"/>
    <cellStyle name="Normal 10 10 5 11" xfId="12314"/>
    <cellStyle name="Normal 10 10 5 12" xfId="12315"/>
    <cellStyle name="Normal 10 10 5 13" xfId="12316"/>
    <cellStyle name="Normal 10 10 5 14" xfId="12317"/>
    <cellStyle name="Normal 10 10 5 15" xfId="12318"/>
    <cellStyle name="Normal 10 10 5 16" xfId="12319"/>
    <cellStyle name="Normal 10 10 5 17" xfId="12320"/>
    <cellStyle name="Normal 10 10 5 2" xfId="12321"/>
    <cellStyle name="Normal 10 10 5 2 10" xfId="12322"/>
    <cellStyle name="Normal 10 10 5 2 11" xfId="12323"/>
    <cellStyle name="Normal 10 10 5 2 12" xfId="12324"/>
    <cellStyle name="Normal 10 10 5 2 13" xfId="12325"/>
    <cellStyle name="Normal 10 10 5 2 2" xfId="12326"/>
    <cellStyle name="Normal 10 10 5 2 2 2" xfId="12327"/>
    <cellStyle name="Normal 10 10 5 2 2 2 2" xfId="12328"/>
    <cellStyle name="Normal 10 10 5 2 2 3" xfId="12329"/>
    <cellStyle name="Normal 10 10 5 2 2 4" xfId="12330"/>
    <cellStyle name="Normal 10 10 5 2 2 5" xfId="12331"/>
    <cellStyle name="Normal 10 10 5 2 3" xfId="12332"/>
    <cellStyle name="Normal 10 10 5 2 3 2" xfId="12333"/>
    <cellStyle name="Normal 10 10 5 2 4" xfId="12334"/>
    <cellStyle name="Normal 10 10 5 2 4 2" xfId="12335"/>
    <cellStyle name="Normal 10 10 5 2 5" xfId="12336"/>
    <cellStyle name="Normal 10 10 5 2 5 2" xfId="12337"/>
    <cellStyle name="Normal 10 10 5 2 6" xfId="12338"/>
    <cellStyle name="Normal 10 10 5 2 6 2" xfId="12339"/>
    <cellStyle name="Normal 10 10 5 2 7" xfId="12340"/>
    <cellStyle name="Normal 10 10 5 2 8" xfId="12341"/>
    <cellStyle name="Normal 10 10 5 2 9" xfId="12342"/>
    <cellStyle name="Normal 10 10 5 3" xfId="12343"/>
    <cellStyle name="Normal 10 10 5 3 2" xfId="12344"/>
    <cellStyle name="Normal 10 10 5 3 2 2" xfId="12345"/>
    <cellStyle name="Normal 10 10 5 3 3" xfId="12346"/>
    <cellStyle name="Normal 10 10 5 3 4" xfId="12347"/>
    <cellStyle name="Normal 10 10 5 3 5" xfId="12348"/>
    <cellStyle name="Normal 10 10 5 4" xfId="12349"/>
    <cellStyle name="Normal 10 10 5 4 2" xfId="12350"/>
    <cellStyle name="Normal 10 10 5 5" xfId="12351"/>
    <cellStyle name="Normal 10 10 5 5 2" xfId="12352"/>
    <cellStyle name="Normal 10 10 5 6" xfId="12353"/>
    <cellStyle name="Normal 10 10 5 6 2" xfId="12354"/>
    <cellStyle name="Normal 10 10 5 7" xfId="12355"/>
    <cellStyle name="Normal 10 10 5 7 2" xfId="12356"/>
    <cellStyle name="Normal 10 10 5 8" xfId="12357"/>
    <cellStyle name="Normal 10 10 5 9" xfId="12358"/>
    <cellStyle name="Normal 10 10 6" xfId="12359"/>
    <cellStyle name="Normal 10 10 6 10" xfId="12360"/>
    <cellStyle name="Normal 10 10 6 11" xfId="12361"/>
    <cellStyle name="Normal 10 10 6 12" xfId="12362"/>
    <cellStyle name="Normal 10 10 6 13" xfId="12363"/>
    <cellStyle name="Normal 10 10 6 14" xfId="12364"/>
    <cellStyle name="Normal 10 10 6 15" xfId="12365"/>
    <cellStyle name="Normal 10 10 6 16" xfId="12366"/>
    <cellStyle name="Normal 10 10 6 17" xfId="12367"/>
    <cellStyle name="Normal 10 10 6 2" xfId="12368"/>
    <cellStyle name="Normal 10 10 6 2 10" xfId="12369"/>
    <cellStyle name="Normal 10 10 6 2 11" xfId="12370"/>
    <cellStyle name="Normal 10 10 6 2 12" xfId="12371"/>
    <cellStyle name="Normal 10 10 6 2 13" xfId="12372"/>
    <cellStyle name="Normal 10 10 6 2 2" xfId="12373"/>
    <cellStyle name="Normal 10 10 6 2 2 2" xfId="12374"/>
    <cellStyle name="Normal 10 10 6 2 2 2 2" xfId="12375"/>
    <cellStyle name="Normal 10 10 6 2 2 3" xfId="12376"/>
    <cellStyle name="Normal 10 10 6 2 2 4" xfId="12377"/>
    <cellStyle name="Normal 10 10 6 2 2 5" xfId="12378"/>
    <cellStyle name="Normal 10 10 6 2 3" xfId="12379"/>
    <cellStyle name="Normal 10 10 6 2 3 2" xfId="12380"/>
    <cellStyle name="Normal 10 10 6 2 4" xfId="12381"/>
    <cellStyle name="Normal 10 10 6 2 4 2" xfId="12382"/>
    <cellStyle name="Normal 10 10 6 2 5" xfId="12383"/>
    <cellStyle name="Normal 10 10 6 2 5 2" xfId="12384"/>
    <cellStyle name="Normal 10 10 6 2 6" xfId="12385"/>
    <cellStyle name="Normal 10 10 6 2 6 2" xfId="12386"/>
    <cellStyle name="Normal 10 10 6 2 7" xfId="12387"/>
    <cellStyle name="Normal 10 10 6 2 8" xfId="12388"/>
    <cellStyle name="Normal 10 10 6 2 9" xfId="12389"/>
    <cellStyle name="Normal 10 10 6 3" xfId="12390"/>
    <cellStyle name="Normal 10 10 6 3 2" xfId="12391"/>
    <cellStyle name="Normal 10 10 6 3 2 2" xfId="12392"/>
    <cellStyle name="Normal 10 10 6 3 3" xfId="12393"/>
    <cellStyle name="Normal 10 10 6 3 4" xfId="12394"/>
    <cellStyle name="Normal 10 10 6 3 5" xfId="12395"/>
    <cellStyle name="Normal 10 10 6 4" xfId="12396"/>
    <cellStyle name="Normal 10 10 6 4 2" xfId="12397"/>
    <cellStyle name="Normal 10 10 6 5" xfId="12398"/>
    <cellStyle name="Normal 10 10 6 5 2" xfId="12399"/>
    <cellStyle name="Normal 10 10 6 6" xfId="12400"/>
    <cellStyle name="Normal 10 10 6 6 2" xfId="12401"/>
    <cellStyle name="Normal 10 10 6 7" xfId="12402"/>
    <cellStyle name="Normal 10 10 6 7 2" xfId="12403"/>
    <cellStyle name="Normal 10 10 6 8" xfId="12404"/>
    <cellStyle name="Normal 10 10 6 9" xfId="12405"/>
    <cellStyle name="Normal 10 10 7" xfId="12406"/>
    <cellStyle name="Normal 10 10 7 10" xfId="12407"/>
    <cellStyle name="Normal 10 10 7 11" xfId="12408"/>
    <cellStyle name="Normal 10 10 7 12" xfId="12409"/>
    <cellStyle name="Normal 10 10 7 13" xfId="12410"/>
    <cellStyle name="Normal 10 10 7 14" xfId="12411"/>
    <cellStyle name="Normal 10 10 7 15" xfId="12412"/>
    <cellStyle name="Normal 10 10 7 16" xfId="12413"/>
    <cellStyle name="Normal 10 10 7 17" xfId="12414"/>
    <cellStyle name="Normal 10 10 7 2" xfId="12415"/>
    <cellStyle name="Normal 10 10 7 2 10" xfId="12416"/>
    <cellStyle name="Normal 10 10 7 2 11" xfId="12417"/>
    <cellStyle name="Normal 10 10 7 2 12" xfId="12418"/>
    <cellStyle name="Normal 10 10 7 2 13" xfId="12419"/>
    <cellStyle name="Normal 10 10 7 2 2" xfId="12420"/>
    <cellStyle name="Normal 10 10 7 2 2 2" xfId="12421"/>
    <cellStyle name="Normal 10 10 7 2 2 2 2" xfId="12422"/>
    <cellStyle name="Normal 10 10 7 2 2 3" xfId="12423"/>
    <cellStyle name="Normal 10 10 7 2 2 4" xfId="12424"/>
    <cellStyle name="Normal 10 10 7 2 2 5" xfId="12425"/>
    <cellStyle name="Normal 10 10 7 2 3" xfId="12426"/>
    <cellStyle name="Normal 10 10 7 2 3 2" xfId="12427"/>
    <cellStyle name="Normal 10 10 7 2 4" xfId="12428"/>
    <cellStyle name="Normal 10 10 7 2 4 2" xfId="12429"/>
    <cellStyle name="Normal 10 10 7 2 5" xfId="12430"/>
    <cellStyle name="Normal 10 10 7 2 5 2" xfId="12431"/>
    <cellStyle name="Normal 10 10 7 2 6" xfId="12432"/>
    <cellStyle name="Normal 10 10 7 2 6 2" xfId="12433"/>
    <cellStyle name="Normal 10 10 7 2 7" xfId="12434"/>
    <cellStyle name="Normal 10 10 7 2 8" xfId="12435"/>
    <cellStyle name="Normal 10 10 7 2 9" xfId="12436"/>
    <cellStyle name="Normal 10 10 7 3" xfId="12437"/>
    <cellStyle name="Normal 10 10 7 3 2" xfId="12438"/>
    <cellStyle name="Normal 10 10 7 3 2 2" xfId="12439"/>
    <cellStyle name="Normal 10 10 7 3 3" xfId="12440"/>
    <cellStyle name="Normal 10 10 7 3 4" xfId="12441"/>
    <cellStyle name="Normal 10 10 7 3 5" xfId="12442"/>
    <cellStyle name="Normal 10 10 7 4" xfId="12443"/>
    <cellStyle name="Normal 10 10 7 4 2" xfId="12444"/>
    <cellStyle name="Normal 10 10 7 5" xfId="12445"/>
    <cellStyle name="Normal 10 10 7 5 2" xfId="12446"/>
    <cellStyle name="Normal 10 10 7 6" xfId="12447"/>
    <cellStyle name="Normal 10 10 7 6 2" xfId="12448"/>
    <cellStyle name="Normal 10 10 7 7" xfId="12449"/>
    <cellStyle name="Normal 10 10 7 7 2" xfId="12450"/>
    <cellStyle name="Normal 10 10 7 8" xfId="12451"/>
    <cellStyle name="Normal 10 10 7 9" xfId="12452"/>
    <cellStyle name="Normal 10 10 8" xfId="12453"/>
    <cellStyle name="Normal 10 10 8 10" xfId="12454"/>
    <cellStyle name="Normal 10 10 8 11" xfId="12455"/>
    <cellStyle name="Normal 10 10 8 12" xfId="12456"/>
    <cellStyle name="Normal 10 10 8 13" xfId="12457"/>
    <cellStyle name="Normal 10 10 8 14" xfId="12458"/>
    <cellStyle name="Normal 10 10 8 15" xfId="12459"/>
    <cellStyle name="Normal 10 10 8 2" xfId="12460"/>
    <cellStyle name="Normal 10 10 8 2 2" xfId="12461"/>
    <cellStyle name="Normal 10 10 8 2 2 2" xfId="12462"/>
    <cellStyle name="Normal 10 10 8 2 3" xfId="12463"/>
    <cellStyle name="Normal 10 10 8 2 3 2" xfId="12464"/>
    <cellStyle name="Normal 10 10 8 2 4" xfId="12465"/>
    <cellStyle name="Normal 10 10 8 2 4 2" xfId="12466"/>
    <cellStyle name="Normal 10 10 8 2 5" xfId="12467"/>
    <cellStyle name="Normal 10 10 8 2 5 2" xfId="12468"/>
    <cellStyle name="Normal 10 10 8 2 6" xfId="12469"/>
    <cellStyle name="Normal 10 10 8 2 7" xfId="12470"/>
    <cellStyle name="Normal 10 10 8 2 8" xfId="12471"/>
    <cellStyle name="Normal 10 10 8 2 9" xfId="12472"/>
    <cellStyle name="Normal 10 10 8 3" xfId="12473"/>
    <cellStyle name="Normal 10 10 8 3 2" xfId="12474"/>
    <cellStyle name="Normal 10 10 8 3 2 2" xfId="12475"/>
    <cellStyle name="Normal 10 10 8 3 3" xfId="12476"/>
    <cellStyle name="Normal 10 10 8 3 4" xfId="12477"/>
    <cellStyle name="Normal 10 10 8 3 5" xfId="12478"/>
    <cellStyle name="Normal 10 10 8 4" xfId="12479"/>
    <cellStyle name="Normal 10 10 8 4 2" xfId="12480"/>
    <cellStyle name="Normal 10 10 8 5" xfId="12481"/>
    <cellStyle name="Normal 10 10 8 5 2" xfId="12482"/>
    <cellStyle name="Normal 10 10 8 6" xfId="12483"/>
    <cellStyle name="Normal 10 10 8 6 2" xfId="12484"/>
    <cellStyle name="Normal 10 10 8 7" xfId="12485"/>
    <cellStyle name="Normal 10 10 8 7 2" xfId="12486"/>
    <cellStyle name="Normal 10 10 8 8" xfId="12487"/>
    <cellStyle name="Normal 10 10 8 9" xfId="12488"/>
    <cellStyle name="Normal 10 10 9" xfId="12489"/>
    <cellStyle name="Normal 10 10 9 10" xfId="12490"/>
    <cellStyle name="Normal 10 10 9 11" xfId="12491"/>
    <cellStyle name="Normal 10 10 9 12" xfId="12492"/>
    <cellStyle name="Normal 10 10 9 13" xfId="12493"/>
    <cellStyle name="Normal 10 10 9 14" xfId="12494"/>
    <cellStyle name="Normal 10 10 9 15" xfId="12495"/>
    <cellStyle name="Normal 10 10 9 2" xfId="12496"/>
    <cellStyle name="Normal 10 10 9 2 2" xfId="12497"/>
    <cellStyle name="Normal 10 10 9 2 2 2" xfId="12498"/>
    <cellStyle name="Normal 10 10 9 2 3" xfId="12499"/>
    <cellStyle name="Normal 10 10 9 2 3 2" xfId="12500"/>
    <cellStyle name="Normal 10 10 9 2 4" xfId="12501"/>
    <cellStyle name="Normal 10 10 9 2 4 2" xfId="12502"/>
    <cellStyle name="Normal 10 10 9 2 5" xfId="12503"/>
    <cellStyle name="Normal 10 10 9 2 5 2" xfId="12504"/>
    <cellStyle name="Normal 10 10 9 2 6" xfId="12505"/>
    <cellStyle name="Normal 10 10 9 2 7" xfId="12506"/>
    <cellStyle name="Normal 10 10 9 2 8" xfId="12507"/>
    <cellStyle name="Normal 10 10 9 2 9" xfId="12508"/>
    <cellStyle name="Normal 10 10 9 3" xfId="12509"/>
    <cellStyle name="Normal 10 10 9 3 2" xfId="12510"/>
    <cellStyle name="Normal 10 10 9 3 2 2" xfId="12511"/>
    <cellStyle name="Normal 10 10 9 3 3" xfId="12512"/>
    <cellStyle name="Normal 10 10 9 3 4" xfId="12513"/>
    <cellStyle name="Normal 10 10 9 3 5" xfId="12514"/>
    <cellStyle name="Normal 10 10 9 4" xfId="12515"/>
    <cellStyle name="Normal 10 10 9 4 2" xfId="12516"/>
    <cellStyle name="Normal 10 10 9 5" xfId="12517"/>
    <cellStyle name="Normal 10 10 9 5 2" xfId="12518"/>
    <cellStyle name="Normal 10 10 9 6" xfId="12519"/>
    <cellStyle name="Normal 10 10 9 6 2" xfId="12520"/>
    <cellStyle name="Normal 10 10 9 7" xfId="12521"/>
    <cellStyle name="Normal 10 10 9 7 2" xfId="12522"/>
    <cellStyle name="Normal 10 10 9 8" xfId="12523"/>
    <cellStyle name="Normal 10 10 9 9" xfId="12524"/>
    <cellStyle name="Normal 10 11" xfId="12525"/>
    <cellStyle name="Normal 10 11 10" xfId="12526"/>
    <cellStyle name="Normal 10 11 11" xfId="12527"/>
    <cellStyle name="Normal 10 11 12" xfId="12528"/>
    <cellStyle name="Normal 10 11 13" xfId="12529"/>
    <cellStyle name="Normal 10 11 14" xfId="12530"/>
    <cellStyle name="Normal 10 11 15" xfId="12531"/>
    <cellStyle name="Normal 10 11 16" xfId="12532"/>
    <cellStyle name="Normal 10 11 17" xfId="12533"/>
    <cellStyle name="Normal 10 11 18" xfId="12534"/>
    <cellStyle name="Normal 10 11 2" xfId="12535"/>
    <cellStyle name="Normal 10 11 2 10" xfId="12536"/>
    <cellStyle name="Normal 10 11 2 11" xfId="12537"/>
    <cellStyle name="Normal 10 11 2 12" xfId="12538"/>
    <cellStyle name="Normal 10 11 2 13" xfId="12539"/>
    <cellStyle name="Normal 10 11 2 2" xfId="12540"/>
    <cellStyle name="Normal 10 11 2 2 2" xfId="12541"/>
    <cellStyle name="Normal 10 11 2 2 2 2" xfId="12542"/>
    <cellStyle name="Normal 10 11 2 2 3" xfId="12543"/>
    <cellStyle name="Normal 10 11 2 2 4" xfId="12544"/>
    <cellStyle name="Normal 10 11 2 2 5" xfId="12545"/>
    <cellStyle name="Normal 10 11 2 3" xfId="12546"/>
    <cellStyle name="Normal 10 11 2 3 2" xfId="12547"/>
    <cellStyle name="Normal 10 11 2 4" xfId="12548"/>
    <cellStyle name="Normal 10 11 2 4 2" xfId="12549"/>
    <cellStyle name="Normal 10 11 2 5" xfId="12550"/>
    <cellStyle name="Normal 10 11 2 5 2" xfId="12551"/>
    <cellStyle name="Normal 10 11 2 6" xfId="12552"/>
    <cellStyle name="Normal 10 11 2 6 2" xfId="12553"/>
    <cellStyle name="Normal 10 11 2 7" xfId="12554"/>
    <cellStyle name="Normal 10 11 2 8" xfId="12555"/>
    <cellStyle name="Normal 10 11 2 9" xfId="12556"/>
    <cellStyle name="Normal 10 11 3" xfId="12557"/>
    <cellStyle name="Normal 10 11 3 2" xfId="12558"/>
    <cellStyle name="Normal 10 11 3 2 2" xfId="12559"/>
    <cellStyle name="Normal 10 11 3 3" xfId="12560"/>
    <cellStyle name="Normal 10 11 3 4" xfId="12561"/>
    <cellStyle name="Normal 10 11 3 5" xfId="12562"/>
    <cellStyle name="Normal 10 11 4" xfId="12563"/>
    <cellStyle name="Normal 10 11 4 2" xfId="12564"/>
    <cellStyle name="Normal 10 11 5" xfId="12565"/>
    <cellStyle name="Normal 10 11 5 2" xfId="12566"/>
    <cellStyle name="Normal 10 11 6" xfId="12567"/>
    <cellStyle name="Normal 10 11 6 2" xfId="12568"/>
    <cellStyle name="Normal 10 11 7" xfId="12569"/>
    <cellStyle name="Normal 10 11 7 2" xfId="12570"/>
    <cellStyle name="Normal 10 11 8" xfId="12571"/>
    <cellStyle name="Normal 10 11 9" xfId="12572"/>
    <cellStyle name="Normal 10 12" xfId="12573"/>
    <cellStyle name="Normal 10 12 10" xfId="12574"/>
    <cellStyle name="Normal 10 12 11" xfId="12575"/>
    <cellStyle name="Normal 10 12 12" xfId="12576"/>
    <cellStyle name="Normal 10 12 13" xfId="12577"/>
    <cellStyle name="Normal 10 12 14" xfId="12578"/>
    <cellStyle name="Normal 10 12 15" xfId="12579"/>
    <cellStyle name="Normal 10 12 16" xfId="12580"/>
    <cellStyle name="Normal 10 12 17" xfId="12581"/>
    <cellStyle name="Normal 10 12 18" xfId="12582"/>
    <cellStyle name="Normal 10 12 2" xfId="12583"/>
    <cellStyle name="Normal 10 12 2 10" xfId="12584"/>
    <cellStyle name="Normal 10 12 2 11" xfId="12585"/>
    <cellStyle name="Normal 10 12 2 12" xfId="12586"/>
    <cellStyle name="Normal 10 12 2 13" xfId="12587"/>
    <cellStyle name="Normal 10 12 2 2" xfId="12588"/>
    <cellStyle name="Normal 10 12 2 2 2" xfId="12589"/>
    <cellStyle name="Normal 10 12 2 2 2 2" xfId="12590"/>
    <cellStyle name="Normal 10 12 2 2 3" xfId="12591"/>
    <cellStyle name="Normal 10 12 2 2 4" xfId="12592"/>
    <cellStyle name="Normal 10 12 2 2 5" xfId="12593"/>
    <cellStyle name="Normal 10 12 2 3" xfId="12594"/>
    <cellStyle name="Normal 10 12 2 3 2" xfId="12595"/>
    <cellStyle name="Normal 10 12 2 4" xfId="12596"/>
    <cellStyle name="Normal 10 12 2 4 2" xfId="12597"/>
    <cellStyle name="Normal 10 12 2 5" xfId="12598"/>
    <cellStyle name="Normal 10 12 2 5 2" xfId="12599"/>
    <cellStyle name="Normal 10 12 2 6" xfId="12600"/>
    <cellStyle name="Normal 10 12 2 6 2" xfId="12601"/>
    <cellStyle name="Normal 10 12 2 7" xfId="12602"/>
    <cellStyle name="Normal 10 12 2 8" xfId="12603"/>
    <cellStyle name="Normal 10 12 2 9" xfId="12604"/>
    <cellStyle name="Normal 10 12 3" xfId="12605"/>
    <cellStyle name="Normal 10 12 3 2" xfId="12606"/>
    <cellStyle name="Normal 10 12 3 2 2" xfId="12607"/>
    <cellStyle name="Normal 10 12 3 3" xfId="12608"/>
    <cellStyle name="Normal 10 12 3 4" xfId="12609"/>
    <cellStyle name="Normal 10 12 3 5" xfId="12610"/>
    <cellStyle name="Normal 10 12 4" xfId="12611"/>
    <cellStyle name="Normal 10 12 4 2" xfId="12612"/>
    <cellStyle name="Normal 10 12 5" xfId="12613"/>
    <cellStyle name="Normal 10 12 5 2" xfId="12614"/>
    <cellStyle name="Normal 10 12 6" xfId="12615"/>
    <cellStyle name="Normal 10 12 6 2" xfId="12616"/>
    <cellStyle name="Normal 10 12 7" xfId="12617"/>
    <cellStyle name="Normal 10 12 7 2" xfId="12618"/>
    <cellStyle name="Normal 10 12 8" xfId="12619"/>
    <cellStyle name="Normal 10 12 9" xfId="12620"/>
    <cellStyle name="Normal 10 13" xfId="12621"/>
    <cellStyle name="Normal 10 13 10" xfId="12622"/>
    <cellStyle name="Normal 10 13 11" xfId="12623"/>
    <cellStyle name="Normal 10 13 12" xfId="12624"/>
    <cellStyle name="Normal 10 13 13" xfId="12625"/>
    <cellStyle name="Normal 10 13 14" xfId="12626"/>
    <cellStyle name="Normal 10 13 15" xfId="12627"/>
    <cellStyle name="Normal 10 13 16" xfId="12628"/>
    <cellStyle name="Normal 10 13 17" xfId="12629"/>
    <cellStyle name="Normal 10 13 18" xfId="12630"/>
    <cellStyle name="Normal 10 13 2" xfId="12631"/>
    <cellStyle name="Normal 10 13 2 10" xfId="12632"/>
    <cellStyle name="Normal 10 13 2 11" xfId="12633"/>
    <cellStyle name="Normal 10 13 2 12" xfId="12634"/>
    <cellStyle name="Normal 10 13 2 13" xfId="12635"/>
    <cellStyle name="Normal 10 13 2 2" xfId="12636"/>
    <cellStyle name="Normal 10 13 2 2 2" xfId="12637"/>
    <cellStyle name="Normal 10 13 2 2 2 2" xfId="12638"/>
    <cellStyle name="Normal 10 13 2 2 3" xfId="12639"/>
    <cellStyle name="Normal 10 13 2 2 4" xfId="12640"/>
    <cellStyle name="Normal 10 13 2 2 5" xfId="12641"/>
    <cellStyle name="Normal 10 13 2 3" xfId="12642"/>
    <cellStyle name="Normal 10 13 2 3 2" xfId="12643"/>
    <cellStyle name="Normal 10 13 2 4" xfId="12644"/>
    <cellStyle name="Normal 10 13 2 4 2" xfId="12645"/>
    <cellStyle name="Normal 10 13 2 5" xfId="12646"/>
    <cellStyle name="Normal 10 13 2 5 2" xfId="12647"/>
    <cellStyle name="Normal 10 13 2 6" xfId="12648"/>
    <cellStyle name="Normal 10 13 2 6 2" xfId="12649"/>
    <cellStyle name="Normal 10 13 2 7" xfId="12650"/>
    <cellStyle name="Normal 10 13 2 8" xfId="12651"/>
    <cellStyle name="Normal 10 13 2 9" xfId="12652"/>
    <cellStyle name="Normal 10 13 3" xfId="12653"/>
    <cellStyle name="Normal 10 13 3 2" xfId="12654"/>
    <cellStyle name="Normal 10 13 3 2 2" xfId="12655"/>
    <cellStyle name="Normal 10 13 3 3" xfId="12656"/>
    <cellStyle name="Normal 10 13 3 4" xfId="12657"/>
    <cellStyle name="Normal 10 13 3 5" xfId="12658"/>
    <cellStyle name="Normal 10 13 4" xfId="12659"/>
    <cellStyle name="Normal 10 13 4 2" xfId="12660"/>
    <cellStyle name="Normal 10 13 5" xfId="12661"/>
    <cellStyle name="Normal 10 13 5 2" xfId="12662"/>
    <cellStyle name="Normal 10 13 6" xfId="12663"/>
    <cellStyle name="Normal 10 13 6 2" xfId="12664"/>
    <cellStyle name="Normal 10 13 7" xfId="12665"/>
    <cellStyle name="Normal 10 13 7 2" xfId="12666"/>
    <cellStyle name="Normal 10 13 8" xfId="12667"/>
    <cellStyle name="Normal 10 13 9" xfId="12668"/>
    <cellStyle name="Normal 10 14" xfId="12669"/>
    <cellStyle name="Normal 10 14 10" xfId="12670"/>
    <cellStyle name="Normal 10 14 11" xfId="12671"/>
    <cellStyle name="Normal 10 14 12" xfId="12672"/>
    <cellStyle name="Normal 10 14 13" xfId="12673"/>
    <cellStyle name="Normal 10 14 14" xfId="12674"/>
    <cellStyle name="Normal 10 14 15" xfId="12675"/>
    <cellStyle name="Normal 10 14 16" xfId="12676"/>
    <cellStyle name="Normal 10 14 17" xfId="12677"/>
    <cellStyle name="Normal 10 14 18" xfId="12678"/>
    <cellStyle name="Normal 10 14 2" xfId="12679"/>
    <cellStyle name="Normal 10 14 2 10" xfId="12680"/>
    <cellStyle name="Normal 10 14 2 11" xfId="12681"/>
    <cellStyle name="Normal 10 14 2 12" xfId="12682"/>
    <cellStyle name="Normal 10 14 2 13" xfId="12683"/>
    <cellStyle name="Normal 10 14 2 2" xfId="12684"/>
    <cellStyle name="Normal 10 14 2 2 2" xfId="12685"/>
    <cellStyle name="Normal 10 14 2 2 2 2" xfId="12686"/>
    <cellStyle name="Normal 10 14 2 2 3" xfId="12687"/>
    <cellStyle name="Normal 10 14 2 2 4" xfId="12688"/>
    <cellStyle name="Normal 10 14 2 2 5" xfId="12689"/>
    <cellStyle name="Normal 10 14 2 3" xfId="12690"/>
    <cellStyle name="Normal 10 14 2 3 2" xfId="12691"/>
    <cellStyle name="Normal 10 14 2 4" xfId="12692"/>
    <cellStyle name="Normal 10 14 2 4 2" xfId="12693"/>
    <cellStyle name="Normal 10 14 2 5" xfId="12694"/>
    <cellStyle name="Normal 10 14 2 5 2" xfId="12695"/>
    <cellStyle name="Normal 10 14 2 6" xfId="12696"/>
    <cellStyle name="Normal 10 14 2 6 2" xfId="12697"/>
    <cellStyle name="Normal 10 14 2 7" xfId="12698"/>
    <cellStyle name="Normal 10 14 2 8" xfId="12699"/>
    <cellStyle name="Normal 10 14 2 9" xfId="12700"/>
    <cellStyle name="Normal 10 14 3" xfId="12701"/>
    <cellStyle name="Normal 10 14 3 2" xfId="12702"/>
    <cellStyle name="Normal 10 14 3 2 2" xfId="12703"/>
    <cellStyle name="Normal 10 14 3 3" xfId="12704"/>
    <cellStyle name="Normal 10 14 3 4" xfId="12705"/>
    <cellStyle name="Normal 10 14 3 5" xfId="12706"/>
    <cellStyle name="Normal 10 14 4" xfId="12707"/>
    <cellStyle name="Normal 10 14 4 2" xfId="12708"/>
    <cellStyle name="Normal 10 14 5" xfId="12709"/>
    <cellStyle name="Normal 10 14 5 2" xfId="12710"/>
    <cellStyle name="Normal 10 14 6" xfId="12711"/>
    <cellStyle name="Normal 10 14 6 2" xfId="12712"/>
    <cellStyle name="Normal 10 14 7" xfId="12713"/>
    <cellStyle name="Normal 10 14 7 2" xfId="12714"/>
    <cellStyle name="Normal 10 14 8" xfId="12715"/>
    <cellStyle name="Normal 10 14 9" xfId="12716"/>
    <cellStyle name="Normal 10 15" xfId="12717"/>
    <cellStyle name="Normal 10 15 10" xfId="12718"/>
    <cellStyle name="Normal 10 15 11" xfId="12719"/>
    <cellStyle name="Normal 10 15 12" xfId="12720"/>
    <cellStyle name="Normal 10 15 13" xfId="12721"/>
    <cellStyle name="Normal 10 15 14" xfId="12722"/>
    <cellStyle name="Normal 10 15 15" xfId="12723"/>
    <cellStyle name="Normal 10 15 16" xfId="12724"/>
    <cellStyle name="Normal 10 15 17" xfId="12725"/>
    <cellStyle name="Normal 10 15 18" xfId="12726"/>
    <cellStyle name="Normal 10 15 2" xfId="12727"/>
    <cellStyle name="Normal 10 15 2 10" xfId="12728"/>
    <cellStyle name="Normal 10 15 2 11" xfId="12729"/>
    <cellStyle name="Normal 10 15 2 12" xfId="12730"/>
    <cellStyle name="Normal 10 15 2 13" xfId="12731"/>
    <cellStyle name="Normal 10 15 2 2" xfId="12732"/>
    <cellStyle name="Normal 10 15 2 2 2" xfId="12733"/>
    <cellStyle name="Normal 10 15 2 2 2 2" xfId="12734"/>
    <cellStyle name="Normal 10 15 2 2 3" xfId="12735"/>
    <cellStyle name="Normal 10 15 2 2 4" xfId="12736"/>
    <cellStyle name="Normal 10 15 2 2 5" xfId="12737"/>
    <cellStyle name="Normal 10 15 2 3" xfId="12738"/>
    <cellStyle name="Normal 10 15 2 3 2" xfId="12739"/>
    <cellStyle name="Normal 10 15 2 4" xfId="12740"/>
    <cellStyle name="Normal 10 15 2 4 2" xfId="12741"/>
    <cellStyle name="Normal 10 15 2 5" xfId="12742"/>
    <cellStyle name="Normal 10 15 2 5 2" xfId="12743"/>
    <cellStyle name="Normal 10 15 2 6" xfId="12744"/>
    <cellStyle name="Normal 10 15 2 6 2" xfId="12745"/>
    <cellStyle name="Normal 10 15 2 7" xfId="12746"/>
    <cellStyle name="Normal 10 15 2 8" xfId="12747"/>
    <cellStyle name="Normal 10 15 2 9" xfId="12748"/>
    <cellStyle name="Normal 10 15 3" xfId="12749"/>
    <cellStyle name="Normal 10 15 3 2" xfId="12750"/>
    <cellStyle name="Normal 10 15 3 2 2" xfId="12751"/>
    <cellStyle name="Normal 10 15 3 3" xfId="12752"/>
    <cellStyle name="Normal 10 15 3 4" xfId="12753"/>
    <cellStyle name="Normal 10 15 3 5" xfId="12754"/>
    <cellStyle name="Normal 10 15 4" xfId="12755"/>
    <cellStyle name="Normal 10 15 4 2" xfId="12756"/>
    <cellStyle name="Normal 10 15 5" xfId="12757"/>
    <cellStyle name="Normal 10 15 5 2" xfId="12758"/>
    <cellStyle name="Normal 10 15 6" xfId="12759"/>
    <cellStyle name="Normal 10 15 6 2" xfId="12760"/>
    <cellStyle name="Normal 10 15 7" xfId="12761"/>
    <cellStyle name="Normal 10 15 7 2" xfId="12762"/>
    <cellStyle name="Normal 10 15 8" xfId="12763"/>
    <cellStyle name="Normal 10 15 9" xfId="12764"/>
    <cellStyle name="Normal 10 16" xfId="12765"/>
    <cellStyle name="Normal 10 16 10" xfId="12766"/>
    <cellStyle name="Normal 10 16 11" xfId="12767"/>
    <cellStyle name="Normal 10 16 12" xfId="12768"/>
    <cellStyle name="Normal 10 16 13" xfId="12769"/>
    <cellStyle name="Normal 10 16 14" xfId="12770"/>
    <cellStyle name="Normal 10 16 15" xfId="12771"/>
    <cellStyle name="Normal 10 16 16" xfId="12772"/>
    <cellStyle name="Normal 10 16 17" xfId="12773"/>
    <cellStyle name="Normal 10 16 2" xfId="12774"/>
    <cellStyle name="Normal 10 16 2 10" xfId="12775"/>
    <cellStyle name="Normal 10 16 2 11" xfId="12776"/>
    <cellStyle name="Normal 10 16 2 12" xfId="12777"/>
    <cellStyle name="Normal 10 16 2 13" xfId="12778"/>
    <cellStyle name="Normal 10 16 2 2" xfId="12779"/>
    <cellStyle name="Normal 10 16 2 2 2" xfId="12780"/>
    <cellStyle name="Normal 10 16 2 2 2 2" xfId="12781"/>
    <cellStyle name="Normal 10 16 2 2 3" xfId="12782"/>
    <cellStyle name="Normal 10 16 2 2 4" xfId="12783"/>
    <cellStyle name="Normal 10 16 2 2 5" xfId="12784"/>
    <cellStyle name="Normal 10 16 2 3" xfId="12785"/>
    <cellStyle name="Normal 10 16 2 3 2" xfId="12786"/>
    <cellStyle name="Normal 10 16 2 4" xfId="12787"/>
    <cellStyle name="Normal 10 16 2 4 2" xfId="12788"/>
    <cellStyle name="Normal 10 16 2 5" xfId="12789"/>
    <cellStyle name="Normal 10 16 2 5 2" xfId="12790"/>
    <cellStyle name="Normal 10 16 2 6" xfId="12791"/>
    <cellStyle name="Normal 10 16 2 6 2" xfId="12792"/>
    <cellStyle name="Normal 10 16 2 7" xfId="12793"/>
    <cellStyle name="Normal 10 16 2 8" xfId="12794"/>
    <cellStyle name="Normal 10 16 2 9" xfId="12795"/>
    <cellStyle name="Normal 10 16 3" xfId="12796"/>
    <cellStyle name="Normal 10 16 3 2" xfId="12797"/>
    <cellStyle name="Normal 10 16 3 2 2" xfId="12798"/>
    <cellStyle name="Normal 10 16 3 3" xfId="12799"/>
    <cellStyle name="Normal 10 16 3 4" xfId="12800"/>
    <cellStyle name="Normal 10 16 3 5" xfId="12801"/>
    <cellStyle name="Normal 10 16 4" xfId="12802"/>
    <cellStyle name="Normal 10 16 4 2" xfId="12803"/>
    <cellStyle name="Normal 10 16 5" xfId="12804"/>
    <cellStyle name="Normal 10 16 5 2" xfId="12805"/>
    <cellStyle name="Normal 10 16 6" xfId="12806"/>
    <cellStyle name="Normal 10 16 6 2" xfId="12807"/>
    <cellStyle name="Normal 10 16 7" xfId="12808"/>
    <cellStyle name="Normal 10 16 7 2" xfId="12809"/>
    <cellStyle name="Normal 10 16 8" xfId="12810"/>
    <cellStyle name="Normal 10 16 9" xfId="12811"/>
    <cellStyle name="Normal 10 17" xfId="12812"/>
    <cellStyle name="Normal 10 17 10" xfId="12813"/>
    <cellStyle name="Normal 10 17 11" xfId="12814"/>
    <cellStyle name="Normal 10 17 12" xfId="12815"/>
    <cellStyle name="Normal 10 17 13" xfId="12816"/>
    <cellStyle name="Normal 10 17 14" xfId="12817"/>
    <cellStyle name="Normal 10 17 15" xfId="12818"/>
    <cellStyle name="Normal 10 17 2" xfId="12819"/>
    <cellStyle name="Normal 10 17 2 2" xfId="12820"/>
    <cellStyle name="Normal 10 17 2 2 2" xfId="12821"/>
    <cellStyle name="Normal 10 17 2 3" xfId="12822"/>
    <cellStyle name="Normal 10 17 2 3 2" xfId="12823"/>
    <cellStyle name="Normal 10 17 2 4" xfId="12824"/>
    <cellStyle name="Normal 10 17 2 4 2" xfId="12825"/>
    <cellStyle name="Normal 10 17 2 5" xfId="12826"/>
    <cellStyle name="Normal 10 17 2 5 2" xfId="12827"/>
    <cellStyle name="Normal 10 17 2 6" xfId="12828"/>
    <cellStyle name="Normal 10 17 2 7" xfId="12829"/>
    <cellStyle name="Normal 10 17 2 8" xfId="12830"/>
    <cellStyle name="Normal 10 17 2 9" xfId="12831"/>
    <cellStyle name="Normal 10 17 3" xfId="12832"/>
    <cellStyle name="Normal 10 17 3 2" xfId="12833"/>
    <cellStyle name="Normal 10 17 3 2 2" xfId="12834"/>
    <cellStyle name="Normal 10 17 3 3" xfId="12835"/>
    <cellStyle name="Normal 10 17 3 4" xfId="12836"/>
    <cellStyle name="Normal 10 17 3 5" xfId="12837"/>
    <cellStyle name="Normal 10 17 4" xfId="12838"/>
    <cellStyle name="Normal 10 17 4 2" xfId="12839"/>
    <cellStyle name="Normal 10 17 5" xfId="12840"/>
    <cellStyle name="Normal 10 17 5 2" xfId="12841"/>
    <cellStyle name="Normal 10 17 6" xfId="12842"/>
    <cellStyle name="Normal 10 17 6 2" xfId="12843"/>
    <cellStyle name="Normal 10 17 7" xfId="12844"/>
    <cellStyle name="Normal 10 17 7 2" xfId="12845"/>
    <cellStyle name="Normal 10 17 8" xfId="12846"/>
    <cellStyle name="Normal 10 17 9" xfId="12847"/>
    <cellStyle name="Normal 10 18" xfId="12848"/>
    <cellStyle name="Normal 10 18 10" xfId="12849"/>
    <cellStyle name="Normal 10 18 11" xfId="12850"/>
    <cellStyle name="Normal 10 18 12" xfId="12851"/>
    <cellStyle name="Normal 10 18 13" xfId="12852"/>
    <cellStyle name="Normal 10 18 14" xfId="12853"/>
    <cellStyle name="Normal 10 18 15" xfId="12854"/>
    <cellStyle name="Normal 10 18 2" xfId="12855"/>
    <cellStyle name="Normal 10 18 2 2" xfId="12856"/>
    <cellStyle name="Normal 10 18 2 2 2" xfId="12857"/>
    <cellStyle name="Normal 10 18 2 3" xfId="12858"/>
    <cellStyle name="Normal 10 18 2 3 2" xfId="12859"/>
    <cellStyle name="Normal 10 18 2 4" xfId="12860"/>
    <cellStyle name="Normal 10 18 2 4 2" xfId="12861"/>
    <cellStyle name="Normal 10 18 2 5" xfId="12862"/>
    <cellStyle name="Normal 10 18 2 5 2" xfId="12863"/>
    <cellStyle name="Normal 10 18 2 6" xfId="12864"/>
    <cellStyle name="Normal 10 18 2 7" xfId="12865"/>
    <cellStyle name="Normal 10 18 2 8" xfId="12866"/>
    <cellStyle name="Normal 10 18 2 9" xfId="12867"/>
    <cellStyle name="Normal 10 18 3" xfId="12868"/>
    <cellStyle name="Normal 10 18 3 2" xfId="12869"/>
    <cellStyle name="Normal 10 18 3 2 2" xfId="12870"/>
    <cellStyle name="Normal 10 18 3 3" xfId="12871"/>
    <cellStyle name="Normal 10 18 3 4" xfId="12872"/>
    <cellStyle name="Normal 10 18 3 5" xfId="12873"/>
    <cellStyle name="Normal 10 18 4" xfId="12874"/>
    <cellStyle name="Normal 10 18 4 2" xfId="12875"/>
    <cellStyle name="Normal 10 18 5" xfId="12876"/>
    <cellStyle name="Normal 10 18 5 2" xfId="12877"/>
    <cellStyle name="Normal 10 18 6" xfId="12878"/>
    <cellStyle name="Normal 10 18 6 2" xfId="12879"/>
    <cellStyle name="Normal 10 18 7" xfId="12880"/>
    <cellStyle name="Normal 10 18 7 2" xfId="12881"/>
    <cellStyle name="Normal 10 18 8" xfId="12882"/>
    <cellStyle name="Normal 10 18 9" xfId="12883"/>
    <cellStyle name="Normal 10 19" xfId="12884"/>
    <cellStyle name="Normal 10 19 10" xfId="12885"/>
    <cellStyle name="Normal 10 19 11" xfId="12886"/>
    <cellStyle name="Normal 10 19 12" xfId="12887"/>
    <cellStyle name="Normal 10 19 13" xfId="12888"/>
    <cellStyle name="Normal 10 19 14" xfId="12889"/>
    <cellStyle name="Normal 10 19 2" xfId="12890"/>
    <cellStyle name="Normal 10 19 2 2" xfId="12891"/>
    <cellStyle name="Normal 10 19 2 2 2" xfId="12892"/>
    <cellStyle name="Normal 10 19 2 3" xfId="12893"/>
    <cellStyle name="Normal 10 19 2 3 2" xfId="12894"/>
    <cellStyle name="Normal 10 19 2 4" xfId="12895"/>
    <cellStyle name="Normal 10 19 2 4 2" xfId="12896"/>
    <cellStyle name="Normal 10 19 2 5" xfId="12897"/>
    <cellStyle name="Normal 10 19 2 5 2" xfId="12898"/>
    <cellStyle name="Normal 10 19 2 6" xfId="12899"/>
    <cellStyle name="Normal 10 19 2 7" xfId="12900"/>
    <cellStyle name="Normal 10 19 2 8" xfId="12901"/>
    <cellStyle name="Normal 10 19 2 9" xfId="12902"/>
    <cellStyle name="Normal 10 19 3" xfId="12903"/>
    <cellStyle name="Normal 10 19 3 2" xfId="12904"/>
    <cellStyle name="Normal 10 19 3 2 2" xfId="12905"/>
    <cellStyle name="Normal 10 19 3 3" xfId="12906"/>
    <cellStyle name="Normal 10 19 3 4" xfId="12907"/>
    <cellStyle name="Normal 10 19 3 5" xfId="12908"/>
    <cellStyle name="Normal 10 19 4" xfId="12909"/>
    <cellStyle name="Normal 10 19 4 2" xfId="12910"/>
    <cellStyle name="Normal 10 19 5" xfId="12911"/>
    <cellStyle name="Normal 10 19 5 2" xfId="12912"/>
    <cellStyle name="Normal 10 19 6" xfId="12913"/>
    <cellStyle name="Normal 10 19 6 2" xfId="12914"/>
    <cellStyle name="Normal 10 19 7" xfId="12915"/>
    <cellStyle name="Normal 10 19 7 2" xfId="12916"/>
    <cellStyle name="Normal 10 19 8" xfId="12917"/>
    <cellStyle name="Normal 10 19 9" xfId="12918"/>
    <cellStyle name="Normal 10 2" xfId="989"/>
    <cellStyle name="Normal 10 2 10" xfId="12920"/>
    <cellStyle name="Normal 10 2 10 10" xfId="12921"/>
    <cellStyle name="Normal 10 2 10 11" xfId="12922"/>
    <cellStyle name="Normal 10 2 10 12" xfId="12923"/>
    <cellStyle name="Normal 10 2 10 13" xfId="12924"/>
    <cellStyle name="Normal 10 2 10 14" xfId="12925"/>
    <cellStyle name="Normal 10 2 10 15" xfId="12926"/>
    <cellStyle name="Normal 10 2 10 2" xfId="12927"/>
    <cellStyle name="Normal 10 2 10 2 2" xfId="12928"/>
    <cellStyle name="Normal 10 2 10 2 2 2" xfId="12929"/>
    <cellStyle name="Normal 10 2 10 2 3" xfId="12930"/>
    <cellStyle name="Normal 10 2 10 2 3 2" xfId="12931"/>
    <cellStyle name="Normal 10 2 10 2 4" xfId="12932"/>
    <cellStyle name="Normal 10 2 10 2 4 2" xfId="12933"/>
    <cellStyle name="Normal 10 2 10 2 5" xfId="12934"/>
    <cellStyle name="Normal 10 2 10 2 5 2" xfId="12935"/>
    <cellStyle name="Normal 10 2 10 2 6" xfId="12936"/>
    <cellStyle name="Normal 10 2 10 2 7" xfId="12937"/>
    <cellStyle name="Normal 10 2 10 2 8" xfId="12938"/>
    <cellStyle name="Normal 10 2 10 2 9" xfId="12939"/>
    <cellStyle name="Normal 10 2 10 3" xfId="12940"/>
    <cellStyle name="Normal 10 2 10 3 2" xfId="12941"/>
    <cellStyle name="Normal 10 2 10 3 2 2" xfId="12942"/>
    <cellStyle name="Normal 10 2 10 3 3" xfId="12943"/>
    <cellStyle name="Normal 10 2 10 3 4" xfId="12944"/>
    <cellStyle name="Normal 10 2 10 3 5" xfId="12945"/>
    <cellStyle name="Normal 10 2 10 4" xfId="12946"/>
    <cellStyle name="Normal 10 2 10 4 2" xfId="12947"/>
    <cellStyle name="Normal 10 2 10 5" xfId="12948"/>
    <cellStyle name="Normal 10 2 10 5 2" xfId="12949"/>
    <cellStyle name="Normal 10 2 10 6" xfId="12950"/>
    <cellStyle name="Normal 10 2 10 6 2" xfId="12951"/>
    <cellStyle name="Normal 10 2 10 7" xfId="12952"/>
    <cellStyle name="Normal 10 2 10 7 2" xfId="12953"/>
    <cellStyle name="Normal 10 2 10 8" xfId="12954"/>
    <cellStyle name="Normal 10 2 10 9" xfId="12955"/>
    <cellStyle name="Normal 10 2 11" xfId="12956"/>
    <cellStyle name="Normal 10 2 11 2" xfId="12957"/>
    <cellStyle name="Normal 10 2 11 2 2" xfId="12958"/>
    <cellStyle name="Normal 10 2 11 3" xfId="12959"/>
    <cellStyle name="Normal 10 2 11 3 2" xfId="12960"/>
    <cellStyle name="Normal 10 2 11 4" xfId="12961"/>
    <cellStyle name="Normal 10 2 11 4 2" xfId="12962"/>
    <cellStyle name="Normal 10 2 11 5" xfId="12963"/>
    <cellStyle name="Normal 10 2 11 5 2" xfId="12964"/>
    <cellStyle name="Normal 10 2 11 6" xfId="12965"/>
    <cellStyle name="Normal 10 2 11 7" xfId="12966"/>
    <cellStyle name="Normal 10 2 11 8" xfId="12967"/>
    <cellStyle name="Normal 10 2 11 9" xfId="12968"/>
    <cellStyle name="Normal 10 2 12" xfId="12969"/>
    <cellStyle name="Normal 10 2 12 2" xfId="12970"/>
    <cellStyle name="Normal 10 2 12 2 2" xfId="12971"/>
    <cellStyle name="Normal 10 2 12 3" xfId="12972"/>
    <cellStyle name="Normal 10 2 12 4" xfId="12973"/>
    <cellStyle name="Normal 10 2 12 5" xfId="12974"/>
    <cellStyle name="Normal 10 2 13" xfId="12975"/>
    <cellStyle name="Normal 10 2 13 2" xfId="12976"/>
    <cellStyle name="Normal 10 2 14" xfId="12977"/>
    <cellStyle name="Normal 10 2 14 2" xfId="12978"/>
    <cellStyle name="Normal 10 2 15" xfId="12979"/>
    <cellStyle name="Normal 10 2 15 2" xfId="12980"/>
    <cellStyle name="Normal 10 2 16" xfId="12981"/>
    <cellStyle name="Normal 10 2 16 2" xfId="12982"/>
    <cellStyle name="Normal 10 2 17" xfId="12983"/>
    <cellStyle name="Normal 10 2 18" xfId="12984"/>
    <cellStyle name="Normal 10 2 19" xfId="12985"/>
    <cellStyle name="Normal 10 2 2" xfId="12919"/>
    <cellStyle name="Normal 10 2 2 10" xfId="12986"/>
    <cellStyle name="Normal 10 2 2 10 2" xfId="12987"/>
    <cellStyle name="Normal 10 2 2 11" xfId="12988"/>
    <cellStyle name="Normal 10 2 2 11 2" xfId="12989"/>
    <cellStyle name="Normal 10 2 2 12" xfId="12990"/>
    <cellStyle name="Normal 10 2 2 13" xfId="12991"/>
    <cellStyle name="Normal 10 2 2 14" xfId="12992"/>
    <cellStyle name="Normal 10 2 2 15" xfId="12993"/>
    <cellStyle name="Normal 10 2 2 16" xfId="12994"/>
    <cellStyle name="Normal 10 2 2 17" xfId="12995"/>
    <cellStyle name="Normal 10 2 2 18" xfId="12996"/>
    <cellStyle name="Normal 10 2 2 19" xfId="12997"/>
    <cellStyle name="Normal 10 2 2 2" xfId="12998"/>
    <cellStyle name="Normal 10 2 2 2 10" xfId="12999"/>
    <cellStyle name="Normal 10 2 2 2 11" xfId="13000"/>
    <cellStyle name="Normal 10 2 2 2 12" xfId="13001"/>
    <cellStyle name="Normal 10 2 2 2 13" xfId="13002"/>
    <cellStyle name="Normal 10 2 2 2 14" xfId="13003"/>
    <cellStyle name="Normal 10 2 2 2 15" xfId="13004"/>
    <cellStyle name="Normal 10 2 2 2 16" xfId="13005"/>
    <cellStyle name="Normal 10 2 2 2 2" xfId="13006"/>
    <cellStyle name="Normal 10 2 2 2 2 2" xfId="13007"/>
    <cellStyle name="Normal 10 2 2 2 2 2 2" xfId="13008"/>
    <cellStyle name="Normal 10 2 2 2 2 3" xfId="13009"/>
    <cellStyle name="Normal 10 2 2 2 2 3 2" xfId="13010"/>
    <cellStyle name="Normal 10 2 2 2 2 4" xfId="13011"/>
    <cellStyle name="Normal 10 2 2 2 2 4 2" xfId="13012"/>
    <cellStyle name="Normal 10 2 2 2 2 5" xfId="13013"/>
    <cellStyle name="Normal 10 2 2 2 2 5 2" xfId="13014"/>
    <cellStyle name="Normal 10 2 2 2 2 6" xfId="13015"/>
    <cellStyle name="Normal 10 2 2 2 2 7" xfId="13016"/>
    <cellStyle name="Normal 10 2 2 2 2 8" xfId="13017"/>
    <cellStyle name="Normal 10 2 2 2 2 9" xfId="13018"/>
    <cellStyle name="Normal 10 2 2 2 3" xfId="13019"/>
    <cellStyle name="Normal 10 2 2 2 3 2" xfId="13020"/>
    <cellStyle name="Normal 10 2 2 2 3 2 2" xfId="13021"/>
    <cellStyle name="Normal 10 2 2 2 3 3" xfId="13022"/>
    <cellStyle name="Normal 10 2 2 2 3 4" xfId="13023"/>
    <cellStyle name="Normal 10 2 2 2 3 5" xfId="13024"/>
    <cellStyle name="Normal 10 2 2 2 4" xfId="13025"/>
    <cellStyle name="Normal 10 2 2 2 4 2" xfId="13026"/>
    <cellStyle name="Normal 10 2 2 2 5" xfId="13027"/>
    <cellStyle name="Normal 10 2 2 2 5 2" xfId="13028"/>
    <cellStyle name="Normal 10 2 2 2 6" xfId="13029"/>
    <cellStyle name="Normal 10 2 2 2 6 2" xfId="13030"/>
    <cellStyle name="Normal 10 2 2 2 7" xfId="13031"/>
    <cellStyle name="Normal 10 2 2 2 7 2" xfId="13032"/>
    <cellStyle name="Normal 10 2 2 2 8" xfId="13033"/>
    <cellStyle name="Normal 10 2 2 2 9" xfId="13034"/>
    <cellStyle name="Normal 10 2 2 20" xfId="13035"/>
    <cellStyle name="Normal 10 2 2 3" xfId="13036"/>
    <cellStyle name="Normal 10 2 2 3 10" xfId="13037"/>
    <cellStyle name="Normal 10 2 2 3 11" xfId="13038"/>
    <cellStyle name="Normal 10 2 2 3 12" xfId="13039"/>
    <cellStyle name="Normal 10 2 2 3 13" xfId="13040"/>
    <cellStyle name="Normal 10 2 2 3 14" xfId="13041"/>
    <cellStyle name="Normal 10 2 2 3 15" xfId="13042"/>
    <cellStyle name="Normal 10 2 2 3 16" xfId="13043"/>
    <cellStyle name="Normal 10 2 2 3 2" xfId="13044"/>
    <cellStyle name="Normal 10 2 2 3 2 2" xfId="13045"/>
    <cellStyle name="Normal 10 2 2 3 2 2 2" xfId="13046"/>
    <cellStyle name="Normal 10 2 2 3 2 3" xfId="13047"/>
    <cellStyle name="Normal 10 2 2 3 2 3 2" xfId="13048"/>
    <cellStyle name="Normal 10 2 2 3 2 4" xfId="13049"/>
    <cellStyle name="Normal 10 2 2 3 2 4 2" xfId="13050"/>
    <cellStyle name="Normal 10 2 2 3 2 5" xfId="13051"/>
    <cellStyle name="Normal 10 2 2 3 2 5 2" xfId="13052"/>
    <cellStyle name="Normal 10 2 2 3 2 6" xfId="13053"/>
    <cellStyle name="Normal 10 2 2 3 2 7" xfId="13054"/>
    <cellStyle name="Normal 10 2 2 3 2 8" xfId="13055"/>
    <cellStyle name="Normal 10 2 2 3 2 9" xfId="13056"/>
    <cellStyle name="Normal 10 2 2 3 3" xfId="13057"/>
    <cellStyle name="Normal 10 2 2 3 3 2" xfId="13058"/>
    <cellStyle name="Normal 10 2 2 3 3 2 2" xfId="13059"/>
    <cellStyle name="Normal 10 2 2 3 3 3" xfId="13060"/>
    <cellStyle name="Normal 10 2 2 3 3 4" xfId="13061"/>
    <cellStyle name="Normal 10 2 2 3 3 5" xfId="13062"/>
    <cellStyle name="Normal 10 2 2 3 4" xfId="13063"/>
    <cellStyle name="Normal 10 2 2 3 4 2" xfId="13064"/>
    <cellStyle name="Normal 10 2 2 3 5" xfId="13065"/>
    <cellStyle name="Normal 10 2 2 3 5 2" xfId="13066"/>
    <cellStyle name="Normal 10 2 2 3 6" xfId="13067"/>
    <cellStyle name="Normal 10 2 2 3 6 2" xfId="13068"/>
    <cellStyle name="Normal 10 2 2 3 7" xfId="13069"/>
    <cellStyle name="Normal 10 2 2 3 7 2" xfId="13070"/>
    <cellStyle name="Normal 10 2 2 3 8" xfId="13071"/>
    <cellStyle name="Normal 10 2 2 3 9" xfId="13072"/>
    <cellStyle name="Normal 10 2 2 4" xfId="13073"/>
    <cellStyle name="Normal 10 2 2 4 10" xfId="13074"/>
    <cellStyle name="Normal 10 2 2 4 11" xfId="13075"/>
    <cellStyle name="Normal 10 2 2 4 12" xfId="13076"/>
    <cellStyle name="Normal 10 2 2 4 13" xfId="13077"/>
    <cellStyle name="Normal 10 2 2 4 14" xfId="13078"/>
    <cellStyle name="Normal 10 2 2 4 15" xfId="13079"/>
    <cellStyle name="Normal 10 2 2 4 2" xfId="13080"/>
    <cellStyle name="Normal 10 2 2 4 2 2" xfId="13081"/>
    <cellStyle name="Normal 10 2 2 4 2 2 2" xfId="13082"/>
    <cellStyle name="Normal 10 2 2 4 2 3" xfId="13083"/>
    <cellStyle name="Normal 10 2 2 4 2 3 2" xfId="13084"/>
    <cellStyle name="Normal 10 2 2 4 2 4" xfId="13085"/>
    <cellStyle name="Normal 10 2 2 4 2 4 2" xfId="13086"/>
    <cellStyle name="Normal 10 2 2 4 2 5" xfId="13087"/>
    <cellStyle name="Normal 10 2 2 4 2 5 2" xfId="13088"/>
    <cellStyle name="Normal 10 2 2 4 2 6" xfId="13089"/>
    <cellStyle name="Normal 10 2 2 4 2 7" xfId="13090"/>
    <cellStyle name="Normal 10 2 2 4 2 8" xfId="13091"/>
    <cellStyle name="Normal 10 2 2 4 2 9" xfId="13092"/>
    <cellStyle name="Normal 10 2 2 4 3" xfId="13093"/>
    <cellStyle name="Normal 10 2 2 4 3 2" xfId="13094"/>
    <cellStyle name="Normal 10 2 2 4 3 2 2" xfId="13095"/>
    <cellStyle name="Normal 10 2 2 4 3 3" xfId="13096"/>
    <cellStyle name="Normal 10 2 2 4 3 4" xfId="13097"/>
    <cellStyle name="Normal 10 2 2 4 3 5" xfId="13098"/>
    <cellStyle name="Normal 10 2 2 4 4" xfId="13099"/>
    <cellStyle name="Normal 10 2 2 4 4 2" xfId="13100"/>
    <cellStyle name="Normal 10 2 2 4 5" xfId="13101"/>
    <cellStyle name="Normal 10 2 2 4 5 2" xfId="13102"/>
    <cellStyle name="Normal 10 2 2 4 6" xfId="13103"/>
    <cellStyle name="Normal 10 2 2 4 6 2" xfId="13104"/>
    <cellStyle name="Normal 10 2 2 4 7" xfId="13105"/>
    <cellStyle name="Normal 10 2 2 4 7 2" xfId="13106"/>
    <cellStyle name="Normal 10 2 2 4 8" xfId="13107"/>
    <cellStyle name="Normal 10 2 2 4 9" xfId="13108"/>
    <cellStyle name="Normal 10 2 2 5" xfId="13109"/>
    <cellStyle name="Normal 10 2 2 5 10" xfId="13110"/>
    <cellStyle name="Normal 10 2 2 5 11" xfId="13111"/>
    <cellStyle name="Normal 10 2 2 5 12" xfId="13112"/>
    <cellStyle name="Normal 10 2 2 5 13" xfId="13113"/>
    <cellStyle name="Normal 10 2 2 5 14" xfId="13114"/>
    <cellStyle name="Normal 10 2 2 5 2" xfId="13115"/>
    <cellStyle name="Normal 10 2 2 5 2 2" xfId="13116"/>
    <cellStyle name="Normal 10 2 2 5 2 2 2" xfId="13117"/>
    <cellStyle name="Normal 10 2 2 5 2 3" xfId="13118"/>
    <cellStyle name="Normal 10 2 2 5 2 3 2" xfId="13119"/>
    <cellStyle name="Normal 10 2 2 5 2 4" xfId="13120"/>
    <cellStyle name="Normal 10 2 2 5 2 4 2" xfId="13121"/>
    <cellStyle name="Normal 10 2 2 5 2 5" xfId="13122"/>
    <cellStyle name="Normal 10 2 2 5 2 5 2" xfId="13123"/>
    <cellStyle name="Normal 10 2 2 5 2 6" xfId="13124"/>
    <cellStyle name="Normal 10 2 2 5 2 7" xfId="13125"/>
    <cellStyle name="Normal 10 2 2 5 2 8" xfId="13126"/>
    <cellStyle name="Normal 10 2 2 5 2 9" xfId="13127"/>
    <cellStyle name="Normal 10 2 2 5 3" xfId="13128"/>
    <cellStyle name="Normal 10 2 2 5 3 2" xfId="13129"/>
    <cellStyle name="Normal 10 2 2 5 3 2 2" xfId="13130"/>
    <cellStyle name="Normal 10 2 2 5 3 3" xfId="13131"/>
    <cellStyle name="Normal 10 2 2 5 3 4" xfId="13132"/>
    <cellStyle name="Normal 10 2 2 5 3 5" xfId="13133"/>
    <cellStyle name="Normal 10 2 2 5 4" xfId="13134"/>
    <cellStyle name="Normal 10 2 2 5 4 2" xfId="13135"/>
    <cellStyle name="Normal 10 2 2 5 5" xfId="13136"/>
    <cellStyle name="Normal 10 2 2 5 5 2" xfId="13137"/>
    <cellStyle name="Normal 10 2 2 5 6" xfId="13138"/>
    <cellStyle name="Normal 10 2 2 5 6 2" xfId="13139"/>
    <cellStyle name="Normal 10 2 2 5 7" xfId="13140"/>
    <cellStyle name="Normal 10 2 2 5 7 2" xfId="13141"/>
    <cellStyle name="Normal 10 2 2 5 8" xfId="13142"/>
    <cellStyle name="Normal 10 2 2 5 9" xfId="13143"/>
    <cellStyle name="Normal 10 2 2 6" xfId="13144"/>
    <cellStyle name="Normal 10 2 2 6 2" xfId="13145"/>
    <cellStyle name="Normal 10 2 2 6 2 2" xfId="13146"/>
    <cellStyle name="Normal 10 2 2 6 3" xfId="13147"/>
    <cellStyle name="Normal 10 2 2 6 3 2" xfId="13148"/>
    <cellStyle name="Normal 10 2 2 6 4" xfId="13149"/>
    <cellStyle name="Normal 10 2 2 6 4 2" xfId="13150"/>
    <cellStyle name="Normal 10 2 2 6 5" xfId="13151"/>
    <cellStyle name="Normal 10 2 2 6 5 2" xfId="13152"/>
    <cellStyle name="Normal 10 2 2 6 6" xfId="13153"/>
    <cellStyle name="Normal 10 2 2 6 7" xfId="13154"/>
    <cellStyle name="Normal 10 2 2 6 8" xfId="13155"/>
    <cellStyle name="Normal 10 2 2 6 9" xfId="13156"/>
    <cellStyle name="Normal 10 2 2 7" xfId="13157"/>
    <cellStyle name="Normal 10 2 2 7 2" xfId="13158"/>
    <cellStyle name="Normal 10 2 2 7 2 2" xfId="13159"/>
    <cellStyle name="Normal 10 2 2 7 3" xfId="13160"/>
    <cellStyle name="Normal 10 2 2 7 4" xfId="13161"/>
    <cellStyle name="Normal 10 2 2 7 5" xfId="13162"/>
    <cellStyle name="Normal 10 2 2 8" xfId="13163"/>
    <cellStyle name="Normal 10 2 2 8 2" xfId="13164"/>
    <cellStyle name="Normal 10 2 2 9" xfId="13165"/>
    <cellStyle name="Normal 10 2 2 9 2" xfId="13166"/>
    <cellStyle name="Normal 10 2 20" xfId="13167"/>
    <cellStyle name="Normal 10 2 21" xfId="13168"/>
    <cellStyle name="Normal 10 2 22" xfId="13169"/>
    <cellStyle name="Normal 10 2 23" xfId="13170"/>
    <cellStyle name="Normal 10 2 24" xfId="13171"/>
    <cellStyle name="Normal 10 2 25" xfId="13172"/>
    <cellStyle name="Normal 10 2 26" xfId="13173"/>
    <cellStyle name="Normal 10 2 3" xfId="13174"/>
    <cellStyle name="Normal 10 2 3 10" xfId="13175"/>
    <cellStyle name="Normal 10 2 3 11" xfId="13176"/>
    <cellStyle name="Normal 10 2 3 12" xfId="13177"/>
    <cellStyle name="Normal 10 2 3 13" xfId="13178"/>
    <cellStyle name="Normal 10 2 3 14" xfId="13179"/>
    <cellStyle name="Normal 10 2 3 15" xfId="13180"/>
    <cellStyle name="Normal 10 2 3 16" xfId="13181"/>
    <cellStyle name="Normal 10 2 3 17" xfId="13182"/>
    <cellStyle name="Normal 10 2 3 18" xfId="13183"/>
    <cellStyle name="Normal 10 2 3 2" xfId="13184"/>
    <cellStyle name="Normal 10 2 3 2 10" xfId="13185"/>
    <cellStyle name="Normal 10 2 3 2 11" xfId="13186"/>
    <cellStyle name="Normal 10 2 3 2 12" xfId="13187"/>
    <cellStyle name="Normal 10 2 3 2 13" xfId="13188"/>
    <cellStyle name="Normal 10 2 3 2 2" xfId="13189"/>
    <cellStyle name="Normal 10 2 3 2 2 2" xfId="13190"/>
    <cellStyle name="Normal 10 2 3 2 2 2 2" xfId="13191"/>
    <cellStyle name="Normal 10 2 3 2 2 3" xfId="13192"/>
    <cellStyle name="Normal 10 2 3 2 2 4" xfId="13193"/>
    <cellStyle name="Normal 10 2 3 2 2 5" xfId="13194"/>
    <cellStyle name="Normal 10 2 3 2 3" xfId="13195"/>
    <cellStyle name="Normal 10 2 3 2 3 2" xfId="13196"/>
    <cellStyle name="Normal 10 2 3 2 4" xfId="13197"/>
    <cellStyle name="Normal 10 2 3 2 4 2" xfId="13198"/>
    <cellStyle name="Normal 10 2 3 2 5" xfId="13199"/>
    <cellStyle name="Normal 10 2 3 2 5 2" xfId="13200"/>
    <cellStyle name="Normal 10 2 3 2 6" xfId="13201"/>
    <cellStyle name="Normal 10 2 3 2 6 2" xfId="13202"/>
    <cellStyle name="Normal 10 2 3 2 7" xfId="13203"/>
    <cellStyle name="Normal 10 2 3 2 8" xfId="13204"/>
    <cellStyle name="Normal 10 2 3 2 9" xfId="13205"/>
    <cellStyle name="Normal 10 2 3 3" xfId="13206"/>
    <cellStyle name="Normal 10 2 3 3 2" xfId="13207"/>
    <cellStyle name="Normal 10 2 3 3 2 2" xfId="13208"/>
    <cellStyle name="Normal 10 2 3 3 3" xfId="13209"/>
    <cellStyle name="Normal 10 2 3 3 4" xfId="13210"/>
    <cellStyle name="Normal 10 2 3 3 5" xfId="13211"/>
    <cellStyle name="Normal 10 2 3 4" xfId="13212"/>
    <cellStyle name="Normal 10 2 3 4 2" xfId="13213"/>
    <cellStyle name="Normal 10 2 3 5" xfId="13214"/>
    <cellStyle name="Normal 10 2 3 5 2" xfId="13215"/>
    <cellStyle name="Normal 10 2 3 6" xfId="13216"/>
    <cellStyle name="Normal 10 2 3 6 2" xfId="13217"/>
    <cellStyle name="Normal 10 2 3 7" xfId="13218"/>
    <cellStyle name="Normal 10 2 3 7 2" xfId="13219"/>
    <cellStyle name="Normal 10 2 3 8" xfId="13220"/>
    <cellStyle name="Normal 10 2 3 9" xfId="13221"/>
    <cellStyle name="Normal 10 2 4" xfId="13222"/>
    <cellStyle name="Normal 10 2 4 10" xfId="13223"/>
    <cellStyle name="Normal 10 2 4 11" xfId="13224"/>
    <cellStyle name="Normal 10 2 4 12" xfId="13225"/>
    <cellStyle name="Normal 10 2 4 13" xfId="13226"/>
    <cellStyle name="Normal 10 2 4 14" xfId="13227"/>
    <cellStyle name="Normal 10 2 4 15" xfId="13228"/>
    <cellStyle name="Normal 10 2 4 16" xfId="13229"/>
    <cellStyle name="Normal 10 2 4 17" xfId="13230"/>
    <cellStyle name="Normal 10 2 4 18" xfId="13231"/>
    <cellStyle name="Normal 10 2 4 2" xfId="13232"/>
    <cellStyle name="Normal 10 2 4 2 10" xfId="13233"/>
    <cellStyle name="Normal 10 2 4 2 11" xfId="13234"/>
    <cellStyle name="Normal 10 2 4 2 12" xfId="13235"/>
    <cellStyle name="Normal 10 2 4 2 13" xfId="13236"/>
    <cellStyle name="Normal 10 2 4 2 2" xfId="13237"/>
    <cellStyle name="Normal 10 2 4 2 2 2" xfId="13238"/>
    <cellStyle name="Normal 10 2 4 2 2 2 2" xfId="13239"/>
    <cellStyle name="Normal 10 2 4 2 2 3" xfId="13240"/>
    <cellStyle name="Normal 10 2 4 2 2 4" xfId="13241"/>
    <cellStyle name="Normal 10 2 4 2 2 5" xfId="13242"/>
    <cellStyle name="Normal 10 2 4 2 3" xfId="13243"/>
    <cellStyle name="Normal 10 2 4 2 3 2" xfId="13244"/>
    <cellStyle name="Normal 10 2 4 2 4" xfId="13245"/>
    <cellStyle name="Normal 10 2 4 2 4 2" xfId="13246"/>
    <cellStyle name="Normal 10 2 4 2 5" xfId="13247"/>
    <cellStyle name="Normal 10 2 4 2 5 2" xfId="13248"/>
    <cellStyle name="Normal 10 2 4 2 6" xfId="13249"/>
    <cellStyle name="Normal 10 2 4 2 6 2" xfId="13250"/>
    <cellStyle name="Normal 10 2 4 2 7" xfId="13251"/>
    <cellStyle name="Normal 10 2 4 2 8" xfId="13252"/>
    <cellStyle name="Normal 10 2 4 2 9" xfId="13253"/>
    <cellStyle name="Normal 10 2 4 3" xfId="13254"/>
    <cellStyle name="Normal 10 2 4 3 2" xfId="13255"/>
    <cellStyle name="Normal 10 2 4 3 2 2" xfId="13256"/>
    <cellStyle name="Normal 10 2 4 3 3" xfId="13257"/>
    <cellStyle name="Normal 10 2 4 3 4" xfId="13258"/>
    <cellStyle name="Normal 10 2 4 3 5" xfId="13259"/>
    <cellStyle name="Normal 10 2 4 4" xfId="13260"/>
    <cellStyle name="Normal 10 2 4 4 2" xfId="13261"/>
    <cellStyle name="Normal 10 2 4 5" xfId="13262"/>
    <cellStyle name="Normal 10 2 4 5 2" xfId="13263"/>
    <cellStyle name="Normal 10 2 4 6" xfId="13264"/>
    <cellStyle name="Normal 10 2 4 6 2" xfId="13265"/>
    <cellStyle name="Normal 10 2 4 7" xfId="13266"/>
    <cellStyle name="Normal 10 2 4 7 2" xfId="13267"/>
    <cellStyle name="Normal 10 2 4 8" xfId="13268"/>
    <cellStyle name="Normal 10 2 4 9" xfId="13269"/>
    <cellStyle name="Normal 10 2 5" xfId="13270"/>
    <cellStyle name="Normal 10 2 5 10" xfId="13271"/>
    <cellStyle name="Normal 10 2 5 11" xfId="13272"/>
    <cellStyle name="Normal 10 2 5 12" xfId="13273"/>
    <cellStyle name="Normal 10 2 5 13" xfId="13274"/>
    <cellStyle name="Normal 10 2 5 14" xfId="13275"/>
    <cellStyle name="Normal 10 2 5 15" xfId="13276"/>
    <cellStyle name="Normal 10 2 5 16" xfId="13277"/>
    <cellStyle name="Normal 10 2 5 17" xfId="13278"/>
    <cellStyle name="Normal 10 2 5 18" xfId="13279"/>
    <cellStyle name="Normal 10 2 5 2" xfId="13280"/>
    <cellStyle name="Normal 10 2 5 2 10" xfId="13281"/>
    <cellStyle name="Normal 10 2 5 2 11" xfId="13282"/>
    <cellStyle name="Normal 10 2 5 2 12" xfId="13283"/>
    <cellStyle name="Normal 10 2 5 2 13" xfId="13284"/>
    <cellStyle name="Normal 10 2 5 2 2" xfId="13285"/>
    <cellStyle name="Normal 10 2 5 2 2 2" xfId="13286"/>
    <cellStyle name="Normal 10 2 5 2 2 2 2" xfId="13287"/>
    <cellStyle name="Normal 10 2 5 2 2 3" xfId="13288"/>
    <cellStyle name="Normal 10 2 5 2 2 4" xfId="13289"/>
    <cellStyle name="Normal 10 2 5 2 2 5" xfId="13290"/>
    <cellStyle name="Normal 10 2 5 2 3" xfId="13291"/>
    <cellStyle name="Normal 10 2 5 2 3 2" xfId="13292"/>
    <cellStyle name="Normal 10 2 5 2 4" xfId="13293"/>
    <cellStyle name="Normal 10 2 5 2 4 2" xfId="13294"/>
    <cellStyle name="Normal 10 2 5 2 5" xfId="13295"/>
    <cellStyle name="Normal 10 2 5 2 5 2" xfId="13296"/>
    <cellStyle name="Normal 10 2 5 2 6" xfId="13297"/>
    <cellStyle name="Normal 10 2 5 2 6 2" xfId="13298"/>
    <cellStyle name="Normal 10 2 5 2 7" xfId="13299"/>
    <cellStyle name="Normal 10 2 5 2 8" xfId="13300"/>
    <cellStyle name="Normal 10 2 5 2 9" xfId="13301"/>
    <cellStyle name="Normal 10 2 5 3" xfId="13302"/>
    <cellStyle name="Normal 10 2 5 3 2" xfId="13303"/>
    <cellStyle name="Normal 10 2 5 3 2 2" xfId="13304"/>
    <cellStyle name="Normal 10 2 5 3 3" xfId="13305"/>
    <cellStyle name="Normal 10 2 5 3 4" xfId="13306"/>
    <cellStyle name="Normal 10 2 5 3 5" xfId="13307"/>
    <cellStyle name="Normal 10 2 5 4" xfId="13308"/>
    <cellStyle name="Normal 10 2 5 4 2" xfId="13309"/>
    <cellStyle name="Normal 10 2 5 5" xfId="13310"/>
    <cellStyle name="Normal 10 2 5 5 2" xfId="13311"/>
    <cellStyle name="Normal 10 2 5 6" xfId="13312"/>
    <cellStyle name="Normal 10 2 5 6 2" xfId="13313"/>
    <cellStyle name="Normal 10 2 5 7" xfId="13314"/>
    <cellStyle name="Normal 10 2 5 7 2" xfId="13315"/>
    <cellStyle name="Normal 10 2 5 8" xfId="13316"/>
    <cellStyle name="Normal 10 2 5 9" xfId="13317"/>
    <cellStyle name="Normal 10 2 6" xfId="13318"/>
    <cellStyle name="Normal 10 2 6 10" xfId="13319"/>
    <cellStyle name="Normal 10 2 6 11" xfId="13320"/>
    <cellStyle name="Normal 10 2 6 12" xfId="13321"/>
    <cellStyle name="Normal 10 2 6 13" xfId="13322"/>
    <cellStyle name="Normal 10 2 6 14" xfId="13323"/>
    <cellStyle name="Normal 10 2 6 15" xfId="13324"/>
    <cellStyle name="Normal 10 2 6 16" xfId="13325"/>
    <cellStyle name="Normal 10 2 6 17" xfId="13326"/>
    <cellStyle name="Normal 10 2 6 18" xfId="13327"/>
    <cellStyle name="Normal 10 2 6 2" xfId="13328"/>
    <cellStyle name="Normal 10 2 6 2 10" xfId="13329"/>
    <cellStyle name="Normal 10 2 6 2 11" xfId="13330"/>
    <cellStyle name="Normal 10 2 6 2 12" xfId="13331"/>
    <cellStyle name="Normal 10 2 6 2 13" xfId="13332"/>
    <cellStyle name="Normal 10 2 6 2 2" xfId="13333"/>
    <cellStyle name="Normal 10 2 6 2 2 2" xfId="13334"/>
    <cellStyle name="Normal 10 2 6 2 2 2 2" xfId="13335"/>
    <cellStyle name="Normal 10 2 6 2 2 3" xfId="13336"/>
    <cellStyle name="Normal 10 2 6 2 2 4" xfId="13337"/>
    <cellStyle name="Normal 10 2 6 2 2 5" xfId="13338"/>
    <cellStyle name="Normal 10 2 6 2 3" xfId="13339"/>
    <cellStyle name="Normal 10 2 6 2 3 2" xfId="13340"/>
    <cellStyle name="Normal 10 2 6 2 4" xfId="13341"/>
    <cellStyle name="Normal 10 2 6 2 4 2" xfId="13342"/>
    <cellStyle name="Normal 10 2 6 2 5" xfId="13343"/>
    <cellStyle name="Normal 10 2 6 2 5 2" xfId="13344"/>
    <cellStyle name="Normal 10 2 6 2 6" xfId="13345"/>
    <cellStyle name="Normal 10 2 6 2 6 2" xfId="13346"/>
    <cellStyle name="Normal 10 2 6 2 7" xfId="13347"/>
    <cellStyle name="Normal 10 2 6 2 8" xfId="13348"/>
    <cellStyle name="Normal 10 2 6 2 9" xfId="13349"/>
    <cellStyle name="Normal 10 2 6 3" xfId="13350"/>
    <cellStyle name="Normal 10 2 6 3 2" xfId="13351"/>
    <cellStyle name="Normal 10 2 6 3 2 2" xfId="13352"/>
    <cellStyle name="Normal 10 2 6 3 3" xfId="13353"/>
    <cellStyle name="Normal 10 2 6 3 4" xfId="13354"/>
    <cellStyle name="Normal 10 2 6 3 5" xfId="13355"/>
    <cellStyle name="Normal 10 2 6 4" xfId="13356"/>
    <cellStyle name="Normal 10 2 6 4 2" xfId="13357"/>
    <cellStyle name="Normal 10 2 6 5" xfId="13358"/>
    <cellStyle name="Normal 10 2 6 5 2" xfId="13359"/>
    <cellStyle name="Normal 10 2 6 6" xfId="13360"/>
    <cellStyle name="Normal 10 2 6 6 2" xfId="13361"/>
    <cellStyle name="Normal 10 2 6 7" xfId="13362"/>
    <cellStyle name="Normal 10 2 6 7 2" xfId="13363"/>
    <cellStyle name="Normal 10 2 6 8" xfId="13364"/>
    <cellStyle name="Normal 10 2 6 9" xfId="13365"/>
    <cellStyle name="Normal 10 2 7" xfId="13366"/>
    <cellStyle name="Normal 10 2 7 10" xfId="13367"/>
    <cellStyle name="Normal 10 2 7 11" xfId="13368"/>
    <cellStyle name="Normal 10 2 7 12" xfId="13369"/>
    <cellStyle name="Normal 10 2 7 13" xfId="13370"/>
    <cellStyle name="Normal 10 2 7 14" xfId="13371"/>
    <cellStyle name="Normal 10 2 7 15" xfId="13372"/>
    <cellStyle name="Normal 10 2 7 16" xfId="13373"/>
    <cellStyle name="Normal 10 2 7 17" xfId="13374"/>
    <cellStyle name="Normal 10 2 7 18" xfId="13375"/>
    <cellStyle name="Normal 10 2 7 2" xfId="13376"/>
    <cellStyle name="Normal 10 2 7 2 10" xfId="13377"/>
    <cellStyle name="Normal 10 2 7 2 11" xfId="13378"/>
    <cellStyle name="Normal 10 2 7 2 12" xfId="13379"/>
    <cellStyle name="Normal 10 2 7 2 13" xfId="13380"/>
    <cellStyle name="Normal 10 2 7 2 2" xfId="13381"/>
    <cellStyle name="Normal 10 2 7 2 2 2" xfId="13382"/>
    <cellStyle name="Normal 10 2 7 2 2 2 2" xfId="13383"/>
    <cellStyle name="Normal 10 2 7 2 2 3" xfId="13384"/>
    <cellStyle name="Normal 10 2 7 2 2 4" xfId="13385"/>
    <cellStyle name="Normal 10 2 7 2 2 5" xfId="13386"/>
    <cellStyle name="Normal 10 2 7 2 3" xfId="13387"/>
    <cellStyle name="Normal 10 2 7 2 3 2" xfId="13388"/>
    <cellStyle name="Normal 10 2 7 2 4" xfId="13389"/>
    <cellStyle name="Normal 10 2 7 2 4 2" xfId="13390"/>
    <cellStyle name="Normal 10 2 7 2 5" xfId="13391"/>
    <cellStyle name="Normal 10 2 7 2 5 2" xfId="13392"/>
    <cellStyle name="Normal 10 2 7 2 6" xfId="13393"/>
    <cellStyle name="Normal 10 2 7 2 6 2" xfId="13394"/>
    <cellStyle name="Normal 10 2 7 2 7" xfId="13395"/>
    <cellStyle name="Normal 10 2 7 2 8" xfId="13396"/>
    <cellStyle name="Normal 10 2 7 2 9" xfId="13397"/>
    <cellStyle name="Normal 10 2 7 3" xfId="13398"/>
    <cellStyle name="Normal 10 2 7 3 2" xfId="13399"/>
    <cellStyle name="Normal 10 2 7 3 2 2" xfId="13400"/>
    <cellStyle name="Normal 10 2 7 3 3" xfId="13401"/>
    <cellStyle name="Normal 10 2 7 3 4" xfId="13402"/>
    <cellStyle name="Normal 10 2 7 3 5" xfId="13403"/>
    <cellStyle name="Normal 10 2 7 4" xfId="13404"/>
    <cellStyle name="Normal 10 2 7 4 2" xfId="13405"/>
    <cellStyle name="Normal 10 2 7 5" xfId="13406"/>
    <cellStyle name="Normal 10 2 7 5 2" xfId="13407"/>
    <cellStyle name="Normal 10 2 7 6" xfId="13408"/>
    <cellStyle name="Normal 10 2 7 6 2" xfId="13409"/>
    <cellStyle name="Normal 10 2 7 7" xfId="13410"/>
    <cellStyle name="Normal 10 2 7 7 2" xfId="13411"/>
    <cellStyle name="Normal 10 2 7 8" xfId="13412"/>
    <cellStyle name="Normal 10 2 7 9" xfId="13413"/>
    <cellStyle name="Normal 10 2 8" xfId="13414"/>
    <cellStyle name="Normal 10 2 8 10" xfId="13415"/>
    <cellStyle name="Normal 10 2 8 11" xfId="13416"/>
    <cellStyle name="Normal 10 2 8 12" xfId="13417"/>
    <cellStyle name="Normal 10 2 8 13" xfId="13418"/>
    <cellStyle name="Normal 10 2 8 14" xfId="13419"/>
    <cellStyle name="Normal 10 2 8 15" xfId="13420"/>
    <cellStyle name="Normal 10 2 8 16" xfId="13421"/>
    <cellStyle name="Normal 10 2 8 2" xfId="13422"/>
    <cellStyle name="Normal 10 2 8 2 2" xfId="13423"/>
    <cellStyle name="Normal 10 2 8 2 2 2" xfId="13424"/>
    <cellStyle name="Normal 10 2 8 2 3" xfId="13425"/>
    <cellStyle name="Normal 10 2 8 2 3 2" xfId="13426"/>
    <cellStyle name="Normal 10 2 8 2 4" xfId="13427"/>
    <cellStyle name="Normal 10 2 8 2 4 2" xfId="13428"/>
    <cellStyle name="Normal 10 2 8 2 5" xfId="13429"/>
    <cellStyle name="Normal 10 2 8 2 5 2" xfId="13430"/>
    <cellStyle name="Normal 10 2 8 2 6" xfId="13431"/>
    <cellStyle name="Normal 10 2 8 2 7" xfId="13432"/>
    <cellStyle name="Normal 10 2 8 2 8" xfId="13433"/>
    <cellStyle name="Normal 10 2 8 2 9" xfId="13434"/>
    <cellStyle name="Normal 10 2 8 3" xfId="13435"/>
    <cellStyle name="Normal 10 2 8 3 2" xfId="13436"/>
    <cellStyle name="Normal 10 2 8 3 2 2" xfId="13437"/>
    <cellStyle name="Normal 10 2 8 3 3" xfId="13438"/>
    <cellStyle name="Normal 10 2 8 3 4" xfId="13439"/>
    <cellStyle name="Normal 10 2 8 3 5" xfId="13440"/>
    <cellStyle name="Normal 10 2 8 4" xfId="13441"/>
    <cellStyle name="Normal 10 2 8 4 2" xfId="13442"/>
    <cellStyle name="Normal 10 2 8 5" xfId="13443"/>
    <cellStyle name="Normal 10 2 8 5 2" xfId="13444"/>
    <cellStyle name="Normal 10 2 8 6" xfId="13445"/>
    <cellStyle name="Normal 10 2 8 6 2" xfId="13446"/>
    <cellStyle name="Normal 10 2 8 7" xfId="13447"/>
    <cellStyle name="Normal 10 2 8 7 2" xfId="13448"/>
    <cellStyle name="Normal 10 2 8 8" xfId="13449"/>
    <cellStyle name="Normal 10 2 8 9" xfId="13450"/>
    <cellStyle name="Normal 10 2 9" xfId="13451"/>
    <cellStyle name="Normal 10 2 9 10" xfId="13452"/>
    <cellStyle name="Normal 10 2 9 11" xfId="13453"/>
    <cellStyle name="Normal 10 2 9 12" xfId="13454"/>
    <cellStyle name="Normal 10 2 9 13" xfId="13455"/>
    <cellStyle name="Normal 10 2 9 14" xfId="13456"/>
    <cellStyle name="Normal 10 2 9 15" xfId="13457"/>
    <cellStyle name="Normal 10 2 9 16" xfId="13458"/>
    <cellStyle name="Normal 10 2 9 2" xfId="13459"/>
    <cellStyle name="Normal 10 2 9 2 2" xfId="13460"/>
    <cellStyle name="Normal 10 2 9 2 2 2" xfId="13461"/>
    <cellStyle name="Normal 10 2 9 2 3" xfId="13462"/>
    <cellStyle name="Normal 10 2 9 2 3 2" xfId="13463"/>
    <cellStyle name="Normal 10 2 9 2 4" xfId="13464"/>
    <cellStyle name="Normal 10 2 9 2 4 2" xfId="13465"/>
    <cellStyle name="Normal 10 2 9 2 5" xfId="13466"/>
    <cellStyle name="Normal 10 2 9 2 5 2" xfId="13467"/>
    <cellStyle name="Normal 10 2 9 2 6" xfId="13468"/>
    <cellStyle name="Normal 10 2 9 2 7" xfId="13469"/>
    <cellStyle name="Normal 10 2 9 2 8" xfId="13470"/>
    <cellStyle name="Normal 10 2 9 2 9" xfId="13471"/>
    <cellStyle name="Normal 10 2 9 3" xfId="13472"/>
    <cellStyle name="Normal 10 2 9 3 2" xfId="13473"/>
    <cellStyle name="Normal 10 2 9 3 2 2" xfId="13474"/>
    <cellStyle name="Normal 10 2 9 3 3" xfId="13475"/>
    <cellStyle name="Normal 10 2 9 3 4" xfId="13476"/>
    <cellStyle name="Normal 10 2 9 3 5" xfId="13477"/>
    <cellStyle name="Normal 10 2 9 4" xfId="13478"/>
    <cellStyle name="Normal 10 2 9 4 2" xfId="13479"/>
    <cellStyle name="Normal 10 2 9 5" xfId="13480"/>
    <cellStyle name="Normal 10 2 9 5 2" xfId="13481"/>
    <cellStyle name="Normal 10 2 9 6" xfId="13482"/>
    <cellStyle name="Normal 10 2 9 6 2" xfId="13483"/>
    <cellStyle name="Normal 10 2 9 7" xfId="13484"/>
    <cellStyle name="Normal 10 2 9 7 2" xfId="13485"/>
    <cellStyle name="Normal 10 2 9 8" xfId="13486"/>
    <cellStyle name="Normal 10 2 9 9" xfId="13487"/>
    <cellStyle name="Normal 10 20" xfId="13488"/>
    <cellStyle name="Normal 10 20 2" xfId="13489"/>
    <cellStyle name="Normal 10 20 2 2" xfId="13490"/>
    <cellStyle name="Normal 10 20 3" xfId="13491"/>
    <cellStyle name="Normal 10 20 3 2" xfId="13492"/>
    <cellStyle name="Normal 10 20 4" xfId="13493"/>
    <cellStyle name="Normal 10 20 4 2" xfId="13494"/>
    <cellStyle name="Normal 10 20 5" xfId="13495"/>
    <cellStyle name="Normal 10 20 5 2" xfId="13496"/>
    <cellStyle name="Normal 10 20 6" xfId="13497"/>
    <cellStyle name="Normal 10 20 7" xfId="13498"/>
    <cellStyle name="Normal 10 20 8" xfId="13499"/>
    <cellStyle name="Normal 10 20 9" xfId="13500"/>
    <cellStyle name="Normal 10 21" xfId="13501"/>
    <cellStyle name="Normal 10 21 2" xfId="13502"/>
    <cellStyle name="Normal 10 21 2 2" xfId="13503"/>
    <cellStyle name="Normal 10 21 3" xfId="13504"/>
    <cellStyle name="Normal 10 21 4" xfId="13505"/>
    <cellStyle name="Normal 10 21 5" xfId="13506"/>
    <cellStyle name="Normal 10 22" xfId="13507"/>
    <cellStyle name="Normal 10 22 2" xfId="13508"/>
    <cellStyle name="Normal 10 23" xfId="13509"/>
    <cellStyle name="Normal 10 23 2" xfId="13510"/>
    <cellStyle name="Normal 10 24" xfId="13511"/>
    <cellStyle name="Normal 10 24 2" xfId="13512"/>
    <cellStyle name="Normal 10 25" xfId="13513"/>
    <cellStyle name="Normal 10 25 2" xfId="13514"/>
    <cellStyle name="Normal 10 26" xfId="13515"/>
    <cellStyle name="Normal 10 27" xfId="13516"/>
    <cellStyle name="Normal 10 28" xfId="13517"/>
    <cellStyle name="Normal 10 29" xfId="13518"/>
    <cellStyle name="Normal 10 3" xfId="1011"/>
    <cellStyle name="Normal 10 3 10" xfId="13520"/>
    <cellStyle name="Normal 10 3 10 10" xfId="13521"/>
    <cellStyle name="Normal 10 3 10 11" xfId="13522"/>
    <cellStyle name="Normal 10 3 10 12" xfId="13523"/>
    <cellStyle name="Normal 10 3 10 13" xfId="13524"/>
    <cellStyle name="Normal 10 3 10 14" xfId="13525"/>
    <cellStyle name="Normal 10 3 10 2" xfId="13526"/>
    <cellStyle name="Normal 10 3 10 2 2" xfId="13527"/>
    <cellStyle name="Normal 10 3 10 2 2 2" xfId="13528"/>
    <cellStyle name="Normal 10 3 10 2 3" xfId="13529"/>
    <cellStyle name="Normal 10 3 10 2 3 2" xfId="13530"/>
    <cellStyle name="Normal 10 3 10 2 4" xfId="13531"/>
    <cellStyle name="Normal 10 3 10 2 4 2" xfId="13532"/>
    <cellStyle name="Normal 10 3 10 2 5" xfId="13533"/>
    <cellStyle name="Normal 10 3 10 2 5 2" xfId="13534"/>
    <cellStyle name="Normal 10 3 10 2 6" xfId="13535"/>
    <cellStyle name="Normal 10 3 10 2 7" xfId="13536"/>
    <cellStyle name="Normal 10 3 10 2 8" xfId="13537"/>
    <cellStyle name="Normal 10 3 10 2 9" xfId="13538"/>
    <cellStyle name="Normal 10 3 10 3" xfId="13539"/>
    <cellStyle name="Normal 10 3 10 3 2" xfId="13540"/>
    <cellStyle name="Normal 10 3 10 3 2 2" xfId="13541"/>
    <cellStyle name="Normal 10 3 10 3 3" xfId="13542"/>
    <cellStyle name="Normal 10 3 10 3 4" xfId="13543"/>
    <cellStyle name="Normal 10 3 10 3 5" xfId="13544"/>
    <cellStyle name="Normal 10 3 10 4" xfId="13545"/>
    <cellStyle name="Normal 10 3 10 4 2" xfId="13546"/>
    <cellStyle name="Normal 10 3 10 5" xfId="13547"/>
    <cellStyle name="Normal 10 3 10 5 2" xfId="13548"/>
    <cellStyle name="Normal 10 3 10 6" xfId="13549"/>
    <cellStyle name="Normal 10 3 10 6 2" xfId="13550"/>
    <cellStyle name="Normal 10 3 10 7" xfId="13551"/>
    <cellStyle name="Normal 10 3 10 7 2" xfId="13552"/>
    <cellStyle name="Normal 10 3 10 8" xfId="13553"/>
    <cellStyle name="Normal 10 3 10 9" xfId="13554"/>
    <cellStyle name="Normal 10 3 11" xfId="13555"/>
    <cellStyle name="Normal 10 3 11 2" xfId="13556"/>
    <cellStyle name="Normal 10 3 11 2 2" xfId="13557"/>
    <cellStyle name="Normal 10 3 11 3" xfId="13558"/>
    <cellStyle name="Normal 10 3 11 3 2" xfId="13559"/>
    <cellStyle name="Normal 10 3 11 4" xfId="13560"/>
    <cellStyle name="Normal 10 3 11 4 2" xfId="13561"/>
    <cellStyle name="Normal 10 3 11 5" xfId="13562"/>
    <cellStyle name="Normal 10 3 11 5 2" xfId="13563"/>
    <cellStyle name="Normal 10 3 11 6" xfId="13564"/>
    <cellStyle name="Normal 10 3 11 7" xfId="13565"/>
    <cellStyle name="Normal 10 3 11 8" xfId="13566"/>
    <cellStyle name="Normal 10 3 11 9" xfId="13567"/>
    <cellStyle name="Normal 10 3 12" xfId="13568"/>
    <cellStyle name="Normal 10 3 12 2" xfId="13569"/>
    <cellStyle name="Normal 10 3 12 2 2" xfId="13570"/>
    <cellStyle name="Normal 10 3 12 3" xfId="13571"/>
    <cellStyle name="Normal 10 3 12 4" xfId="13572"/>
    <cellStyle name="Normal 10 3 12 5" xfId="13573"/>
    <cellStyle name="Normal 10 3 13" xfId="13574"/>
    <cellStyle name="Normal 10 3 13 2" xfId="13575"/>
    <cellStyle name="Normal 10 3 14" xfId="13576"/>
    <cellStyle name="Normal 10 3 14 2" xfId="13577"/>
    <cellStyle name="Normal 10 3 15" xfId="13578"/>
    <cellStyle name="Normal 10 3 15 2" xfId="13579"/>
    <cellStyle name="Normal 10 3 16" xfId="13580"/>
    <cellStyle name="Normal 10 3 16 2" xfId="13581"/>
    <cellStyle name="Normal 10 3 17" xfId="13582"/>
    <cellStyle name="Normal 10 3 18" xfId="13583"/>
    <cellStyle name="Normal 10 3 19" xfId="13584"/>
    <cellStyle name="Normal 10 3 2" xfId="13519"/>
    <cellStyle name="Normal 10 3 2 10" xfId="13585"/>
    <cellStyle name="Normal 10 3 2 10 2" xfId="13586"/>
    <cellStyle name="Normal 10 3 2 11" xfId="13587"/>
    <cellStyle name="Normal 10 3 2 11 2" xfId="13588"/>
    <cellStyle name="Normal 10 3 2 12" xfId="13589"/>
    <cellStyle name="Normal 10 3 2 13" xfId="13590"/>
    <cellStyle name="Normal 10 3 2 14" xfId="13591"/>
    <cellStyle name="Normal 10 3 2 15" xfId="13592"/>
    <cellStyle name="Normal 10 3 2 16" xfId="13593"/>
    <cellStyle name="Normal 10 3 2 17" xfId="13594"/>
    <cellStyle name="Normal 10 3 2 18" xfId="13595"/>
    <cellStyle name="Normal 10 3 2 19" xfId="13596"/>
    <cellStyle name="Normal 10 3 2 2" xfId="13597"/>
    <cellStyle name="Normal 10 3 2 2 10" xfId="13598"/>
    <cellStyle name="Normal 10 3 2 2 11" xfId="13599"/>
    <cellStyle name="Normal 10 3 2 2 12" xfId="13600"/>
    <cellStyle name="Normal 10 3 2 2 13" xfId="13601"/>
    <cellStyle name="Normal 10 3 2 2 14" xfId="13602"/>
    <cellStyle name="Normal 10 3 2 2 15" xfId="13603"/>
    <cellStyle name="Normal 10 3 2 2 16" xfId="13604"/>
    <cellStyle name="Normal 10 3 2 2 2" xfId="13605"/>
    <cellStyle name="Normal 10 3 2 2 2 2" xfId="13606"/>
    <cellStyle name="Normal 10 3 2 2 2 2 2" xfId="13607"/>
    <cellStyle name="Normal 10 3 2 2 2 3" xfId="13608"/>
    <cellStyle name="Normal 10 3 2 2 2 3 2" xfId="13609"/>
    <cellStyle name="Normal 10 3 2 2 2 4" xfId="13610"/>
    <cellStyle name="Normal 10 3 2 2 2 4 2" xfId="13611"/>
    <cellStyle name="Normal 10 3 2 2 2 5" xfId="13612"/>
    <cellStyle name="Normal 10 3 2 2 2 5 2" xfId="13613"/>
    <cellStyle name="Normal 10 3 2 2 2 6" xfId="13614"/>
    <cellStyle name="Normal 10 3 2 2 2 7" xfId="13615"/>
    <cellStyle name="Normal 10 3 2 2 2 8" xfId="13616"/>
    <cellStyle name="Normal 10 3 2 2 2 9" xfId="13617"/>
    <cellStyle name="Normal 10 3 2 2 3" xfId="13618"/>
    <cellStyle name="Normal 10 3 2 2 3 2" xfId="13619"/>
    <cellStyle name="Normal 10 3 2 2 3 2 2" xfId="13620"/>
    <cellStyle name="Normal 10 3 2 2 3 3" xfId="13621"/>
    <cellStyle name="Normal 10 3 2 2 3 4" xfId="13622"/>
    <cellStyle name="Normal 10 3 2 2 3 5" xfId="13623"/>
    <cellStyle name="Normal 10 3 2 2 4" xfId="13624"/>
    <cellStyle name="Normal 10 3 2 2 4 2" xfId="13625"/>
    <cellStyle name="Normal 10 3 2 2 5" xfId="13626"/>
    <cellStyle name="Normal 10 3 2 2 5 2" xfId="13627"/>
    <cellStyle name="Normal 10 3 2 2 6" xfId="13628"/>
    <cellStyle name="Normal 10 3 2 2 6 2" xfId="13629"/>
    <cellStyle name="Normal 10 3 2 2 7" xfId="13630"/>
    <cellStyle name="Normal 10 3 2 2 7 2" xfId="13631"/>
    <cellStyle name="Normal 10 3 2 2 8" xfId="13632"/>
    <cellStyle name="Normal 10 3 2 2 9" xfId="13633"/>
    <cellStyle name="Normal 10 3 2 20" xfId="13634"/>
    <cellStyle name="Normal 10 3 2 3" xfId="13635"/>
    <cellStyle name="Normal 10 3 2 3 10" xfId="13636"/>
    <cellStyle name="Normal 10 3 2 3 11" xfId="13637"/>
    <cellStyle name="Normal 10 3 2 3 12" xfId="13638"/>
    <cellStyle name="Normal 10 3 2 3 13" xfId="13639"/>
    <cellStyle name="Normal 10 3 2 3 14" xfId="13640"/>
    <cellStyle name="Normal 10 3 2 3 15" xfId="13641"/>
    <cellStyle name="Normal 10 3 2 3 16" xfId="13642"/>
    <cellStyle name="Normal 10 3 2 3 2" xfId="13643"/>
    <cellStyle name="Normal 10 3 2 3 2 2" xfId="13644"/>
    <cellStyle name="Normal 10 3 2 3 2 2 2" xfId="13645"/>
    <cellStyle name="Normal 10 3 2 3 2 3" xfId="13646"/>
    <cellStyle name="Normal 10 3 2 3 2 3 2" xfId="13647"/>
    <cellStyle name="Normal 10 3 2 3 2 4" xfId="13648"/>
    <cellStyle name="Normal 10 3 2 3 2 4 2" xfId="13649"/>
    <cellStyle name="Normal 10 3 2 3 2 5" xfId="13650"/>
    <cellStyle name="Normal 10 3 2 3 2 5 2" xfId="13651"/>
    <cellStyle name="Normal 10 3 2 3 2 6" xfId="13652"/>
    <cellStyle name="Normal 10 3 2 3 2 7" xfId="13653"/>
    <cellStyle name="Normal 10 3 2 3 2 8" xfId="13654"/>
    <cellStyle name="Normal 10 3 2 3 2 9" xfId="13655"/>
    <cellStyle name="Normal 10 3 2 3 3" xfId="13656"/>
    <cellStyle name="Normal 10 3 2 3 3 2" xfId="13657"/>
    <cellStyle name="Normal 10 3 2 3 3 2 2" xfId="13658"/>
    <cellStyle name="Normal 10 3 2 3 3 3" xfId="13659"/>
    <cellStyle name="Normal 10 3 2 3 3 4" xfId="13660"/>
    <cellStyle name="Normal 10 3 2 3 3 5" xfId="13661"/>
    <cellStyle name="Normal 10 3 2 3 4" xfId="13662"/>
    <cellStyle name="Normal 10 3 2 3 4 2" xfId="13663"/>
    <cellStyle name="Normal 10 3 2 3 5" xfId="13664"/>
    <cellStyle name="Normal 10 3 2 3 5 2" xfId="13665"/>
    <cellStyle name="Normal 10 3 2 3 6" xfId="13666"/>
    <cellStyle name="Normal 10 3 2 3 6 2" xfId="13667"/>
    <cellStyle name="Normal 10 3 2 3 7" xfId="13668"/>
    <cellStyle name="Normal 10 3 2 3 7 2" xfId="13669"/>
    <cellStyle name="Normal 10 3 2 3 8" xfId="13670"/>
    <cellStyle name="Normal 10 3 2 3 9" xfId="13671"/>
    <cellStyle name="Normal 10 3 2 4" xfId="13672"/>
    <cellStyle name="Normal 10 3 2 4 10" xfId="13673"/>
    <cellStyle name="Normal 10 3 2 4 11" xfId="13674"/>
    <cellStyle name="Normal 10 3 2 4 12" xfId="13675"/>
    <cellStyle name="Normal 10 3 2 4 13" xfId="13676"/>
    <cellStyle name="Normal 10 3 2 4 14" xfId="13677"/>
    <cellStyle name="Normal 10 3 2 4 15" xfId="13678"/>
    <cellStyle name="Normal 10 3 2 4 2" xfId="13679"/>
    <cellStyle name="Normal 10 3 2 4 2 2" xfId="13680"/>
    <cellStyle name="Normal 10 3 2 4 2 2 2" xfId="13681"/>
    <cellStyle name="Normal 10 3 2 4 2 3" xfId="13682"/>
    <cellStyle name="Normal 10 3 2 4 2 3 2" xfId="13683"/>
    <cellStyle name="Normal 10 3 2 4 2 4" xfId="13684"/>
    <cellStyle name="Normal 10 3 2 4 2 4 2" xfId="13685"/>
    <cellStyle name="Normal 10 3 2 4 2 5" xfId="13686"/>
    <cellStyle name="Normal 10 3 2 4 2 5 2" xfId="13687"/>
    <cellStyle name="Normal 10 3 2 4 2 6" xfId="13688"/>
    <cellStyle name="Normal 10 3 2 4 2 7" xfId="13689"/>
    <cellStyle name="Normal 10 3 2 4 2 8" xfId="13690"/>
    <cellStyle name="Normal 10 3 2 4 2 9" xfId="13691"/>
    <cellStyle name="Normal 10 3 2 4 3" xfId="13692"/>
    <cellStyle name="Normal 10 3 2 4 3 2" xfId="13693"/>
    <cellStyle name="Normal 10 3 2 4 3 2 2" xfId="13694"/>
    <cellStyle name="Normal 10 3 2 4 3 3" xfId="13695"/>
    <cellStyle name="Normal 10 3 2 4 3 4" xfId="13696"/>
    <cellStyle name="Normal 10 3 2 4 3 5" xfId="13697"/>
    <cellStyle name="Normal 10 3 2 4 4" xfId="13698"/>
    <cellStyle name="Normal 10 3 2 4 4 2" xfId="13699"/>
    <cellStyle name="Normal 10 3 2 4 5" xfId="13700"/>
    <cellStyle name="Normal 10 3 2 4 5 2" xfId="13701"/>
    <cellStyle name="Normal 10 3 2 4 6" xfId="13702"/>
    <cellStyle name="Normal 10 3 2 4 6 2" xfId="13703"/>
    <cellStyle name="Normal 10 3 2 4 7" xfId="13704"/>
    <cellStyle name="Normal 10 3 2 4 7 2" xfId="13705"/>
    <cellStyle name="Normal 10 3 2 4 8" xfId="13706"/>
    <cellStyle name="Normal 10 3 2 4 9" xfId="13707"/>
    <cellStyle name="Normal 10 3 2 5" xfId="13708"/>
    <cellStyle name="Normal 10 3 2 5 10" xfId="13709"/>
    <cellStyle name="Normal 10 3 2 5 11" xfId="13710"/>
    <cellStyle name="Normal 10 3 2 5 12" xfId="13711"/>
    <cellStyle name="Normal 10 3 2 5 13" xfId="13712"/>
    <cellStyle name="Normal 10 3 2 5 14" xfId="13713"/>
    <cellStyle name="Normal 10 3 2 5 2" xfId="13714"/>
    <cellStyle name="Normal 10 3 2 5 2 2" xfId="13715"/>
    <cellStyle name="Normal 10 3 2 5 2 2 2" xfId="13716"/>
    <cellStyle name="Normal 10 3 2 5 2 3" xfId="13717"/>
    <cellStyle name="Normal 10 3 2 5 2 3 2" xfId="13718"/>
    <cellStyle name="Normal 10 3 2 5 2 4" xfId="13719"/>
    <cellStyle name="Normal 10 3 2 5 2 4 2" xfId="13720"/>
    <cellStyle name="Normal 10 3 2 5 2 5" xfId="13721"/>
    <cellStyle name="Normal 10 3 2 5 2 5 2" xfId="13722"/>
    <cellStyle name="Normal 10 3 2 5 2 6" xfId="13723"/>
    <cellStyle name="Normal 10 3 2 5 2 7" xfId="13724"/>
    <cellStyle name="Normal 10 3 2 5 2 8" xfId="13725"/>
    <cellStyle name="Normal 10 3 2 5 2 9" xfId="13726"/>
    <cellStyle name="Normal 10 3 2 5 3" xfId="13727"/>
    <cellStyle name="Normal 10 3 2 5 3 2" xfId="13728"/>
    <cellStyle name="Normal 10 3 2 5 3 2 2" xfId="13729"/>
    <cellStyle name="Normal 10 3 2 5 3 3" xfId="13730"/>
    <cellStyle name="Normal 10 3 2 5 3 4" xfId="13731"/>
    <cellStyle name="Normal 10 3 2 5 3 5" xfId="13732"/>
    <cellStyle name="Normal 10 3 2 5 4" xfId="13733"/>
    <cellStyle name="Normal 10 3 2 5 4 2" xfId="13734"/>
    <cellStyle name="Normal 10 3 2 5 5" xfId="13735"/>
    <cellStyle name="Normal 10 3 2 5 5 2" xfId="13736"/>
    <cellStyle name="Normal 10 3 2 5 6" xfId="13737"/>
    <cellStyle name="Normal 10 3 2 5 6 2" xfId="13738"/>
    <cellStyle name="Normal 10 3 2 5 7" xfId="13739"/>
    <cellStyle name="Normal 10 3 2 5 7 2" xfId="13740"/>
    <cellStyle name="Normal 10 3 2 5 8" xfId="13741"/>
    <cellStyle name="Normal 10 3 2 5 9" xfId="13742"/>
    <cellStyle name="Normal 10 3 2 6" xfId="13743"/>
    <cellStyle name="Normal 10 3 2 6 2" xfId="13744"/>
    <cellStyle name="Normal 10 3 2 6 2 2" xfId="13745"/>
    <cellStyle name="Normal 10 3 2 6 3" xfId="13746"/>
    <cellStyle name="Normal 10 3 2 6 3 2" xfId="13747"/>
    <cellStyle name="Normal 10 3 2 6 4" xfId="13748"/>
    <cellStyle name="Normal 10 3 2 6 4 2" xfId="13749"/>
    <cellStyle name="Normal 10 3 2 6 5" xfId="13750"/>
    <cellStyle name="Normal 10 3 2 6 5 2" xfId="13751"/>
    <cellStyle name="Normal 10 3 2 6 6" xfId="13752"/>
    <cellStyle name="Normal 10 3 2 6 7" xfId="13753"/>
    <cellStyle name="Normal 10 3 2 6 8" xfId="13754"/>
    <cellStyle name="Normal 10 3 2 6 9" xfId="13755"/>
    <cellStyle name="Normal 10 3 2 7" xfId="13756"/>
    <cellStyle name="Normal 10 3 2 7 2" xfId="13757"/>
    <cellStyle name="Normal 10 3 2 7 2 2" xfId="13758"/>
    <cellStyle name="Normal 10 3 2 7 3" xfId="13759"/>
    <cellStyle name="Normal 10 3 2 7 4" xfId="13760"/>
    <cellStyle name="Normal 10 3 2 7 5" xfId="13761"/>
    <cellStyle name="Normal 10 3 2 8" xfId="13762"/>
    <cellStyle name="Normal 10 3 2 8 2" xfId="13763"/>
    <cellStyle name="Normal 10 3 2 9" xfId="13764"/>
    <cellStyle name="Normal 10 3 2 9 2" xfId="13765"/>
    <cellStyle name="Normal 10 3 20" xfId="13766"/>
    <cellStyle name="Normal 10 3 21" xfId="13767"/>
    <cellStyle name="Normal 10 3 22" xfId="13768"/>
    <cellStyle name="Normal 10 3 23" xfId="13769"/>
    <cellStyle name="Normal 10 3 24" xfId="13770"/>
    <cellStyle name="Normal 10 3 25" xfId="13771"/>
    <cellStyle name="Normal 10 3 3" xfId="13772"/>
    <cellStyle name="Normal 10 3 3 10" xfId="13773"/>
    <cellStyle name="Normal 10 3 3 11" xfId="13774"/>
    <cellStyle name="Normal 10 3 3 12" xfId="13775"/>
    <cellStyle name="Normal 10 3 3 13" xfId="13776"/>
    <cellStyle name="Normal 10 3 3 14" xfId="13777"/>
    <cellStyle name="Normal 10 3 3 15" xfId="13778"/>
    <cellStyle name="Normal 10 3 3 16" xfId="13779"/>
    <cellStyle name="Normal 10 3 3 17" xfId="13780"/>
    <cellStyle name="Normal 10 3 3 18" xfId="13781"/>
    <cellStyle name="Normal 10 3 3 2" xfId="13782"/>
    <cellStyle name="Normal 10 3 3 2 10" xfId="13783"/>
    <cellStyle name="Normal 10 3 3 2 11" xfId="13784"/>
    <cellStyle name="Normal 10 3 3 2 12" xfId="13785"/>
    <cellStyle name="Normal 10 3 3 2 13" xfId="13786"/>
    <cellStyle name="Normal 10 3 3 2 2" xfId="13787"/>
    <cellStyle name="Normal 10 3 3 2 2 2" xfId="13788"/>
    <cellStyle name="Normal 10 3 3 2 2 2 2" xfId="13789"/>
    <cellStyle name="Normal 10 3 3 2 2 3" xfId="13790"/>
    <cellStyle name="Normal 10 3 3 2 2 4" xfId="13791"/>
    <cellStyle name="Normal 10 3 3 2 2 5" xfId="13792"/>
    <cellStyle name="Normal 10 3 3 2 3" xfId="13793"/>
    <cellStyle name="Normal 10 3 3 2 3 2" xfId="13794"/>
    <cellStyle name="Normal 10 3 3 2 4" xfId="13795"/>
    <cellStyle name="Normal 10 3 3 2 4 2" xfId="13796"/>
    <cellStyle name="Normal 10 3 3 2 5" xfId="13797"/>
    <cellStyle name="Normal 10 3 3 2 5 2" xfId="13798"/>
    <cellStyle name="Normal 10 3 3 2 6" xfId="13799"/>
    <cellStyle name="Normal 10 3 3 2 6 2" xfId="13800"/>
    <cellStyle name="Normal 10 3 3 2 7" xfId="13801"/>
    <cellStyle name="Normal 10 3 3 2 8" xfId="13802"/>
    <cellStyle name="Normal 10 3 3 2 9" xfId="13803"/>
    <cellStyle name="Normal 10 3 3 3" xfId="13804"/>
    <cellStyle name="Normal 10 3 3 3 2" xfId="13805"/>
    <cellStyle name="Normal 10 3 3 3 2 2" xfId="13806"/>
    <cellStyle name="Normal 10 3 3 3 3" xfId="13807"/>
    <cellStyle name="Normal 10 3 3 3 4" xfId="13808"/>
    <cellStyle name="Normal 10 3 3 3 5" xfId="13809"/>
    <cellStyle name="Normal 10 3 3 4" xfId="13810"/>
    <cellStyle name="Normal 10 3 3 4 2" xfId="13811"/>
    <cellStyle name="Normal 10 3 3 5" xfId="13812"/>
    <cellStyle name="Normal 10 3 3 5 2" xfId="13813"/>
    <cellStyle name="Normal 10 3 3 6" xfId="13814"/>
    <cellStyle name="Normal 10 3 3 6 2" xfId="13815"/>
    <cellStyle name="Normal 10 3 3 7" xfId="13816"/>
    <cellStyle name="Normal 10 3 3 7 2" xfId="13817"/>
    <cellStyle name="Normal 10 3 3 8" xfId="13818"/>
    <cellStyle name="Normal 10 3 3 9" xfId="13819"/>
    <cellStyle name="Normal 10 3 4" xfId="13820"/>
    <cellStyle name="Normal 10 3 4 10" xfId="13821"/>
    <cellStyle name="Normal 10 3 4 11" xfId="13822"/>
    <cellStyle name="Normal 10 3 4 12" xfId="13823"/>
    <cellStyle name="Normal 10 3 4 13" xfId="13824"/>
    <cellStyle name="Normal 10 3 4 14" xfId="13825"/>
    <cellStyle name="Normal 10 3 4 15" xfId="13826"/>
    <cellStyle name="Normal 10 3 4 16" xfId="13827"/>
    <cellStyle name="Normal 10 3 4 17" xfId="13828"/>
    <cellStyle name="Normal 10 3 4 18" xfId="13829"/>
    <cellStyle name="Normal 10 3 4 2" xfId="13830"/>
    <cellStyle name="Normal 10 3 4 2 10" xfId="13831"/>
    <cellStyle name="Normal 10 3 4 2 11" xfId="13832"/>
    <cellStyle name="Normal 10 3 4 2 12" xfId="13833"/>
    <cellStyle name="Normal 10 3 4 2 13" xfId="13834"/>
    <cellStyle name="Normal 10 3 4 2 2" xfId="13835"/>
    <cellStyle name="Normal 10 3 4 2 2 2" xfId="13836"/>
    <cellStyle name="Normal 10 3 4 2 2 2 2" xfId="13837"/>
    <cellStyle name="Normal 10 3 4 2 2 3" xfId="13838"/>
    <cellStyle name="Normal 10 3 4 2 2 4" xfId="13839"/>
    <cellStyle name="Normal 10 3 4 2 2 5" xfId="13840"/>
    <cellStyle name="Normal 10 3 4 2 3" xfId="13841"/>
    <cellStyle name="Normal 10 3 4 2 3 2" xfId="13842"/>
    <cellStyle name="Normal 10 3 4 2 4" xfId="13843"/>
    <cellStyle name="Normal 10 3 4 2 4 2" xfId="13844"/>
    <cellStyle name="Normal 10 3 4 2 5" xfId="13845"/>
    <cellStyle name="Normal 10 3 4 2 5 2" xfId="13846"/>
    <cellStyle name="Normal 10 3 4 2 6" xfId="13847"/>
    <cellStyle name="Normal 10 3 4 2 6 2" xfId="13848"/>
    <cellStyle name="Normal 10 3 4 2 7" xfId="13849"/>
    <cellStyle name="Normal 10 3 4 2 8" xfId="13850"/>
    <cellStyle name="Normal 10 3 4 2 9" xfId="13851"/>
    <cellStyle name="Normal 10 3 4 3" xfId="13852"/>
    <cellStyle name="Normal 10 3 4 3 2" xfId="13853"/>
    <cellStyle name="Normal 10 3 4 3 2 2" xfId="13854"/>
    <cellStyle name="Normal 10 3 4 3 3" xfId="13855"/>
    <cellStyle name="Normal 10 3 4 3 4" xfId="13856"/>
    <cellStyle name="Normal 10 3 4 3 5" xfId="13857"/>
    <cellStyle name="Normal 10 3 4 4" xfId="13858"/>
    <cellStyle name="Normal 10 3 4 4 2" xfId="13859"/>
    <cellStyle name="Normal 10 3 4 5" xfId="13860"/>
    <cellStyle name="Normal 10 3 4 5 2" xfId="13861"/>
    <cellStyle name="Normal 10 3 4 6" xfId="13862"/>
    <cellStyle name="Normal 10 3 4 6 2" xfId="13863"/>
    <cellStyle name="Normal 10 3 4 7" xfId="13864"/>
    <cellStyle name="Normal 10 3 4 7 2" xfId="13865"/>
    <cellStyle name="Normal 10 3 4 8" xfId="13866"/>
    <cellStyle name="Normal 10 3 4 9" xfId="13867"/>
    <cellStyle name="Normal 10 3 5" xfId="13868"/>
    <cellStyle name="Normal 10 3 5 10" xfId="13869"/>
    <cellStyle name="Normal 10 3 5 11" xfId="13870"/>
    <cellStyle name="Normal 10 3 5 12" xfId="13871"/>
    <cellStyle name="Normal 10 3 5 13" xfId="13872"/>
    <cellStyle name="Normal 10 3 5 14" xfId="13873"/>
    <cellStyle name="Normal 10 3 5 15" xfId="13874"/>
    <cellStyle name="Normal 10 3 5 16" xfId="13875"/>
    <cellStyle name="Normal 10 3 5 17" xfId="13876"/>
    <cellStyle name="Normal 10 3 5 18" xfId="13877"/>
    <cellStyle name="Normal 10 3 5 2" xfId="13878"/>
    <cellStyle name="Normal 10 3 5 2 10" xfId="13879"/>
    <cellStyle name="Normal 10 3 5 2 11" xfId="13880"/>
    <cellStyle name="Normal 10 3 5 2 12" xfId="13881"/>
    <cellStyle name="Normal 10 3 5 2 13" xfId="13882"/>
    <cellStyle name="Normal 10 3 5 2 2" xfId="13883"/>
    <cellStyle name="Normal 10 3 5 2 2 2" xfId="13884"/>
    <cellStyle name="Normal 10 3 5 2 2 2 2" xfId="13885"/>
    <cellStyle name="Normal 10 3 5 2 2 3" xfId="13886"/>
    <cellStyle name="Normal 10 3 5 2 2 4" xfId="13887"/>
    <cellStyle name="Normal 10 3 5 2 2 5" xfId="13888"/>
    <cellStyle name="Normal 10 3 5 2 3" xfId="13889"/>
    <cellStyle name="Normal 10 3 5 2 3 2" xfId="13890"/>
    <cellStyle name="Normal 10 3 5 2 4" xfId="13891"/>
    <cellStyle name="Normal 10 3 5 2 4 2" xfId="13892"/>
    <cellStyle name="Normal 10 3 5 2 5" xfId="13893"/>
    <cellStyle name="Normal 10 3 5 2 5 2" xfId="13894"/>
    <cellStyle name="Normal 10 3 5 2 6" xfId="13895"/>
    <cellStyle name="Normal 10 3 5 2 6 2" xfId="13896"/>
    <cellStyle name="Normal 10 3 5 2 7" xfId="13897"/>
    <cellStyle name="Normal 10 3 5 2 8" xfId="13898"/>
    <cellStyle name="Normal 10 3 5 2 9" xfId="13899"/>
    <cellStyle name="Normal 10 3 5 3" xfId="13900"/>
    <cellStyle name="Normal 10 3 5 3 2" xfId="13901"/>
    <cellStyle name="Normal 10 3 5 3 2 2" xfId="13902"/>
    <cellStyle name="Normal 10 3 5 3 3" xfId="13903"/>
    <cellStyle name="Normal 10 3 5 3 4" xfId="13904"/>
    <cellStyle name="Normal 10 3 5 3 5" xfId="13905"/>
    <cellStyle name="Normal 10 3 5 4" xfId="13906"/>
    <cellStyle name="Normal 10 3 5 4 2" xfId="13907"/>
    <cellStyle name="Normal 10 3 5 5" xfId="13908"/>
    <cellStyle name="Normal 10 3 5 5 2" xfId="13909"/>
    <cellStyle name="Normal 10 3 5 6" xfId="13910"/>
    <cellStyle name="Normal 10 3 5 6 2" xfId="13911"/>
    <cellStyle name="Normal 10 3 5 7" xfId="13912"/>
    <cellStyle name="Normal 10 3 5 7 2" xfId="13913"/>
    <cellStyle name="Normal 10 3 5 8" xfId="13914"/>
    <cellStyle name="Normal 10 3 5 9" xfId="13915"/>
    <cellStyle name="Normal 10 3 6" xfId="13916"/>
    <cellStyle name="Normal 10 3 6 10" xfId="13917"/>
    <cellStyle name="Normal 10 3 6 11" xfId="13918"/>
    <cellStyle name="Normal 10 3 6 12" xfId="13919"/>
    <cellStyle name="Normal 10 3 6 13" xfId="13920"/>
    <cellStyle name="Normal 10 3 6 14" xfId="13921"/>
    <cellStyle name="Normal 10 3 6 15" xfId="13922"/>
    <cellStyle name="Normal 10 3 6 16" xfId="13923"/>
    <cellStyle name="Normal 10 3 6 17" xfId="13924"/>
    <cellStyle name="Normal 10 3 6 18" xfId="13925"/>
    <cellStyle name="Normal 10 3 6 2" xfId="13926"/>
    <cellStyle name="Normal 10 3 6 2 10" xfId="13927"/>
    <cellStyle name="Normal 10 3 6 2 11" xfId="13928"/>
    <cellStyle name="Normal 10 3 6 2 12" xfId="13929"/>
    <cellStyle name="Normal 10 3 6 2 13" xfId="13930"/>
    <cellStyle name="Normal 10 3 6 2 2" xfId="13931"/>
    <cellStyle name="Normal 10 3 6 2 2 2" xfId="13932"/>
    <cellStyle name="Normal 10 3 6 2 2 2 2" xfId="13933"/>
    <cellStyle name="Normal 10 3 6 2 2 3" xfId="13934"/>
    <cellStyle name="Normal 10 3 6 2 2 4" xfId="13935"/>
    <cellStyle name="Normal 10 3 6 2 2 5" xfId="13936"/>
    <cellStyle name="Normal 10 3 6 2 3" xfId="13937"/>
    <cellStyle name="Normal 10 3 6 2 3 2" xfId="13938"/>
    <cellStyle name="Normal 10 3 6 2 4" xfId="13939"/>
    <cellStyle name="Normal 10 3 6 2 4 2" xfId="13940"/>
    <cellStyle name="Normal 10 3 6 2 5" xfId="13941"/>
    <cellStyle name="Normal 10 3 6 2 5 2" xfId="13942"/>
    <cellStyle name="Normal 10 3 6 2 6" xfId="13943"/>
    <cellStyle name="Normal 10 3 6 2 6 2" xfId="13944"/>
    <cellStyle name="Normal 10 3 6 2 7" xfId="13945"/>
    <cellStyle name="Normal 10 3 6 2 8" xfId="13946"/>
    <cellStyle name="Normal 10 3 6 2 9" xfId="13947"/>
    <cellStyle name="Normal 10 3 6 3" xfId="13948"/>
    <cellStyle name="Normal 10 3 6 3 2" xfId="13949"/>
    <cellStyle name="Normal 10 3 6 3 2 2" xfId="13950"/>
    <cellStyle name="Normal 10 3 6 3 3" xfId="13951"/>
    <cellStyle name="Normal 10 3 6 3 4" xfId="13952"/>
    <cellStyle name="Normal 10 3 6 3 5" xfId="13953"/>
    <cellStyle name="Normal 10 3 6 4" xfId="13954"/>
    <cellStyle name="Normal 10 3 6 4 2" xfId="13955"/>
    <cellStyle name="Normal 10 3 6 5" xfId="13956"/>
    <cellStyle name="Normal 10 3 6 5 2" xfId="13957"/>
    <cellStyle name="Normal 10 3 6 6" xfId="13958"/>
    <cellStyle name="Normal 10 3 6 6 2" xfId="13959"/>
    <cellStyle name="Normal 10 3 6 7" xfId="13960"/>
    <cellStyle name="Normal 10 3 6 7 2" xfId="13961"/>
    <cellStyle name="Normal 10 3 6 8" xfId="13962"/>
    <cellStyle name="Normal 10 3 6 9" xfId="13963"/>
    <cellStyle name="Normal 10 3 7" xfId="13964"/>
    <cellStyle name="Normal 10 3 7 10" xfId="13965"/>
    <cellStyle name="Normal 10 3 7 11" xfId="13966"/>
    <cellStyle name="Normal 10 3 7 12" xfId="13967"/>
    <cellStyle name="Normal 10 3 7 13" xfId="13968"/>
    <cellStyle name="Normal 10 3 7 14" xfId="13969"/>
    <cellStyle name="Normal 10 3 7 15" xfId="13970"/>
    <cellStyle name="Normal 10 3 7 16" xfId="13971"/>
    <cellStyle name="Normal 10 3 7 17" xfId="13972"/>
    <cellStyle name="Normal 10 3 7 18" xfId="13973"/>
    <cellStyle name="Normal 10 3 7 2" xfId="13974"/>
    <cellStyle name="Normal 10 3 7 2 10" xfId="13975"/>
    <cellStyle name="Normal 10 3 7 2 11" xfId="13976"/>
    <cellStyle name="Normal 10 3 7 2 12" xfId="13977"/>
    <cellStyle name="Normal 10 3 7 2 13" xfId="13978"/>
    <cellStyle name="Normal 10 3 7 2 2" xfId="13979"/>
    <cellStyle name="Normal 10 3 7 2 2 2" xfId="13980"/>
    <cellStyle name="Normal 10 3 7 2 2 2 2" xfId="13981"/>
    <cellStyle name="Normal 10 3 7 2 2 3" xfId="13982"/>
    <cellStyle name="Normal 10 3 7 2 2 4" xfId="13983"/>
    <cellStyle name="Normal 10 3 7 2 2 5" xfId="13984"/>
    <cellStyle name="Normal 10 3 7 2 3" xfId="13985"/>
    <cellStyle name="Normal 10 3 7 2 3 2" xfId="13986"/>
    <cellStyle name="Normal 10 3 7 2 4" xfId="13987"/>
    <cellStyle name="Normal 10 3 7 2 4 2" xfId="13988"/>
    <cellStyle name="Normal 10 3 7 2 5" xfId="13989"/>
    <cellStyle name="Normal 10 3 7 2 5 2" xfId="13990"/>
    <cellStyle name="Normal 10 3 7 2 6" xfId="13991"/>
    <cellStyle name="Normal 10 3 7 2 6 2" xfId="13992"/>
    <cellStyle name="Normal 10 3 7 2 7" xfId="13993"/>
    <cellStyle name="Normal 10 3 7 2 8" xfId="13994"/>
    <cellStyle name="Normal 10 3 7 2 9" xfId="13995"/>
    <cellStyle name="Normal 10 3 7 3" xfId="13996"/>
    <cellStyle name="Normal 10 3 7 3 2" xfId="13997"/>
    <cellStyle name="Normal 10 3 7 3 2 2" xfId="13998"/>
    <cellStyle name="Normal 10 3 7 3 3" xfId="13999"/>
    <cellStyle name="Normal 10 3 7 3 4" xfId="14000"/>
    <cellStyle name="Normal 10 3 7 3 5" xfId="14001"/>
    <cellStyle name="Normal 10 3 7 4" xfId="14002"/>
    <cellStyle name="Normal 10 3 7 4 2" xfId="14003"/>
    <cellStyle name="Normal 10 3 7 5" xfId="14004"/>
    <cellStyle name="Normal 10 3 7 5 2" xfId="14005"/>
    <cellStyle name="Normal 10 3 7 6" xfId="14006"/>
    <cellStyle name="Normal 10 3 7 6 2" xfId="14007"/>
    <cellStyle name="Normal 10 3 7 7" xfId="14008"/>
    <cellStyle name="Normal 10 3 7 7 2" xfId="14009"/>
    <cellStyle name="Normal 10 3 7 8" xfId="14010"/>
    <cellStyle name="Normal 10 3 7 9" xfId="14011"/>
    <cellStyle name="Normal 10 3 8" xfId="14012"/>
    <cellStyle name="Normal 10 3 8 10" xfId="14013"/>
    <cellStyle name="Normal 10 3 8 11" xfId="14014"/>
    <cellStyle name="Normal 10 3 8 12" xfId="14015"/>
    <cellStyle name="Normal 10 3 8 13" xfId="14016"/>
    <cellStyle name="Normal 10 3 8 14" xfId="14017"/>
    <cellStyle name="Normal 10 3 8 15" xfId="14018"/>
    <cellStyle name="Normal 10 3 8 16" xfId="14019"/>
    <cellStyle name="Normal 10 3 8 2" xfId="14020"/>
    <cellStyle name="Normal 10 3 8 2 2" xfId="14021"/>
    <cellStyle name="Normal 10 3 8 2 2 2" xfId="14022"/>
    <cellStyle name="Normal 10 3 8 2 3" xfId="14023"/>
    <cellStyle name="Normal 10 3 8 2 3 2" xfId="14024"/>
    <cellStyle name="Normal 10 3 8 2 4" xfId="14025"/>
    <cellStyle name="Normal 10 3 8 2 4 2" xfId="14026"/>
    <cellStyle name="Normal 10 3 8 2 5" xfId="14027"/>
    <cellStyle name="Normal 10 3 8 2 5 2" xfId="14028"/>
    <cellStyle name="Normal 10 3 8 2 6" xfId="14029"/>
    <cellStyle name="Normal 10 3 8 2 7" xfId="14030"/>
    <cellStyle name="Normal 10 3 8 2 8" xfId="14031"/>
    <cellStyle name="Normal 10 3 8 2 9" xfId="14032"/>
    <cellStyle name="Normal 10 3 8 3" xfId="14033"/>
    <cellStyle name="Normal 10 3 8 3 2" xfId="14034"/>
    <cellStyle name="Normal 10 3 8 3 2 2" xfId="14035"/>
    <cellStyle name="Normal 10 3 8 3 3" xfId="14036"/>
    <cellStyle name="Normal 10 3 8 3 4" xfId="14037"/>
    <cellStyle name="Normal 10 3 8 3 5" xfId="14038"/>
    <cellStyle name="Normal 10 3 8 4" xfId="14039"/>
    <cellStyle name="Normal 10 3 8 4 2" xfId="14040"/>
    <cellStyle name="Normal 10 3 8 5" xfId="14041"/>
    <cellStyle name="Normal 10 3 8 5 2" xfId="14042"/>
    <cellStyle name="Normal 10 3 8 6" xfId="14043"/>
    <cellStyle name="Normal 10 3 8 6 2" xfId="14044"/>
    <cellStyle name="Normal 10 3 8 7" xfId="14045"/>
    <cellStyle name="Normal 10 3 8 7 2" xfId="14046"/>
    <cellStyle name="Normal 10 3 8 8" xfId="14047"/>
    <cellStyle name="Normal 10 3 8 9" xfId="14048"/>
    <cellStyle name="Normal 10 3 9" xfId="14049"/>
    <cellStyle name="Normal 10 3 9 10" xfId="14050"/>
    <cellStyle name="Normal 10 3 9 11" xfId="14051"/>
    <cellStyle name="Normal 10 3 9 12" xfId="14052"/>
    <cellStyle name="Normal 10 3 9 13" xfId="14053"/>
    <cellStyle name="Normal 10 3 9 14" xfId="14054"/>
    <cellStyle name="Normal 10 3 9 15" xfId="14055"/>
    <cellStyle name="Normal 10 3 9 2" xfId="14056"/>
    <cellStyle name="Normal 10 3 9 2 2" xfId="14057"/>
    <cellStyle name="Normal 10 3 9 2 2 2" xfId="14058"/>
    <cellStyle name="Normal 10 3 9 2 3" xfId="14059"/>
    <cellStyle name="Normal 10 3 9 2 3 2" xfId="14060"/>
    <cellStyle name="Normal 10 3 9 2 4" xfId="14061"/>
    <cellStyle name="Normal 10 3 9 2 4 2" xfId="14062"/>
    <cellStyle name="Normal 10 3 9 2 5" xfId="14063"/>
    <cellStyle name="Normal 10 3 9 2 5 2" xfId="14064"/>
    <cellStyle name="Normal 10 3 9 2 6" xfId="14065"/>
    <cellStyle name="Normal 10 3 9 2 7" xfId="14066"/>
    <cellStyle name="Normal 10 3 9 2 8" xfId="14067"/>
    <cellStyle name="Normal 10 3 9 2 9" xfId="14068"/>
    <cellStyle name="Normal 10 3 9 3" xfId="14069"/>
    <cellStyle name="Normal 10 3 9 3 2" xfId="14070"/>
    <cellStyle name="Normal 10 3 9 3 2 2" xfId="14071"/>
    <cellStyle name="Normal 10 3 9 3 3" xfId="14072"/>
    <cellStyle name="Normal 10 3 9 3 4" xfId="14073"/>
    <cellStyle name="Normal 10 3 9 3 5" xfId="14074"/>
    <cellStyle name="Normal 10 3 9 4" xfId="14075"/>
    <cellStyle name="Normal 10 3 9 4 2" xfId="14076"/>
    <cellStyle name="Normal 10 3 9 5" xfId="14077"/>
    <cellStyle name="Normal 10 3 9 5 2" xfId="14078"/>
    <cellStyle name="Normal 10 3 9 6" xfId="14079"/>
    <cellStyle name="Normal 10 3 9 6 2" xfId="14080"/>
    <cellStyle name="Normal 10 3 9 7" xfId="14081"/>
    <cellStyle name="Normal 10 3 9 7 2" xfId="14082"/>
    <cellStyle name="Normal 10 3 9 8" xfId="14083"/>
    <cellStyle name="Normal 10 3 9 9" xfId="14084"/>
    <cellStyle name="Normal 10 30" xfId="14085"/>
    <cellStyle name="Normal 10 31" xfId="14086"/>
    <cellStyle name="Normal 10 32" xfId="14087"/>
    <cellStyle name="Normal 10 33" xfId="14088"/>
    <cellStyle name="Normal 10 34" xfId="14089"/>
    <cellStyle name="Normal 10 35" xfId="14090"/>
    <cellStyle name="Normal 10 36" xfId="14091"/>
    <cellStyle name="Normal 10 37" xfId="14092"/>
    <cellStyle name="Normal 10 38" xfId="14093"/>
    <cellStyle name="Normal 10 39" xfId="14094"/>
    <cellStyle name="Normal 10 4" xfId="1025"/>
    <cellStyle name="Normal 10 4 10" xfId="14095"/>
    <cellStyle name="Normal 10 4 10 10" xfId="14096"/>
    <cellStyle name="Normal 10 4 10 11" xfId="14097"/>
    <cellStyle name="Normal 10 4 10 12" xfId="14098"/>
    <cellStyle name="Normal 10 4 10 13" xfId="14099"/>
    <cellStyle name="Normal 10 4 10 14" xfId="14100"/>
    <cellStyle name="Normal 10 4 10 2" xfId="14101"/>
    <cellStyle name="Normal 10 4 10 2 2" xfId="14102"/>
    <cellStyle name="Normal 10 4 10 2 2 2" xfId="14103"/>
    <cellStyle name="Normal 10 4 10 2 3" xfId="14104"/>
    <cellStyle name="Normal 10 4 10 2 3 2" xfId="14105"/>
    <cellStyle name="Normal 10 4 10 2 4" xfId="14106"/>
    <cellStyle name="Normal 10 4 10 2 4 2" xfId="14107"/>
    <cellStyle name="Normal 10 4 10 2 5" xfId="14108"/>
    <cellStyle name="Normal 10 4 10 2 5 2" xfId="14109"/>
    <cellStyle name="Normal 10 4 10 2 6" xfId="14110"/>
    <cellStyle name="Normal 10 4 10 2 7" xfId="14111"/>
    <cellStyle name="Normal 10 4 10 2 8" xfId="14112"/>
    <cellStyle name="Normal 10 4 10 2 9" xfId="14113"/>
    <cellStyle name="Normal 10 4 10 3" xfId="14114"/>
    <cellStyle name="Normal 10 4 10 3 2" xfId="14115"/>
    <cellStyle name="Normal 10 4 10 3 2 2" xfId="14116"/>
    <cellStyle name="Normal 10 4 10 3 3" xfId="14117"/>
    <cellStyle name="Normal 10 4 10 3 4" xfId="14118"/>
    <cellStyle name="Normal 10 4 10 3 5" xfId="14119"/>
    <cellStyle name="Normal 10 4 10 4" xfId="14120"/>
    <cellStyle name="Normal 10 4 10 4 2" xfId="14121"/>
    <cellStyle name="Normal 10 4 10 5" xfId="14122"/>
    <cellStyle name="Normal 10 4 10 5 2" xfId="14123"/>
    <cellStyle name="Normal 10 4 10 6" xfId="14124"/>
    <cellStyle name="Normal 10 4 10 6 2" xfId="14125"/>
    <cellStyle name="Normal 10 4 10 7" xfId="14126"/>
    <cellStyle name="Normal 10 4 10 7 2" xfId="14127"/>
    <cellStyle name="Normal 10 4 10 8" xfId="14128"/>
    <cellStyle name="Normal 10 4 10 9" xfId="14129"/>
    <cellStyle name="Normal 10 4 11" xfId="14130"/>
    <cellStyle name="Normal 10 4 11 2" xfId="14131"/>
    <cellStyle name="Normal 10 4 11 2 2" xfId="14132"/>
    <cellStyle name="Normal 10 4 11 3" xfId="14133"/>
    <cellStyle name="Normal 10 4 11 3 2" xfId="14134"/>
    <cellStyle name="Normal 10 4 11 4" xfId="14135"/>
    <cellStyle name="Normal 10 4 11 4 2" xfId="14136"/>
    <cellStyle name="Normal 10 4 11 5" xfId="14137"/>
    <cellStyle name="Normal 10 4 11 5 2" xfId="14138"/>
    <cellStyle name="Normal 10 4 11 6" xfId="14139"/>
    <cellStyle name="Normal 10 4 11 7" xfId="14140"/>
    <cellStyle name="Normal 10 4 11 8" xfId="14141"/>
    <cellStyle name="Normal 10 4 11 9" xfId="14142"/>
    <cellStyle name="Normal 10 4 12" xfId="14143"/>
    <cellStyle name="Normal 10 4 12 2" xfId="14144"/>
    <cellStyle name="Normal 10 4 12 2 2" xfId="14145"/>
    <cellStyle name="Normal 10 4 12 3" xfId="14146"/>
    <cellStyle name="Normal 10 4 12 4" xfId="14147"/>
    <cellStyle name="Normal 10 4 12 5" xfId="14148"/>
    <cellStyle name="Normal 10 4 13" xfId="14149"/>
    <cellStyle name="Normal 10 4 13 2" xfId="14150"/>
    <cellStyle name="Normal 10 4 14" xfId="14151"/>
    <cellStyle name="Normal 10 4 14 2" xfId="14152"/>
    <cellStyle name="Normal 10 4 15" xfId="14153"/>
    <cellStyle name="Normal 10 4 15 2" xfId="14154"/>
    <cellStyle name="Normal 10 4 16" xfId="14155"/>
    <cellStyle name="Normal 10 4 16 2" xfId="14156"/>
    <cellStyle name="Normal 10 4 17" xfId="14157"/>
    <cellStyle name="Normal 10 4 18" xfId="14158"/>
    <cellStyle name="Normal 10 4 19" xfId="14159"/>
    <cellStyle name="Normal 10 4 2" xfId="14160"/>
    <cellStyle name="Normal 10 4 2 10" xfId="14161"/>
    <cellStyle name="Normal 10 4 2 10 2" xfId="14162"/>
    <cellStyle name="Normal 10 4 2 11" xfId="14163"/>
    <cellStyle name="Normal 10 4 2 11 2" xfId="14164"/>
    <cellStyle name="Normal 10 4 2 12" xfId="14165"/>
    <cellStyle name="Normal 10 4 2 13" xfId="14166"/>
    <cellStyle name="Normal 10 4 2 14" xfId="14167"/>
    <cellStyle name="Normal 10 4 2 15" xfId="14168"/>
    <cellStyle name="Normal 10 4 2 16" xfId="14169"/>
    <cellStyle name="Normal 10 4 2 17" xfId="14170"/>
    <cellStyle name="Normal 10 4 2 18" xfId="14171"/>
    <cellStyle name="Normal 10 4 2 19" xfId="14172"/>
    <cellStyle name="Normal 10 4 2 2" xfId="14173"/>
    <cellStyle name="Normal 10 4 2 2 10" xfId="14174"/>
    <cellStyle name="Normal 10 4 2 2 11" xfId="14175"/>
    <cellStyle name="Normal 10 4 2 2 12" xfId="14176"/>
    <cellStyle name="Normal 10 4 2 2 13" xfId="14177"/>
    <cellStyle name="Normal 10 4 2 2 14" xfId="14178"/>
    <cellStyle name="Normal 10 4 2 2 15" xfId="14179"/>
    <cellStyle name="Normal 10 4 2 2 16" xfId="14180"/>
    <cellStyle name="Normal 10 4 2 2 2" xfId="14181"/>
    <cellStyle name="Normal 10 4 2 2 2 2" xfId="14182"/>
    <cellStyle name="Normal 10 4 2 2 2 2 2" xfId="14183"/>
    <cellStyle name="Normal 10 4 2 2 2 3" xfId="14184"/>
    <cellStyle name="Normal 10 4 2 2 2 3 2" xfId="14185"/>
    <cellStyle name="Normal 10 4 2 2 2 4" xfId="14186"/>
    <cellStyle name="Normal 10 4 2 2 2 4 2" xfId="14187"/>
    <cellStyle name="Normal 10 4 2 2 2 5" xfId="14188"/>
    <cellStyle name="Normal 10 4 2 2 2 5 2" xfId="14189"/>
    <cellStyle name="Normal 10 4 2 2 2 6" xfId="14190"/>
    <cellStyle name="Normal 10 4 2 2 2 7" xfId="14191"/>
    <cellStyle name="Normal 10 4 2 2 2 8" xfId="14192"/>
    <cellStyle name="Normal 10 4 2 2 2 9" xfId="14193"/>
    <cellStyle name="Normal 10 4 2 2 3" xfId="14194"/>
    <cellStyle name="Normal 10 4 2 2 3 2" xfId="14195"/>
    <cellStyle name="Normal 10 4 2 2 3 2 2" xfId="14196"/>
    <cellStyle name="Normal 10 4 2 2 3 3" xfId="14197"/>
    <cellStyle name="Normal 10 4 2 2 3 4" xfId="14198"/>
    <cellStyle name="Normal 10 4 2 2 3 5" xfId="14199"/>
    <cellStyle name="Normal 10 4 2 2 4" xfId="14200"/>
    <cellStyle name="Normal 10 4 2 2 4 2" xfId="14201"/>
    <cellStyle name="Normal 10 4 2 2 5" xfId="14202"/>
    <cellStyle name="Normal 10 4 2 2 5 2" xfId="14203"/>
    <cellStyle name="Normal 10 4 2 2 6" xfId="14204"/>
    <cellStyle name="Normal 10 4 2 2 6 2" xfId="14205"/>
    <cellStyle name="Normal 10 4 2 2 7" xfId="14206"/>
    <cellStyle name="Normal 10 4 2 2 7 2" xfId="14207"/>
    <cellStyle name="Normal 10 4 2 2 8" xfId="14208"/>
    <cellStyle name="Normal 10 4 2 2 9" xfId="14209"/>
    <cellStyle name="Normal 10 4 2 20" xfId="14210"/>
    <cellStyle name="Normal 10 4 2 3" xfId="14211"/>
    <cellStyle name="Normal 10 4 2 3 10" xfId="14212"/>
    <cellStyle name="Normal 10 4 2 3 11" xfId="14213"/>
    <cellStyle name="Normal 10 4 2 3 12" xfId="14214"/>
    <cellStyle name="Normal 10 4 2 3 13" xfId="14215"/>
    <cellStyle name="Normal 10 4 2 3 14" xfId="14216"/>
    <cellStyle name="Normal 10 4 2 3 15" xfId="14217"/>
    <cellStyle name="Normal 10 4 2 3 16" xfId="14218"/>
    <cellStyle name="Normal 10 4 2 3 2" xfId="14219"/>
    <cellStyle name="Normal 10 4 2 3 2 2" xfId="14220"/>
    <cellStyle name="Normal 10 4 2 3 2 2 2" xfId="14221"/>
    <cellStyle name="Normal 10 4 2 3 2 3" xfId="14222"/>
    <cellStyle name="Normal 10 4 2 3 2 3 2" xfId="14223"/>
    <cellStyle name="Normal 10 4 2 3 2 4" xfId="14224"/>
    <cellStyle name="Normal 10 4 2 3 2 4 2" xfId="14225"/>
    <cellStyle name="Normal 10 4 2 3 2 5" xfId="14226"/>
    <cellStyle name="Normal 10 4 2 3 2 5 2" xfId="14227"/>
    <cellStyle name="Normal 10 4 2 3 2 6" xfId="14228"/>
    <cellStyle name="Normal 10 4 2 3 2 7" xfId="14229"/>
    <cellStyle name="Normal 10 4 2 3 2 8" xfId="14230"/>
    <cellStyle name="Normal 10 4 2 3 2 9" xfId="14231"/>
    <cellStyle name="Normal 10 4 2 3 3" xfId="14232"/>
    <cellStyle name="Normal 10 4 2 3 3 2" xfId="14233"/>
    <cellStyle name="Normal 10 4 2 3 3 2 2" xfId="14234"/>
    <cellStyle name="Normal 10 4 2 3 3 3" xfId="14235"/>
    <cellStyle name="Normal 10 4 2 3 3 4" xfId="14236"/>
    <cellStyle name="Normal 10 4 2 3 3 5" xfId="14237"/>
    <cellStyle name="Normal 10 4 2 3 4" xfId="14238"/>
    <cellStyle name="Normal 10 4 2 3 4 2" xfId="14239"/>
    <cellStyle name="Normal 10 4 2 3 5" xfId="14240"/>
    <cellStyle name="Normal 10 4 2 3 5 2" xfId="14241"/>
    <cellStyle name="Normal 10 4 2 3 6" xfId="14242"/>
    <cellStyle name="Normal 10 4 2 3 6 2" xfId="14243"/>
    <cellStyle name="Normal 10 4 2 3 7" xfId="14244"/>
    <cellStyle name="Normal 10 4 2 3 7 2" xfId="14245"/>
    <cellStyle name="Normal 10 4 2 3 8" xfId="14246"/>
    <cellStyle name="Normal 10 4 2 3 9" xfId="14247"/>
    <cellStyle name="Normal 10 4 2 4" xfId="14248"/>
    <cellStyle name="Normal 10 4 2 4 10" xfId="14249"/>
    <cellStyle name="Normal 10 4 2 4 11" xfId="14250"/>
    <cellStyle name="Normal 10 4 2 4 12" xfId="14251"/>
    <cellStyle name="Normal 10 4 2 4 13" xfId="14252"/>
    <cellStyle name="Normal 10 4 2 4 14" xfId="14253"/>
    <cellStyle name="Normal 10 4 2 4 15" xfId="14254"/>
    <cellStyle name="Normal 10 4 2 4 2" xfId="14255"/>
    <cellStyle name="Normal 10 4 2 4 2 2" xfId="14256"/>
    <cellStyle name="Normal 10 4 2 4 2 2 2" xfId="14257"/>
    <cellStyle name="Normal 10 4 2 4 2 3" xfId="14258"/>
    <cellStyle name="Normal 10 4 2 4 2 3 2" xfId="14259"/>
    <cellStyle name="Normal 10 4 2 4 2 4" xfId="14260"/>
    <cellStyle name="Normal 10 4 2 4 2 4 2" xfId="14261"/>
    <cellStyle name="Normal 10 4 2 4 2 5" xfId="14262"/>
    <cellStyle name="Normal 10 4 2 4 2 5 2" xfId="14263"/>
    <cellStyle name="Normal 10 4 2 4 2 6" xfId="14264"/>
    <cellStyle name="Normal 10 4 2 4 2 7" xfId="14265"/>
    <cellStyle name="Normal 10 4 2 4 2 8" xfId="14266"/>
    <cellStyle name="Normal 10 4 2 4 2 9" xfId="14267"/>
    <cellStyle name="Normal 10 4 2 4 3" xfId="14268"/>
    <cellStyle name="Normal 10 4 2 4 3 2" xfId="14269"/>
    <cellStyle name="Normal 10 4 2 4 3 2 2" xfId="14270"/>
    <cellStyle name="Normal 10 4 2 4 3 3" xfId="14271"/>
    <cellStyle name="Normal 10 4 2 4 3 4" xfId="14272"/>
    <cellStyle name="Normal 10 4 2 4 3 5" xfId="14273"/>
    <cellStyle name="Normal 10 4 2 4 4" xfId="14274"/>
    <cellStyle name="Normal 10 4 2 4 4 2" xfId="14275"/>
    <cellStyle name="Normal 10 4 2 4 5" xfId="14276"/>
    <cellStyle name="Normal 10 4 2 4 5 2" xfId="14277"/>
    <cellStyle name="Normal 10 4 2 4 6" xfId="14278"/>
    <cellStyle name="Normal 10 4 2 4 6 2" xfId="14279"/>
    <cellStyle name="Normal 10 4 2 4 7" xfId="14280"/>
    <cellStyle name="Normal 10 4 2 4 7 2" xfId="14281"/>
    <cellStyle name="Normal 10 4 2 4 8" xfId="14282"/>
    <cellStyle name="Normal 10 4 2 4 9" xfId="14283"/>
    <cellStyle name="Normal 10 4 2 5" xfId="14284"/>
    <cellStyle name="Normal 10 4 2 5 10" xfId="14285"/>
    <cellStyle name="Normal 10 4 2 5 11" xfId="14286"/>
    <cellStyle name="Normal 10 4 2 5 12" xfId="14287"/>
    <cellStyle name="Normal 10 4 2 5 13" xfId="14288"/>
    <cellStyle name="Normal 10 4 2 5 14" xfId="14289"/>
    <cellStyle name="Normal 10 4 2 5 2" xfId="14290"/>
    <cellStyle name="Normal 10 4 2 5 2 2" xfId="14291"/>
    <cellStyle name="Normal 10 4 2 5 2 2 2" xfId="14292"/>
    <cellStyle name="Normal 10 4 2 5 2 3" xfId="14293"/>
    <cellStyle name="Normal 10 4 2 5 2 3 2" xfId="14294"/>
    <cellStyle name="Normal 10 4 2 5 2 4" xfId="14295"/>
    <cellStyle name="Normal 10 4 2 5 2 4 2" xfId="14296"/>
    <cellStyle name="Normal 10 4 2 5 2 5" xfId="14297"/>
    <cellStyle name="Normal 10 4 2 5 2 5 2" xfId="14298"/>
    <cellStyle name="Normal 10 4 2 5 2 6" xfId="14299"/>
    <cellStyle name="Normal 10 4 2 5 2 7" xfId="14300"/>
    <cellStyle name="Normal 10 4 2 5 2 8" xfId="14301"/>
    <cellStyle name="Normal 10 4 2 5 2 9" xfId="14302"/>
    <cellStyle name="Normal 10 4 2 5 3" xfId="14303"/>
    <cellStyle name="Normal 10 4 2 5 3 2" xfId="14304"/>
    <cellStyle name="Normal 10 4 2 5 3 2 2" xfId="14305"/>
    <cellStyle name="Normal 10 4 2 5 3 3" xfId="14306"/>
    <cellStyle name="Normal 10 4 2 5 3 4" xfId="14307"/>
    <cellStyle name="Normal 10 4 2 5 3 5" xfId="14308"/>
    <cellStyle name="Normal 10 4 2 5 4" xfId="14309"/>
    <cellStyle name="Normal 10 4 2 5 4 2" xfId="14310"/>
    <cellStyle name="Normal 10 4 2 5 5" xfId="14311"/>
    <cellStyle name="Normal 10 4 2 5 5 2" xfId="14312"/>
    <cellStyle name="Normal 10 4 2 5 6" xfId="14313"/>
    <cellStyle name="Normal 10 4 2 5 6 2" xfId="14314"/>
    <cellStyle name="Normal 10 4 2 5 7" xfId="14315"/>
    <cellStyle name="Normal 10 4 2 5 7 2" xfId="14316"/>
    <cellStyle name="Normal 10 4 2 5 8" xfId="14317"/>
    <cellStyle name="Normal 10 4 2 5 9" xfId="14318"/>
    <cellStyle name="Normal 10 4 2 6" xfId="14319"/>
    <cellStyle name="Normal 10 4 2 6 2" xfId="14320"/>
    <cellStyle name="Normal 10 4 2 6 2 2" xfId="14321"/>
    <cellStyle name="Normal 10 4 2 6 3" xfId="14322"/>
    <cellStyle name="Normal 10 4 2 6 3 2" xfId="14323"/>
    <cellStyle name="Normal 10 4 2 6 4" xfId="14324"/>
    <cellStyle name="Normal 10 4 2 6 4 2" xfId="14325"/>
    <cellStyle name="Normal 10 4 2 6 5" xfId="14326"/>
    <cellStyle name="Normal 10 4 2 6 5 2" xfId="14327"/>
    <cellStyle name="Normal 10 4 2 6 6" xfId="14328"/>
    <cellStyle name="Normal 10 4 2 6 7" xfId="14329"/>
    <cellStyle name="Normal 10 4 2 6 8" xfId="14330"/>
    <cellStyle name="Normal 10 4 2 6 9" xfId="14331"/>
    <cellStyle name="Normal 10 4 2 7" xfId="14332"/>
    <cellStyle name="Normal 10 4 2 7 2" xfId="14333"/>
    <cellStyle name="Normal 10 4 2 7 2 2" xfId="14334"/>
    <cellStyle name="Normal 10 4 2 7 3" xfId="14335"/>
    <cellStyle name="Normal 10 4 2 7 4" xfId="14336"/>
    <cellStyle name="Normal 10 4 2 7 5" xfId="14337"/>
    <cellStyle name="Normal 10 4 2 8" xfId="14338"/>
    <cellStyle name="Normal 10 4 2 8 2" xfId="14339"/>
    <cellStyle name="Normal 10 4 2 9" xfId="14340"/>
    <cellStyle name="Normal 10 4 2 9 2" xfId="14341"/>
    <cellStyle name="Normal 10 4 20" xfId="14342"/>
    <cellStyle name="Normal 10 4 21" xfId="14343"/>
    <cellStyle name="Normal 10 4 22" xfId="14344"/>
    <cellStyle name="Normal 10 4 23" xfId="14345"/>
    <cellStyle name="Normal 10 4 24" xfId="14346"/>
    <cellStyle name="Normal 10 4 25" xfId="14347"/>
    <cellStyle name="Normal 10 4 3" xfId="14348"/>
    <cellStyle name="Normal 10 4 3 10" xfId="14349"/>
    <cellStyle name="Normal 10 4 3 11" xfId="14350"/>
    <cellStyle name="Normal 10 4 3 12" xfId="14351"/>
    <cellStyle name="Normal 10 4 3 13" xfId="14352"/>
    <cellStyle name="Normal 10 4 3 14" xfId="14353"/>
    <cellStyle name="Normal 10 4 3 15" xfId="14354"/>
    <cellStyle name="Normal 10 4 3 16" xfId="14355"/>
    <cellStyle name="Normal 10 4 3 17" xfId="14356"/>
    <cellStyle name="Normal 10 4 3 18" xfId="14357"/>
    <cellStyle name="Normal 10 4 3 2" xfId="14358"/>
    <cellStyle name="Normal 10 4 3 2 10" xfId="14359"/>
    <cellStyle name="Normal 10 4 3 2 11" xfId="14360"/>
    <cellStyle name="Normal 10 4 3 2 12" xfId="14361"/>
    <cellStyle name="Normal 10 4 3 2 13" xfId="14362"/>
    <cellStyle name="Normal 10 4 3 2 2" xfId="14363"/>
    <cellStyle name="Normal 10 4 3 2 2 2" xfId="14364"/>
    <cellStyle name="Normal 10 4 3 2 2 2 2" xfId="14365"/>
    <cellStyle name="Normal 10 4 3 2 2 3" xfId="14366"/>
    <cellStyle name="Normal 10 4 3 2 2 4" xfId="14367"/>
    <cellStyle name="Normal 10 4 3 2 2 5" xfId="14368"/>
    <cellStyle name="Normal 10 4 3 2 3" xfId="14369"/>
    <cellStyle name="Normal 10 4 3 2 3 2" xfId="14370"/>
    <cellStyle name="Normal 10 4 3 2 4" xfId="14371"/>
    <cellStyle name="Normal 10 4 3 2 4 2" xfId="14372"/>
    <cellStyle name="Normal 10 4 3 2 5" xfId="14373"/>
    <cellStyle name="Normal 10 4 3 2 5 2" xfId="14374"/>
    <cellStyle name="Normal 10 4 3 2 6" xfId="14375"/>
    <cellStyle name="Normal 10 4 3 2 6 2" xfId="14376"/>
    <cellStyle name="Normal 10 4 3 2 7" xfId="14377"/>
    <cellStyle name="Normal 10 4 3 2 8" xfId="14378"/>
    <cellStyle name="Normal 10 4 3 2 9" xfId="14379"/>
    <cellStyle name="Normal 10 4 3 3" xfId="14380"/>
    <cellStyle name="Normal 10 4 3 3 2" xfId="14381"/>
    <cellStyle name="Normal 10 4 3 3 2 2" xfId="14382"/>
    <cellStyle name="Normal 10 4 3 3 3" xfId="14383"/>
    <cellStyle name="Normal 10 4 3 3 4" xfId="14384"/>
    <cellStyle name="Normal 10 4 3 3 5" xfId="14385"/>
    <cellStyle name="Normal 10 4 3 4" xfId="14386"/>
    <cellStyle name="Normal 10 4 3 4 2" xfId="14387"/>
    <cellStyle name="Normal 10 4 3 5" xfId="14388"/>
    <cellStyle name="Normal 10 4 3 5 2" xfId="14389"/>
    <cellStyle name="Normal 10 4 3 6" xfId="14390"/>
    <cellStyle name="Normal 10 4 3 6 2" xfId="14391"/>
    <cellStyle name="Normal 10 4 3 7" xfId="14392"/>
    <cellStyle name="Normal 10 4 3 7 2" xfId="14393"/>
    <cellStyle name="Normal 10 4 3 8" xfId="14394"/>
    <cellStyle name="Normal 10 4 3 9" xfId="14395"/>
    <cellStyle name="Normal 10 4 4" xfId="14396"/>
    <cellStyle name="Normal 10 4 4 10" xfId="14397"/>
    <cellStyle name="Normal 10 4 4 11" xfId="14398"/>
    <cellStyle name="Normal 10 4 4 12" xfId="14399"/>
    <cellStyle name="Normal 10 4 4 13" xfId="14400"/>
    <cellStyle name="Normal 10 4 4 14" xfId="14401"/>
    <cellStyle name="Normal 10 4 4 15" xfId="14402"/>
    <cellStyle name="Normal 10 4 4 16" xfId="14403"/>
    <cellStyle name="Normal 10 4 4 17" xfId="14404"/>
    <cellStyle name="Normal 10 4 4 18" xfId="14405"/>
    <cellStyle name="Normal 10 4 4 2" xfId="14406"/>
    <cellStyle name="Normal 10 4 4 2 10" xfId="14407"/>
    <cellStyle name="Normal 10 4 4 2 11" xfId="14408"/>
    <cellStyle name="Normal 10 4 4 2 12" xfId="14409"/>
    <cellStyle name="Normal 10 4 4 2 13" xfId="14410"/>
    <cellStyle name="Normal 10 4 4 2 2" xfId="14411"/>
    <cellStyle name="Normal 10 4 4 2 2 2" xfId="14412"/>
    <cellStyle name="Normal 10 4 4 2 2 2 2" xfId="14413"/>
    <cellStyle name="Normal 10 4 4 2 2 3" xfId="14414"/>
    <cellStyle name="Normal 10 4 4 2 2 4" xfId="14415"/>
    <cellStyle name="Normal 10 4 4 2 2 5" xfId="14416"/>
    <cellStyle name="Normal 10 4 4 2 3" xfId="14417"/>
    <cellStyle name="Normal 10 4 4 2 3 2" xfId="14418"/>
    <cellStyle name="Normal 10 4 4 2 4" xfId="14419"/>
    <cellStyle name="Normal 10 4 4 2 4 2" xfId="14420"/>
    <cellStyle name="Normal 10 4 4 2 5" xfId="14421"/>
    <cellStyle name="Normal 10 4 4 2 5 2" xfId="14422"/>
    <cellStyle name="Normal 10 4 4 2 6" xfId="14423"/>
    <cellStyle name="Normal 10 4 4 2 6 2" xfId="14424"/>
    <cellStyle name="Normal 10 4 4 2 7" xfId="14425"/>
    <cellStyle name="Normal 10 4 4 2 8" xfId="14426"/>
    <cellStyle name="Normal 10 4 4 2 9" xfId="14427"/>
    <cellStyle name="Normal 10 4 4 3" xfId="14428"/>
    <cellStyle name="Normal 10 4 4 3 2" xfId="14429"/>
    <cellStyle name="Normal 10 4 4 3 2 2" xfId="14430"/>
    <cellStyle name="Normal 10 4 4 3 3" xfId="14431"/>
    <cellStyle name="Normal 10 4 4 3 4" xfId="14432"/>
    <cellStyle name="Normal 10 4 4 3 5" xfId="14433"/>
    <cellStyle name="Normal 10 4 4 4" xfId="14434"/>
    <cellStyle name="Normal 10 4 4 4 2" xfId="14435"/>
    <cellStyle name="Normal 10 4 4 5" xfId="14436"/>
    <cellStyle name="Normal 10 4 4 5 2" xfId="14437"/>
    <cellStyle name="Normal 10 4 4 6" xfId="14438"/>
    <cellStyle name="Normal 10 4 4 6 2" xfId="14439"/>
    <cellStyle name="Normal 10 4 4 7" xfId="14440"/>
    <cellStyle name="Normal 10 4 4 7 2" xfId="14441"/>
    <cellStyle name="Normal 10 4 4 8" xfId="14442"/>
    <cellStyle name="Normal 10 4 4 9" xfId="14443"/>
    <cellStyle name="Normal 10 4 5" xfId="14444"/>
    <cellStyle name="Normal 10 4 5 10" xfId="14445"/>
    <cellStyle name="Normal 10 4 5 11" xfId="14446"/>
    <cellStyle name="Normal 10 4 5 12" xfId="14447"/>
    <cellStyle name="Normal 10 4 5 13" xfId="14448"/>
    <cellStyle name="Normal 10 4 5 14" xfId="14449"/>
    <cellStyle name="Normal 10 4 5 15" xfId="14450"/>
    <cellStyle name="Normal 10 4 5 16" xfId="14451"/>
    <cellStyle name="Normal 10 4 5 17" xfId="14452"/>
    <cellStyle name="Normal 10 4 5 18" xfId="14453"/>
    <cellStyle name="Normal 10 4 5 2" xfId="14454"/>
    <cellStyle name="Normal 10 4 5 2 10" xfId="14455"/>
    <cellStyle name="Normal 10 4 5 2 11" xfId="14456"/>
    <cellStyle name="Normal 10 4 5 2 12" xfId="14457"/>
    <cellStyle name="Normal 10 4 5 2 13" xfId="14458"/>
    <cellStyle name="Normal 10 4 5 2 2" xfId="14459"/>
    <cellStyle name="Normal 10 4 5 2 2 2" xfId="14460"/>
    <cellStyle name="Normal 10 4 5 2 2 2 2" xfId="14461"/>
    <cellStyle name="Normal 10 4 5 2 2 3" xfId="14462"/>
    <cellStyle name="Normal 10 4 5 2 2 4" xfId="14463"/>
    <cellStyle name="Normal 10 4 5 2 2 5" xfId="14464"/>
    <cellStyle name="Normal 10 4 5 2 3" xfId="14465"/>
    <cellStyle name="Normal 10 4 5 2 3 2" xfId="14466"/>
    <cellStyle name="Normal 10 4 5 2 4" xfId="14467"/>
    <cellStyle name="Normal 10 4 5 2 4 2" xfId="14468"/>
    <cellStyle name="Normal 10 4 5 2 5" xfId="14469"/>
    <cellStyle name="Normal 10 4 5 2 5 2" xfId="14470"/>
    <cellStyle name="Normal 10 4 5 2 6" xfId="14471"/>
    <cellStyle name="Normal 10 4 5 2 6 2" xfId="14472"/>
    <cellStyle name="Normal 10 4 5 2 7" xfId="14473"/>
    <cellStyle name="Normal 10 4 5 2 8" xfId="14474"/>
    <cellStyle name="Normal 10 4 5 2 9" xfId="14475"/>
    <cellStyle name="Normal 10 4 5 3" xfId="14476"/>
    <cellStyle name="Normal 10 4 5 3 2" xfId="14477"/>
    <cellStyle name="Normal 10 4 5 3 2 2" xfId="14478"/>
    <cellStyle name="Normal 10 4 5 3 3" xfId="14479"/>
    <cellStyle name="Normal 10 4 5 3 4" xfId="14480"/>
    <cellStyle name="Normal 10 4 5 3 5" xfId="14481"/>
    <cellStyle name="Normal 10 4 5 4" xfId="14482"/>
    <cellStyle name="Normal 10 4 5 4 2" xfId="14483"/>
    <cellStyle name="Normal 10 4 5 5" xfId="14484"/>
    <cellStyle name="Normal 10 4 5 5 2" xfId="14485"/>
    <cellStyle name="Normal 10 4 5 6" xfId="14486"/>
    <cellStyle name="Normal 10 4 5 6 2" xfId="14487"/>
    <cellStyle name="Normal 10 4 5 7" xfId="14488"/>
    <cellStyle name="Normal 10 4 5 7 2" xfId="14489"/>
    <cellStyle name="Normal 10 4 5 8" xfId="14490"/>
    <cellStyle name="Normal 10 4 5 9" xfId="14491"/>
    <cellStyle name="Normal 10 4 6" xfId="14492"/>
    <cellStyle name="Normal 10 4 6 10" xfId="14493"/>
    <cellStyle name="Normal 10 4 6 11" xfId="14494"/>
    <cellStyle name="Normal 10 4 6 12" xfId="14495"/>
    <cellStyle name="Normal 10 4 6 13" xfId="14496"/>
    <cellStyle name="Normal 10 4 6 14" xfId="14497"/>
    <cellStyle name="Normal 10 4 6 15" xfId="14498"/>
    <cellStyle name="Normal 10 4 6 16" xfId="14499"/>
    <cellStyle name="Normal 10 4 6 17" xfId="14500"/>
    <cellStyle name="Normal 10 4 6 18" xfId="14501"/>
    <cellStyle name="Normal 10 4 6 2" xfId="14502"/>
    <cellStyle name="Normal 10 4 6 2 10" xfId="14503"/>
    <cellStyle name="Normal 10 4 6 2 11" xfId="14504"/>
    <cellStyle name="Normal 10 4 6 2 12" xfId="14505"/>
    <cellStyle name="Normal 10 4 6 2 13" xfId="14506"/>
    <cellStyle name="Normal 10 4 6 2 2" xfId="14507"/>
    <cellStyle name="Normal 10 4 6 2 2 2" xfId="14508"/>
    <cellStyle name="Normal 10 4 6 2 2 2 2" xfId="14509"/>
    <cellStyle name="Normal 10 4 6 2 2 3" xfId="14510"/>
    <cellStyle name="Normal 10 4 6 2 2 4" xfId="14511"/>
    <cellStyle name="Normal 10 4 6 2 2 5" xfId="14512"/>
    <cellStyle name="Normal 10 4 6 2 3" xfId="14513"/>
    <cellStyle name="Normal 10 4 6 2 3 2" xfId="14514"/>
    <cellStyle name="Normal 10 4 6 2 4" xfId="14515"/>
    <cellStyle name="Normal 10 4 6 2 4 2" xfId="14516"/>
    <cellStyle name="Normal 10 4 6 2 5" xfId="14517"/>
    <cellStyle name="Normal 10 4 6 2 5 2" xfId="14518"/>
    <cellStyle name="Normal 10 4 6 2 6" xfId="14519"/>
    <cellStyle name="Normal 10 4 6 2 6 2" xfId="14520"/>
    <cellStyle name="Normal 10 4 6 2 7" xfId="14521"/>
    <cellStyle name="Normal 10 4 6 2 8" xfId="14522"/>
    <cellStyle name="Normal 10 4 6 2 9" xfId="14523"/>
    <cellStyle name="Normal 10 4 6 3" xfId="14524"/>
    <cellStyle name="Normal 10 4 6 3 2" xfId="14525"/>
    <cellStyle name="Normal 10 4 6 3 2 2" xfId="14526"/>
    <cellStyle name="Normal 10 4 6 3 3" xfId="14527"/>
    <cellStyle name="Normal 10 4 6 3 4" xfId="14528"/>
    <cellStyle name="Normal 10 4 6 3 5" xfId="14529"/>
    <cellStyle name="Normal 10 4 6 4" xfId="14530"/>
    <cellStyle name="Normal 10 4 6 4 2" xfId="14531"/>
    <cellStyle name="Normal 10 4 6 5" xfId="14532"/>
    <cellStyle name="Normal 10 4 6 5 2" xfId="14533"/>
    <cellStyle name="Normal 10 4 6 6" xfId="14534"/>
    <cellStyle name="Normal 10 4 6 6 2" xfId="14535"/>
    <cellStyle name="Normal 10 4 6 7" xfId="14536"/>
    <cellStyle name="Normal 10 4 6 7 2" xfId="14537"/>
    <cellStyle name="Normal 10 4 6 8" xfId="14538"/>
    <cellStyle name="Normal 10 4 6 9" xfId="14539"/>
    <cellStyle name="Normal 10 4 7" xfId="14540"/>
    <cellStyle name="Normal 10 4 7 10" xfId="14541"/>
    <cellStyle name="Normal 10 4 7 11" xfId="14542"/>
    <cellStyle name="Normal 10 4 7 12" xfId="14543"/>
    <cellStyle name="Normal 10 4 7 13" xfId="14544"/>
    <cellStyle name="Normal 10 4 7 14" xfId="14545"/>
    <cellStyle name="Normal 10 4 7 15" xfId="14546"/>
    <cellStyle name="Normal 10 4 7 16" xfId="14547"/>
    <cellStyle name="Normal 10 4 7 17" xfId="14548"/>
    <cellStyle name="Normal 10 4 7 18" xfId="14549"/>
    <cellStyle name="Normal 10 4 7 2" xfId="14550"/>
    <cellStyle name="Normal 10 4 7 2 10" xfId="14551"/>
    <cellStyle name="Normal 10 4 7 2 11" xfId="14552"/>
    <cellStyle name="Normal 10 4 7 2 12" xfId="14553"/>
    <cellStyle name="Normal 10 4 7 2 13" xfId="14554"/>
    <cellStyle name="Normal 10 4 7 2 2" xfId="14555"/>
    <cellStyle name="Normal 10 4 7 2 2 2" xfId="14556"/>
    <cellStyle name="Normal 10 4 7 2 2 2 2" xfId="14557"/>
    <cellStyle name="Normal 10 4 7 2 2 3" xfId="14558"/>
    <cellStyle name="Normal 10 4 7 2 2 4" xfId="14559"/>
    <cellStyle name="Normal 10 4 7 2 2 5" xfId="14560"/>
    <cellStyle name="Normal 10 4 7 2 3" xfId="14561"/>
    <cellStyle name="Normal 10 4 7 2 3 2" xfId="14562"/>
    <cellStyle name="Normal 10 4 7 2 4" xfId="14563"/>
    <cellStyle name="Normal 10 4 7 2 4 2" xfId="14564"/>
    <cellStyle name="Normal 10 4 7 2 5" xfId="14565"/>
    <cellStyle name="Normal 10 4 7 2 5 2" xfId="14566"/>
    <cellStyle name="Normal 10 4 7 2 6" xfId="14567"/>
    <cellStyle name="Normal 10 4 7 2 6 2" xfId="14568"/>
    <cellStyle name="Normal 10 4 7 2 7" xfId="14569"/>
    <cellStyle name="Normal 10 4 7 2 8" xfId="14570"/>
    <cellStyle name="Normal 10 4 7 2 9" xfId="14571"/>
    <cellStyle name="Normal 10 4 7 3" xfId="14572"/>
    <cellStyle name="Normal 10 4 7 3 2" xfId="14573"/>
    <cellStyle name="Normal 10 4 7 3 2 2" xfId="14574"/>
    <cellStyle name="Normal 10 4 7 3 3" xfId="14575"/>
    <cellStyle name="Normal 10 4 7 3 4" xfId="14576"/>
    <cellStyle name="Normal 10 4 7 3 5" xfId="14577"/>
    <cellStyle name="Normal 10 4 7 4" xfId="14578"/>
    <cellStyle name="Normal 10 4 7 4 2" xfId="14579"/>
    <cellStyle name="Normal 10 4 7 5" xfId="14580"/>
    <cellStyle name="Normal 10 4 7 5 2" xfId="14581"/>
    <cellStyle name="Normal 10 4 7 6" xfId="14582"/>
    <cellStyle name="Normal 10 4 7 6 2" xfId="14583"/>
    <cellStyle name="Normal 10 4 7 7" xfId="14584"/>
    <cellStyle name="Normal 10 4 7 7 2" xfId="14585"/>
    <cellStyle name="Normal 10 4 7 8" xfId="14586"/>
    <cellStyle name="Normal 10 4 7 9" xfId="14587"/>
    <cellStyle name="Normal 10 4 8" xfId="14588"/>
    <cellStyle name="Normal 10 4 8 10" xfId="14589"/>
    <cellStyle name="Normal 10 4 8 11" xfId="14590"/>
    <cellStyle name="Normal 10 4 8 12" xfId="14591"/>
    <cellStyle name="Normal 10 4 8 13" xfId="14592"/>
    <cellStyle name="Normal 10 4 8 14" xfId="14593"/>
    <cellStyle name="Normal 10 4 8 15" xfId="14594"/>
    <cellStyle name="Normal 10 4 8 16" xfId="14595"/>
    <cellStyle name="Normal 10 4 8 2" xfId="14596"/>
    <cellStyle name="Normal 10 4 8 2 2" xfId="14597"/>
    <cellStyle name="Normal 10 4 8 2 2 2" xfId="14598"/>
    <cellStyle name="Normal 10 4 8 2 3" xfId="14599"/>
    <cellStyle name="Normal 10 4 8 2 3 2" xfId="14600"/>
    <cellStyle name="Normal 10 4 8 2 4" xfId="14601"/>
    <cellStyle name="Normal 10 4 8 2 4 2" xfId="14602"/>
    <cellStyle name="Normal 10 4 8 2 5" xfId="14603"/>
    <cellStyle name="Normal 10 4 8 2 5 2" xfId="14604"/>
    <cellStyle name="Normal 10 4 8 2 6" xfId="14605"/>
    <cellStyle name="Normal 10 4 8 2 7" xfId="14606"/>
    <cellStyle name="Normal 10 4 8 2 8" xfId="14607"/>
    <cellStyle name="Normal 10 4 8 2 9" xfId="14608"/>
    <cellStyle name="Normal 10 4 8 3" xfId="14609"/>
    <cellStyle name="Normal 10 4 8 3 2" xfId="14610"/>
    <cellStyle name="Normal 10 4 8 3 2 2" xfId="14611"/>
    <cellStyle name="Normal 10 4 8 3 3" xfId="14612"/>
    <cellStyle name="Normal 10 4 8 3 4" xfId="14613"/>
    <cellStyle name="Normal 10 4 8 3 5" xfId="14614"/>
    <cellStyle name="Normal 10 4 8 4" xfId="14615"/>
    <cellStyle name="Normal 10 4 8 4 2" xfId="14616"/>
    <cellStyle name="Normal 10 4 8 5" xfId="14617"/>
    <cellStyle name="Normal 10 4 8 5 2" xfId="14618"/>
    <cellStyle name="Normal 10 4 8 6" xfId="14619"/>
    <cellStyle name="Normal 10 4 8 6 2" xfId="14620"/>
    <cellStyle name="Normal 10 4 8 7" xfId="14621"/>
    <cellStyle name="Normal 10 4 8 7 2" xfId="14622"/>
    <cellStyle name="Normal 10 4 8 8" xfId="14623"/>
    <cellStyle name="Normal 10 4 8 9" xfId="14624"/>
    <cellStyle name="Normal 10 4 9" xfId="14625"/>
    <cellStyle name="Normal 10 4 9 10" xfId="14626"/>
    <cellStyle name="Normal 10 4 9 11" xfId="14627"/>
    <cellStyle name="Normal 10 4 9 12" xfId="14628"/>
    <cellStyle name="Normal 10 4 9 13" xfId="14629"/>
    <cellStyle name="Normal 10 4 9 14" xfId="14630"/>
    <cellStyle name="Normal 10 4 9 15" xfId="14631"/>
    <cellStyle name="Normal 10 4 9 2" xfId="14632"/>
    <cellStyle name="Normal 10 4 9 2 2" xfId="14633"/>
    <cellStyle name="Normal 10 4 9 2 2 2" xfId="14634"/>
    <cellStyle name="Normal 10 4 9 2 3" xfId="14635"/>
    <cellStyle name="Normal 10 4 9 2 3 2" xfId="14636"/>
    <cellStyle name="Normal 10 4 9 2 4" xfId="14637"/>
    <cellStyle name="Normal 10 4 9 2 4 2" xfId="14638"/>
    <cellStyle name="Normal 10 4 9 2 5" xfId="14639"/>
    <cellStyle name="Normal 10 4 9 2 5 2" xfId="14640"/>
    <cellStyle name="Normal 10 4 9 2 6" xfId="14641"/>
    <cellStyle name="Normal 10 4 9 2 7" xfId="14642"/>
    <cellStyle name="Normal 10 4 9 2 8" xfId="14643"/>
    <cellStyle name="Normal 10 4 9 2 9" xfId="14644"/>
    <cellStyle name="Normal 10 4 9 3" xfId="14645"/>
    <cellStyle name="Normal 10 4 9 3 2" xfId="14646"/>
    <cellStyle name="Normal 10 4 9 3 2 2" xfId="14647"/>
    <cellStyle name="Normal 10 4 9 3 3" xfId="14648"/>
    <cellStyle name="Normal 10 4 9 3 4" xfId="14649"/>
    <cellStyle name="Normal 10 4 9 3 5" xfId="14650"/>
    <cellStyle name="Normal 10 4 9 4" xfId="14651"/>
    <cellStyle name="Normal 10 4 9 4 2" xfId="14652"/>
    <cellStyle name="Normal 10 4 9 5" xfId="14653"/>
    <cellStyle name="Normal 10 4 9 5 2" xfId="14654"/>
    <cellStyle name="Normal 10 4 9 6" xfId="14655"/>
    <cellStyle name="Normal 10 4 9 6 2" xfId="14656"/>
    <cellStyle name="Normal 10 4 9 7" xfId="14657"/>
    <cellStyle name="Normal 10 4 9 7 2" xfId="14658"/>
    <cellStyle name="Normal 10 4 9 8" xfId="14659"/>
    <cellStyle name="Normal 10 4 9 9" xfId="14660"/>
    <cellStyle name="Normal 10 5" xfId="12095"/>
    <cellStyle name="Normal 10 5 10" xfId="14661"/>
    <cellStyle name="Normal 10 5 10 10" xfId="14662"/>
    <cellStyle name="Normal 10 5 10 11" xfId="14663"/>
    <cellStyle name="Normal 10 5 10 12" xfId="14664"/>
    <cellStyle name="Normal 10 5 10 13" xfId="14665"/>
    <cellStyle name="Normal 10 5 10 14" xfId="14666"/>
    <cellStyle name="Normal 10 5 10 2" xfId="14667"/>
    <cellStyle name="Normal 10 5 10 2 2" xfId="14668"/>
    <cellStyle name="Normal 10 5 10 2 2 2" xfId="14669"/>
    <cellStyle name="Normal 10 5 10 2 3" xfId="14670"/>
    <cellStyle name="Normal 10 5 10 2 3 2" xfId="14671"/>
    <cellStyle name="Normal 10 5 10 2 4" xfId="14672"/>
    <cellStyle name="Normal 10 5 10 2 4 2" xfId="14673"/>
    <cellStyle name="Normal 10 5 10 2 5" xfId="14674"/>
    <cellStyle name="Normal 10 5 10 2 5 2" xfId="14675"/>
    <cellStyle name="Normal 10 5 10 2 6" xfId="14676"/>
    <cellStyle name="Normal 10 5 10 2 7" xfId="14677"/>
    <cellStyle name="Normal 10 5 10 2 8" xfId="14678"/>
    <cellStyle name="Normal 10 5 10 2 9" xfId="14679"/>
    <cellStyle name="Normal 10 5 10 3" xfId="14680"/>
    <cellStyle name="Normal 10 5 10 3 2" xfId="14681"/>
    <cellStyle name="Normal 10 5 10 3 2 2" xfId="14682"/>
    <cellStyle name="Normal 10 5 10 3 3" xfId="14683"/>
    <cellStyle name="Normal 10 5 10 3 4" xfId="14684"/>
    <cellStyle name="Normal 10 5 10 3 5" xfId="14685"/>
    <cellStyle name="Normal 10 5 10 4" xfId="14686"/>
    <cellStyle name="Normal 10 5 10 4 2" xfId="14687"/>
    <cellStyle name="Normal 10 5 10 5" xfId="14688"/>
    <cellStyle name="Normal 10 5 10 5 2" xfId="14689"/>
    <cellStyle name="Normal 10 5 10 6" xfId="14690"/>
    <cellStyle name="Normal 10 5 10 6 2" xfId="14691"/>
    <cellStyle name="Normal 10 5 10 7" xfId="14692"/>
    <cellStyle name="Normal 10 5 10 7 2" xfId="14693"/>
    <cellStyle name="Normal 10 5 10 8" xfId="14694"/>
    <cellStyle name="Normal 10 5 10 9" xfId="14695"/>
    <cellStyle name="Normal 10 5 11" xfId="14696"/>
    <cellStyle name="Normal 10 5 11 2" xfId="14697"/>
    <cellStyle name="Normal 10 5 11 2 2" xfId="14698"/>
    <cellStyle name="Normal 10 5 11 3" xfId="14699"/>
    <cellStyle name="Normal 10 5 11 3 2" xfId="14700"/>
    <cellStyle name="Normal 10 5 11 4" xfId="14701"/>
    <cellStyle name="Normal 10 5 11 4 2" xfId="14702"/>
    <cellStyle name="Normal 10 5 11 5" xfId="14703"/>
    <cellStyle name="Normal 10 5 11 5 2" xfId="14704"/>
    <cellStyle name="Normal 10 5 11 6" xfId="14705"/>
    <cellStyle name="Normal 10 5 11 7" xfId="14706"/>
    <cellStyle name="Normal 10 5 11 8" xfId="14707"/>
    <cellStyle name="Normal 10 5 11 9" xfId="14708"/>
    <cellStyle name="Normal 10 5 12" xfId="14709"/>
    <cellStyle name="Normal 10 5 12 2" xfId="14710"/>
    <cellStyle name="Normal 10 5 12 2 2" xfId="14711"/>
    <cellStyle name="Normal 10 5 12 3" xfId="14712"/>
    <cellStyle name="Normal 10 5 12 4" xfId="14713"/>
    <cellStyle name="Normal 10 5 12 5" xfId="14714"/>
    <cellStyle name="Normal 10 5 13" xfId="14715"/>
    <cellStyle name="Normal 10 5 13 2" xfId="14716"/>
    <cellStyle name="Normal 10 5 14" xfId="14717"/>
    <cellStyle name="Normal 10 5 14 2" xfId="14718"/>
    <cellStyle name="Normal 10 5 15" xfId="14719"/>
    <cellStyle name="Normal 10 5 15 2" xfId="14720"/>
    <cellStyle name="Normal 10 5 16" xfId="14721"/>
    <cellStyle name="Normal 10 5 16 2" xfId="14722"/>
    <cellStyle name="Normal 10 5 17" xfId="14723"/>
    <cellStyle name="Normal 10 5 18" xfId="14724"/>
    <cellStyle name="Normal 10 5 19" xfId="14725"/>
    <cellStyle name="Normal 10 5 2" xfId="14726"/>
    <cellStyle name="Normal 10 5 2 10" xfId="14727"/>
    <cellStyle name="Normal 10 5 2 10 2" xfId="14728"/>
    <cellStyle name="Normal 10 5 2 11" xfId="14729"/>
    <cellStyle name="Normal 10 5 2 11 2" xfId="14730"/>
    <cellStyle name="Normal 10 5 2 12" xfId="14731"/>
    <cellStyle name="Normal 10 5 2 13" xfId="14732"/>
    <cellStyle name="Normal 10 5 2 14" xfId="14733"/>
    <cellStyle name="Normal 10 5 2 15" xfId="14734"/>
    <cellStyle name="Normal 10 5 2 16" xfId="14735"/>
    <cellStyle name="Normal 10 5 2 17" xfId="14736"/>
    <cellStyle name="Normal 10 5 2 18" xfId="14737"/>
    <cellStyle name="Normal 10 5 2 19" xfId="14738"/>
    <cellStyle name="Normal 10 5 2 2" xfId="14739"/>
    <cellStyle name="Normal 10 5 2 2 10" xfId="14740"/>
    <cellStyle name="Normal 10 5 2 2 11" xfId="14741"/>
    <cellStyle name="Normal 10 5 2 2 12" xfId="14742"/>
    <cellStyle name="Normal 10 5 2 2 13" xfId="14743"/>
    <cellStyle name="Normal 10 5 2 2 14" xfId="14744"/>
    <cellStyle name="Normal 10 5 2 2 15" xfId="14745"/>
    <cellStyle name="Normal 10 5 2 2 16" xfId="14746"/>
    <cellStyle name="Normal 10 5 2 2 2" xfId="14747"/>
    <cellStyle name="Normal 10 5 2 2 2 2" xfId="14748"/>
    <cellStyle name="Normal 10 5 2 2 2 2 2" xfId="14749"/>
    <cellStyle name="Normal 10 5 2 2 2 3" xfId="14750"/>
    <cellStyle name="Normal 10 5 2 2 2 3 2" xfId="14751"/>
    <cellStyle name="Normal 10 5 2 2 2 4" xfId="14752"/>
    <cellStyle name="Normal 10 5 2 2 2 4 2" xfId="14753"/>
    <cellStyle name="Normal 10 5 2 2 2 5" xfId="14754"/>
    <cellStyle name="Normal 10 5 2 2 2 5 2" xfId="14755"/>
    <cellStyle name="Normal 10 5 2 2 2 6" xfId="14756"/>
    <cellStyle name="Normal 10 5 2 2 2 7" xfId="14757"/>
    <cellStyle name="Normal 10 5 2 2 2 8" xfId="14758"/>
    <cellStyle name="Normal 10 5 2 2 2 9" xfId="14759"/>
    <cellStyle name="Normal 10 5 2 2 3" xfId="14760"/>
    <cellStyle name="Normal 10 5 2 2 3 2" xfId="14761"/>
    <cellStyle name="Normal 10 5 2 2 3 2 2" xfId="14762"/>
    <cellStyle name="Normal 10 5 2 2 3 3" xfId="14763"/>
    <cellStyle name="Normal 10 5 2 2 3 4" xfId="14764"/>
    <cellStyle name="Normal 10 5 2 2 3 5" xfId="14765"/>
    <cellStyle name="Normal 10 5 2 2 4" xfId="14766"/>
    <cellStyle name="Normal 10 5 2 2 4 2" xfId="14767"/>
    <cellStyle name="Normal 10 5 2 2 5" xfId="14768"/>
    <cellStyle name="Normal 10 5 2 2 5 2" xfId="14769"/>
    <cellStyle name="Normal 10 5 2 2 6" xfId="14770"/>
    <cellStyle name="Normal 10 5 2 2 6 2" xfId="14771"/>
    <cellStyle name="Normal 10 5 2 2 7" xfId="14772"/>
    <cellStyle name="Normal 10 5 2 2 7 2" xfId="14773"/>
    <cellStyle name="Normal 10 5 2 2 8" xfId="14774"/>
    <cellStyle name="Normal 10 5 2 2 9" xfId="14775"/>
    <cellStyle name="Normal 10 5 2 20" xfId="14776"/>
    <cellStyle name="Normal 10 5 2 3" xfId="14777"/>
    <cellStyle name="Normal 10 5 2 3 10" xfId="14778"/>
    <cellStyle name="Normal 10 5 2 3 11" xfId="14779"/>
    <cellStyle name="Normal 10 5 2 3 12" xfId="14780"/>
    <cellStyle name="Normal 10 5 2 3 13" xfId="14781"/>
    <cellStyle name="Normal 10 5 2 3 14" xfId="14782"/>
    <cellStyle name="Normal 10 5 2 3 15" xfId="14783"/>
    <cellStyle name="Normal 10 5 2 3 16" xfId="14784"/>
    <cellStyle name="Normal 10 5 2 3 2" xfId="14785"/>
    <cellStyle name="Normal 10 5 2 3 2 2" xfId="14786"/>
    <cellStyle name="Normal 10 5 2 3 2 2 2" xfId="14787"/>
    <cellStyle name="Normal 10 5 2 3 2 3" xfId="14788"/>
    <cellStyle name="Normal 10 5 2 3 2 3 2" xfId="14789"/>
    <cellStyle name="Normal 10 5 2 3 2 4" xfId="14790"/>
    <cellStyle name="Normal 10 5 2 3 2 4 2" xfId="14791"/>
    <cellStyle name="Normal 10 5 2 3 2 5" xfId="14792"/>
    <cellStyle name="Normal 10 5 2 3 2 5 2" xfId="14793"/>
    <cellStyle name="Normal 10 5 2 3 2 6" xfId="14794"/>
    <cellStyle name="Normal 10 5 2 3 2 7" xfId="14795"/>
    <cellStyle name="Normal 10 5 2 3 2 8" xfId="14796"/>
    <cellStyle name="Normal 10 5 2 3 2 9" xfId="14797"/>
    <cellStyle name="Normal 10 5 2 3 3" xfId="14798"/>
    <cellStyle name="Normal 10 5 2 3 3 2" xfId="14799"/>
    <cellStyle name="Normal 10 5 2 3 3 2 2" xfId="14800"/>
    <cellStyle name="Normal 10 5 2 3 3 3" xfId="14801"/>
    <cellStyle name="Normal 10 5 2 3 3 4" xfId="14802"/>
    <cellStyle name="Normal 10 5 2 3 3 5" xfId="14803"/>
    <cellStyle name="Normal 10 5 2 3 4" xfId="14804"/>
    <cellStyle name="Normal 10 5 2 3 4 2" xfId="14805"/>
    <cellStyle name="Normal 10 5 2 3 5" xfId="14806"/>
    <cellStyle name="Normal 10 5 2 3 5 2" xfId="14807"/>
    <cellStyle name="Normal 10 5 2 3 6" xfId="14808"/>
    <cellStyle name="Normal 10 5 2 3 6 2" xfId="14809"/>
    <cellStyle name="Normal 10 5 2 3 7" xfId="14810"/>
    <cellStyle name="Normal 10 5 2 3 7 2" xfId="14811"/>
    <cellStyle name="Normal 10 5 2 3 8" xfId="14812"/>
    <cellStyle name="Normal 10 5 2 3 9" xfId="14813"/>
    <cellStyle name="Normal 10 5 2 4" xfId="14814"/>
    <cellStyle name="Normal 10 5 2 4 10" xfId="14815"/>
    <cellStyle name="Normal 10 5 2 4 11" xfId="14816"/>
    <cellStyle name="Normal 10 5 2 4 12" xfId="14817"/>
    <cellStyle name="Normal 10 5 2 4 13" xfId="14818"/>
    <cellStyle name="Normal 10 5 2 4 14" xfId="14819"/>
    <cellStyle name="Normal 10 5 2 4 15" xfId="14820"/>
    <cellStyle name="Normal 10 5 2 4 2" xfId="14821"/>
    <cellStyle name="Normal 10 5 2 4 2 2" xfId="14822"/>
    <cellStyle name="Normal 10 5 2 4 2 2 2" xfId="14823"/>
    <cellStyle name="Normal 10 5 2 4 2 3" xfId="14824"/>
    <cellStyle name="Normal 10 5 2 4 2 3 2" xfId="14825"/>
    <cellStyle name="Normal 10 5 2 4 2 4" xfId="14826"/>
    <cellStyle name="Normal 10 5 2 4 2 4 2" xfId="14827"/>
    <cellStyle name="Normal 10 5 2 4 2 5" xfId="14828"/>
    <cellStyle name="Normal 10 5 2 4 2 5 2" xfId="14829"/>
    <cellStyle name="Normal 10 5 2 4 2 6" xfId="14830"/>
    <cellStyle name="Normal 10 5 2 4 2 7" xfId="14831"/>
    <cellStyle name="Normal 10 5 2 4 2 8" xfId="14832"/>
    <cellStyle name="Normal 10 5 2 4 2 9" xfId="14833"/>
    <cellStyle name="Normal 10 5 2 4 3" xfId="14834"/>
    <cellStyle name="Normal 10 5 2 4 3 2" xfId="14835"/>
    <cellStyle name="Normal 10 5 2 4 3 2 2" xfId="14836"/>
    <cellStyle name="Normal 10 5 2 4 3 3" xfId="14837"/>
    <cellStyle name="Normal 10 5 2 4 3 4" xfId="14838"/>
    <cellStyle name="Normal 10 5 2 4 3 5" xfId="14839"/>
    <cellStyle name="Normal 10 5 2 4 4" xfId="14840"/>
    <cellStyle name="Normal 10 5 2 4 4 2" xfId="14841"/>
    <cellStyle name="Normal 10 5 2 4 5" xfId="14842"/>
    <cellStyle name="Normal 10 5 2 4 5 2" xfId="14843"/>
    <cellStyle name="Normal 10 5 2 4 6" xfId="14844"/>
    <cellStyle name="Normal 10 5 2 4 6 2" xfId="14845"/>
    <cellStyle name="Normal 10 5 2 4 7" xfId="14846"/>
    <cellStyle name="Normal 10 5 2 4 7 2" xfId="14847"/>
    <cellStyle name="Normal 10 5 2 4 8" xfId="14848"/>
    <cellStyle name="Normal 10 5 2 4 9" xfId="14849"/>
    <cellStyle name="Normal 10 5 2 5" xfId="14850"/>
    <cellStyle name="Normal 10 5 2 5 10" xfId="14851"/>
    <cellStyle name="Normal 10 5 2 5 11" xfId="14852"/>
    <cellStyle name="Normal 10 5 2 5 12" xfId="14853"/>
    <cellStyle name="Normal 10 5 2 5 13" xfId="14854"/>
    <cellStyle name="Normal 10 5 2 5 14" xfId="14855"/>
    <cellStyle name="Normal 10 5 2 5 2" xfId="14856"/>
    <cellStyle name="Normal 10 5 2 5 2 2" xfId="14857"/>
    <cellStyle name="Normal 10 5 2 5 2 2 2" xfId="14858"/>
    <cellStyle name="Normal 10 5 2 5 2 3" xfId="14859"/>
    <cellStyle name="Normal 10 5 2 5 2 3 2" xfId="14860"/>
    <cellStyle name="Normal 10 5 2 5 2 4" xfId="14861"/>
    <cellStyle name="Normal 10 5 2 5 2 4 2" xfId="14862"/>
    <cellStyle name="Normal 10 5 2 5 2 5" xfId="14863"/>
    <cellStyle name="Normal 10 5 2 5 2 5 2" xfId="14864"/>
    <cellStyle name="Normal 10 5 2 5 2 6" xfId="14865"/>
    <cellStyle name="Normal 10 5 2 5 2 7" xfId="14866"/>
    <cellStyle name="Normal 10 5 2 5 2 8" xfId="14867"/>
    <cellStyle name="Normal 10 5 2 5 2 9" xfId="14868"/>
    <cellStyle name="Normal 10 5 2 5 3" xfId="14869"/>
    <cellStyle name="Normal 10 5 2 5 3 2" xfId="14870"/>
    <cellStyle name="Normal 10 5 2 5 3 2 2" xfId="14871"/>
    <cellStyle name="Normal 10 5 2 5 3 3" xfId="14872"/>
    <cellStyle name="Normal 10 5 2 5 3 4" xfId="14873"/>
    <cellStyle name="Normal 10 5 2 5 3 5" xfId="14874"/>
    <cellStyle name="Normal 10 5 2 5 4" xfId="14875"/>
    <cellStyle name="Normal 10 5 2 5 4 2" xfId="14876"/>
    <cellStyle name="Normal 10 5 2 5 5" xfId="14877"/>
    <cellStyle name="Normal 10 5 2 5 5 2" xfId="14878"/>
    <cellStyle name="Normal 10 5 2 5 6" xfId="14879"/>
    <cellStyle name="Normal 10 5 2 5 6 2" xfId="14880"/>
    <cellStyle name="Normal 10 5 2 5 7" xfId="14881"/>
    <cellStyle name="Normal 10 5 2 5 7 2" xfId="14882"/>
    <cellStyle name="Normal 10 5 2 5 8" xfId="14883"/>
    <cellStyle name="Normal 10 5 2 5 9" xfId="14884"/>
    <cellStyle name="Normal 10 5 2 6" xfId="14885"/>
    <cellStyle name="Normal 10 5 2 6 2" xfId="14886"/>
    <cellStyle name="Normal 10 5 2 6 2 2" xfId="14887"/>
    <cellStyle name="Normal 10 5 2 6 3" xfId="14888"/>
    <cellStyle name="Normal 10 5 2 6 3 2" xfId="14889"/>
    <cellStyle name="Normal 10 5 2 6 4" xfId="14890"/>
    <cellStyle name="Normal 10 5 2 6 4 2" xfId="14891"/>
    <cellStyle name="Normal 10 5 2 6 5" xfId="14892"/>
    <cellStyle name="Normal 10 5 2 6 5 2" xfId="14893"/>
    <cellStyle name="Normal 10 5 2 6 6" xfId="14894"/>
    <cellStyle name="Normal 10 5 2 6 7" xfId="14895"/>
    <cellStyle name="Normal 10 5 2 6 8" xfId="14896"/>
    <cellStyle name="Normal 10 5 2 6 9" xfId="14897"/>
    <cellStyle name="Normal 10 5 2 7" xfId="14898"/>
    <cellStyle name="Normal 10 5 2 7 2" xfId="14899"/>
    <cellStyle name="Normal 10 5 2 7 2 2" xfId="14900"/>
    <cellStyle name="Normal 10 5 2 7 3" xfId="14901"/>
    <cellStyle name="Normal 10 5 2 7 4" xfId="14902"/>
    <cellStyle name="Normal 10 5 2 7 5" xfId="14903"/>
    <cellStyle name="Normal 10 5 2 8" xfId="14904"/>
    <cellStyle name="Normal 10 5 2 8 2" xfId="14905"/>
    <cellStyle name="Normal 10 5 2 9" xfId="14906"/>
    <cellStyle name="Normal 10 5 2 9 2" xfId="14907"/>
    <cellStyle name="Normal 10 5 20" xfId="14908"/>
    <cellStyle name="Normal 10 5 21" xfId="14909"/>
    <cellStyle name="Normal 10 5 22" xfId="14910"/>
    <cellStyle name="Normal 10 5 23" xfId="14911"/>
    <cellStyle name="Normal 10 5 24" xfId="14912"/>
    <cellStyle name="Normal 10 5 25" xfId="14913"/>
    <cellStyle name="Normal 10 5 3" xfId="14914"/>
    <cellStyle name="Normal 10 5 3 10" xfId="14915"/>
    <cellStyle name="Normal 10 5 3 11" xfId="14916"/>
    <cellStyle name="Normal 10 5 3 12" xfId="14917"/>
    <cellStyle name="Normal 10 5 3 13" xfId="14918"/>
    <cellStyle name="Normal 10 5 3 14" xfId="14919"/>
    <cellStyle name="Normal 10 5 3 15" xfId="14920"/>
    <cellStyle name="Normal 10 5 3 16" xfId="14921"/>
    <cellStyle name="Normal 10 5 3 17" xfId="14922"/>
    <cellStyle name="Normal 10 5 3 18" xfId="14923"/>
    <cellStyle name="Normal 10 5 3 2" xfId="14924"/>
    <cellStyle name="Normal 10 5 3 2 10" xfId="14925"/>
    <cellStyle name="Normal 10 5 3 2 11" xfId="14926"/>
    <cellStyle name="Normal 10 5 3 2 12" xfId="14927"/>
    <cellStyle name="Normal 10 5 3 2 13" xfId="14928"/>
    <cellStyle name="Normal 10 5 3 2 2" xfId="14929"/>
    <cellStyle name="Normal 10 5 3 2 2 2" xfId="14930"/>
    <cellStyle name="Normal 10 5 3 2 2 2 2" xfId="14931"/>
    <cellStyle name="Normal 10 5 3 2 2 3" xfId="14932"/>
    <cellStyle name="Normal 10 5 3 2 2 4" xfId="14933"/>
    <cellStyle name="Normal 10 5 3 2 2 5" xfId="14934"/>
    <cellStyle name="Normal 10 5 3 2 3" xfId="14935"/>
    <cellStyle name="Normal 10 5 3 2 3 2" xfId="14936"/>
    <cellStyle name="Normal 10 5 3 2 4" xfId="14937"/>
    <cellStyle name="Normal 10 5 3 2 4 2" xfId="14938"/>
    <cellStyle name="Normal 10 5 3 2 5" xfId="14939"/>
    <cellStyle name="Normal 10 5 3 2 5 2" xfId="14940"/>
    <cellStyle name="Normal 10 5 3 2 6" xfId="14941"/>
    <cellStyle name="Normal 10 5 3 2 6 2" xfId="14942"/>
    <cellStyle name="Normal 10 5 3 2 7" xfId="14943"/>
    <cellStyle name="Normal 10 5 3 2 8" xfId="14944"/>
    <cellStyle name="Normal 10 5 3 2 9" xfId="14945"/>
    <cellStyle name="Normal 10 5 3 3" xfId="14946"/>
    <cellStyle name="Normal 10 5 3 3 2" xfId="14947"/>
    <cellStyle name="Normal 10 5 3 3 2 2" xfId="14948"/>
    <cellStyle name="Normal 10 5 3 3 3" xfId="14949"/>
    <cellStyle name="Normal 10 5 3 3 4" xfId="14950"/>
    <cellStyle name="Normal 10 5 3 3 5" xfId="14951"/>
    <cellStyle name="Normal 10 5 3 4" xfId="14952"/>
    <cellStyle name="Normal 10 5 3 4 2" xfId="14953"/>
    <cellStyle name="Normal 10 5 3 5" xfId="14954"/>
    <cellStyle name="Normal 10 5 3 5 2" xfId="14955"/>
    <cellStyle name="Normal 10 5 3 6" xfId="14956"/>
    <cellStyle name="Normal 10 5 3 6 2" xfId="14957"/>
    <cellStyle name="Normal 10 5 3 7" xfId="14958"/>
    <cellStyle name="Normal 10 5 3 7 2" xfId="14959"/>
    <cellStyle name="Normal 10 5 3 8" xfId="14960"/>
    <cellStyle name="Normal 10 5 3 9" xfId="14961"/>
    <cellStyle name="Normal 10 5 4" xfId="14962"/>
    <cellStyle name="Normal 10 5 4 10" xfId="14963"/>
    <cellStyle name="Normal 10 5 4 11" xfId="14964"/>
    <cellStyle name="Normal 10 5 4 12" xfId="14965"/>
    <cellStyle name="Normal 10 5 4 13" xfId="14966"/>
    <cellStyle name="Normal 10 5 4 14" xfId="14967"/>
    <cellStyle name="Normal 10 5 4 15" xfId="14968"/>
    <cellStyle name="Normal 10 5 4 16" xfId="14969"/>
    <cellStyle name="Normal 10 5 4 17" xfId="14970"/>
    <cellStyle name="Normal 10 5 4 18" xfId="14971"/>
    <cellStyle name="Normal 10 5 4 2" xfId="14972"/>
    <cellStyle name="Normal 10 5 4 2 10" xfId="14973"/>
    <cellStyle name="Normal 10 5 4 2 11" xfId="14974"/>
    <cellStyle name="Normal 10 5 4 2 12" xfId="14975"/>
    <cellStyle name="Normal 10 5 4 2 13" xfId="14976"/>
    <cellStyle name="Normal 10 5 4 2 2" xfId="14977"/>
    <cellStyle name="Normal 10 5 4 2 2 2" xfId="14978"/>
    <cellStyle name="Normal 10 5 4 2 2 2 2" xfId="14979"/>
    <cellStyle name="Normal 10 5 4 2 2 3" xfId="14980"/>
    <cellStyle name="Normal 10 5 4 2 2 4" xfId="14981"/>
    <cellStyle name="Normal 10 5 4 2 2 5" xfId="14982"/>
    <cellStyle name="Normal 10 5 4 2 3" xfId="14983"/>
    <cellStyle name="Normal 10 5 4 2 3 2" xfId="14984"/>
    <cellStyle name="Normal 10 5 4 2 4" xfId="14985"/>
    <cellStyle name="Normal 10 5 4 2 4 2" xfId="14986"/>
    <cellStyle name="Normal 10 5 4 2 5" xfId="14987"/>
    <cellStyle name="Normal 10 5 4 2 5 2" xfId="14988"/>
    <cellStyle name="Normal 10 5 4 2 6" xfId="14989"/>
    <cellStyle name="Normal 10 5 4 2 6 2" xfId="14990"/>
    <cellStyle name="Normal 10 5 4 2 7" xfId="14991"/>
    <cellStyle name="Normal 10 5 4 2 8" xfId="14992"/>
    <cellStyle name="Normal 10 5 4 2 9" xfId="14993"/>
    <cellStyle name="Normal 10 5 4 3" xfId="14994"/>
    <cellStyle name="Normal 10 5 4 3 2" xfId="14995"/>
    <cellStyle name="Normal 10 5 4 3 2 2" xfId="14996"/>
    <cellStyle name="Normal 10 5 4 3 3" xfId="14997"/>
    <cellStyle name="Normal 10 5 4 3 4" xfId="14998"/>
    <cellStyle name="Normal 10 5 4 3 5" xfId="14999"/>
    <cellStyle name="Normal 10 5 4 4" xfId="15000"/>
    <cellStyle name="Normal 10 5 4 4 2" xfId="15001"/>
    <cellStyle name="Normal 10 5 4 5" xfId="15002"/>
    <cellStyle name="Normal 10 5 4 5 2" xfId="15003"/>
    <cellStyle name="Normal 10 5 4 6" xfId="15004"/>
    <cellStyle name="Normal 10 5 4 6 2" xfId="15005"/>
    <cellStyle name="Normal 10 5 4 7" xfId="15006"/>
    <cellStyle name="Normal 10 5 4 7 2" xfId="15007"/>
    <cellStyle name="Normal 10 5 4 8" xfId="15008"/>
    <cellStyle name="Normal 10 5 4 9" xfId="15009"/>
    <cellStyle name="Normal 10 5 5" xfId="15010"/>
    <cellStyle name="Normal 10 5 5 10" xfId="15011"/>
    <cellStyle name="Normal 10 5 5 11" xfId="15012"/>
    <cellStyle name="Normal 10 5 5 12" xfId="15013"/>
    <cellStyle name="Normal 10 5 5 13" xfId="15014"/>
    <cellStyle name="Normal 10 5 5 14" xfId="15015"/>
    <cellStyle name="Normal 10 5 5 15" xfId="15016"/>
    <cellStyle name="Normal 10 5 5 16" xfId="15017"/>
    <cellStyle name="Normal 10 5 5 17" xfId="15018"/>
    <cellStyle name="Normal 10 5 5 18" xfId="15019"/>
    <cellStyle name="Normal 10 5 5 2" xfId="15020"/>
    <cellStyle name="Normal 10 5 5 2 10" xfId="15021"/>
    <cellStyle name="Normal 10 5 5 2 11" xfId="15022"/>
    <cellStyle name="Normal 10 5 5 2 12" xfId="15023"/>
    <cellStyle name="Normal 10 5 5 2 13" xfId="15024"/>
    <cellStyle name="Normal 10 5 5 2 2" xfId="15025"/>
    <cellStyle name="Normal 10 5 5 2 2 2" xfId="15026"/>
    <cellStyle name="Normal 10 5 5 2 2 2 2" xfId="15027"/>
    <cellStyle name="Normal 10 5 5 2 2 3" xfId="15028"/>
    <cellStyle name="Normal 10 5 5 2 2 4" xfId="15029"/>
    <cellStyle name="Normal 10 5 5 2 2 5" xfId="15030"/>
    <cellStyle name="Normal 10 5 5 2 3" xfId="15031"/>
    <cellStyle name="Normal 10 5 5 2 3 2" xfId="15032"/>
    <cellStyle name="Normal 10 5 5 2 4" xfId="15033"/>
    <cellStyle name="Normal 10 5 5 2 4 2" xfId="15034"/>
    <cellStyle name="Normal 10 5 5 2 5" xfId="15035"/>
    <cellStyle name="Normal 10 5 5 2 5 2" xfId="15036"/>
    <cellStyle name="Normal 10 5 5 2 6" xfId="15037"/>
    <cellStyle name="Normal 10 5 5 2 6 2" xfId="15038"/>
    <cellStyle name="Normal 10 5 5 2 7" xfId="15039"/>
    <cellStyle name="Normal 10 5 5 2 8" xfId="15040"/>
    <cellStyle name="Normal 10 5 5 2 9" xfId="15041"/>
    <cellStyle name="Normal 10 5 5 3" xfId="15042"/>
    <cellStyle name="Normal 10 5 5 3 2" xfId="15043"/>
    <cellStyle name="Normal 10 5 5 3 2 2" xfId="15044"/>
    <cellStyle name="Normal 10 5 5 3 3" xfId="15045"/>
    <cellStyle name="Normal 10 5 5 3 4" xfId="15046"/>
    <cellStyle name="Normal 10 5 5 3 5" xfId="15047"/>
    <cellStyle name="Normal 10 5 5 4" xfId="15048"/>
    <cellStyle name="Normal 10 5 5 4 2" xfId="15049"/>
    <cellStyle name="Normal 10 5 5 5" xfId="15050"/>
    <cellStyle name="Normal 10 5 5 5 2" xfId="15051"/>
    <cellStyle name="Normal 10 5 5 6" xfId="15052"/>
    <cellStyle name="Normal 10 5 5 6 2" xfId="15053"/>
    <cellStyle name="Normal 10 5 5 7" xfId="15054"/>
    <cellStyle name="Normal 10 5 5 7 2" xfId="15055"/>
    <cellStyle name="Normal 10 5 5 8" xfId="15056"/>
    <cellStyle name="Normal 10 5 5 9" xfId="15057"/>
    <cellStyle name="Normal 10 5 6" xfId="15058"/>
    <cellStyle name="Normal 10 5 6 10" xfId="15059"/>
    <cellStyle name="Normal 10 5 6 11" xfId="15060"/>
    <cellStyle name="Normal 10 5 6 12" xfId="15061"/>
    <cellStyle name="Normal 10 5 6 13" xfId="15062"/>
    <cellStyle name="Normal 10 5 6 14" xfId="15063"/>
    <cellStyle name="Normal 10 5 6 15" xfId="15064"/>
    <cellStyle name="Normal 10 5 6 16" xfId="15065"/>
    <cellStyle name="Normal 10 5 6 17" xfId="15066"/>
    <cellStyle name="Normal 10 5 6 18" xfId="15067"/>
    <cellStyle name="Normal 10 5 6 2" xfId="15068"/>
    <cellStyle name="Normal 10 5 6 2 10" xfId="15069"/>
    <cellStyle name="Normal 10 5 6 2 11" xfId="15070"/>
    <cellStyle name="Normal 10 5 6 2 12" xfId="15071"/>
    <cellStyle name="Normal 10 5 6 2 13" xfId="15072"/>
    <cellStyle name="Normal 10 5 6 2 2" xfId="15073"/>
    <cellStyle name="Normal 10 5 6 2 2 2" xfId="15074"/>
    <cellStyle name="Normal 10 5 6 2 2 2 2" xfId="15075"/>
    <cellStyle name="Normal 10 5 6 2 2 3" xfId="15076"/>
    <cellStyle name="Normal 10 5 6 2 2 4" xfId="15077"/>
    <cellStyle name="Normal 10 5 6 2 2 5" xfId="15078"/>
    <cellStyle name="Normal 10 5 6 2 3" xfId="15079"/>
    <cellStyle name="Normal 10 5 6 2 3 2" xfId="15080"/>
    <cellStyle name="Normal 10 5 6 2 4" xfId="15081"/>
    <cellStyle name="Normal 10 5 6 2 4 2" xfId="15082"/>
    <cellStyle name="Normal 10 5 6 2 5" xfId="15083"/>
    <cellStyle name="Normal 10 5 6 2 5 2" xfId="15084"/>
    <cellStyle name="Normal 10 5 6 2 6" xfId="15085"/>
    <cellStyle name="Normal 10 5 6 2 6 2" xfId="15086"/>
    <cellStyle name="Normal 10 5 6 2 7" xfId="15087"/>
    <cellStyle name="Normal 10 5 6 2 8" xfId="15088"/>
    <cellStyle name="Normal 10 5 6 2 9" xfId="15089"/>
    <cellStyle name="Normal 10 5 6 3" xfId="15090"/>
    <cellStyle name="Normal 10 5 6 3 2" xfId="15091"/>
    <cellStyle name="Normal 10 5 6 3 2 2" xfId="15092"/>
    <cellStyle name="Normal 10 5 6 3 3" xfId="15093"/>
    <cellStyle name="Normal 10 5 6 3 4" xfId="15094"/>
    <cellStyle name="Normal 10 5 6 3 5" xfId="15095"/>
    <cellStyle name="Normal 10 5 6 4" xfId="15096"/>
    <cellStyle name="Normal 10 5 6 4 2" xfId="15097"/>
    <cellStyle name="Normal 10 5 6 5" xfId="15098"/>
    <cellStyle name="Normal 10 5 6 5 2" xfId="15099"/>
    <cellStyle name="Normal 10 5 6 6" xfId="15100"/>
    <cellStyle name="Normal 10 5 6 6 2" xfId="15101"/>
    <cellStyle name="Normal 10 5 6 7" xfId="15102"/>
    <cellStyle name="Normal 10 5 6 7 2" xfId="15103"/>
    <cellStyle name="Normal 10 5 6 8" xfId="15104"/>
    <cellStyle name="Normal 10 5 6 9" xfId="15105"/>
    <cellStyle name="Normal 10 5 7" xfId="15106"/>
    <cellStyle name="Normal 10 5 7 10" xfId="15107"/>
    <cellStyle name="Normal 10 5 7 11" xfId="15108"/>
    <cellStyle name="Normal 10 5 7 12" xfId="15109"/>
    <cellStyle name="Normal 10 5 7 13" xfId="15110"/>
    <cellStyle name="Normal 10 5 7 14" xfId="15111"/>
    <cellStyle name="Normal 10 5 7 15" xfId="15112"/>
    <cellStyle name="Normal 10 5 7 16" xfId="15113"/>
    <cellStyle name="Normal 10 5 7 17" xfId="15114"/>
    <cellStyle name="Normal 10 5 7 2" xfId="15115"/>
    <cellStyle name="Normal 10 5 7 2 10" xfId="15116"/>
    <cellStyle name="Normal 10 5 7 2 11" xfId="15117"/>
    <cellStyle name="Normal 10 5 7 2 12" xfId="15118"/>
    <cellStyle name="Normal 10 5 7 2 13" xfId="15119"/>
    <cellStyle name="Normal 10 5 7 2 2" xfId="15120"/>
    <cellStyle name="Normal 10 5 7 2 2 2" xfId="15121"/>
    <cellStyle name="Normal 10 5 7 2 2 2 2" xfId="15122"/>
    <cellStyle name="Normal 10 5 7 2 2 3" xfId="15123"/>
    <cellStyle name="Normal 10 5 7 2 2 4" xfId="15124"/>
    <cellStyle name="Normal 10 5 7 2 2 5" xfId="15125"/>
    <cellStyle name="Normal 10 5 7 2 3" xfId="15126"/>
    <cellStyle name="Normal 10 5 7 2 3 2" xfId="15127"/>
    <cellStyle name="Normal 10 5 7 2 4" xfId="15128"/>
    <cellStyle name="Normal 10 5 7 2 4 2" xfId="15129"/>
    <cellStyle name="Normal 10 5 7 2 5" xfId="15130"/>
    <cellStyle name="Normal 10 5 7 2 5 2" xfId="15131"/>
    <cellStyle name="Normal 10 5 7 2 6" xfId="15132"/>
    <cellStyle name="Normal 10 5 7 2 6 2" xfId="15133"/>
    <cellStyle name="Normal 10 5 7 2 7" xfId="15134"/>
    <cellStyle name="Normal 10 5 7 2 8" xfId="15135"/>
    <cellStyle name="Normal 10 5 7 2 9" xfId="15136"/>
    <cellStyle name="Normal 10 5 7 3" xfId="15137"/>
    <cellStyle name="Normal 10 5 7 3 2" xfId="15138"/>
    <cellStyle name="Normal 10 5 7 3 2 2" xfId="15139"/>
    <cellStyle name="Normal 10 5 7 3 3" xfId="15140"/>
    <cellStyle name="Normal 10 5 7 3 4" xfId="15141"/>
    <cellStyle name="Normal 10 5 7 3 5" xfId="15142"/>
    <cellStyle name="Normal 10 5 7 4" xfId="15143"/>
    <cellStyle name="Normal 10 5 7 4 2" xfId="15144"/>
    <cellStyle name="Normal 10 5 7 5" xfId="15145"/>
    <cellStyle name="Normal 10 5 7 5 2" xfId="15146"/>
    <cellStyle name="Normal 10 5 7 6" xfId="15147"/>
    <cellStyle name="Normal 10 5 7 6 2" xfId="15148"/>
    <cellStyle name="Normal 10 5 7 7" xfId="15149"/>
    <cellStyle name="Normal 10 5 7 7 2" xfId="15150"/>
    <cellStyle name="Normal 10 5 7 8" xfId="15151"/>
    <cellStyle name="Normal 10 5 7 9" xfId="15152"/>
    <cellStyle name="Normal 10 5 8" xfId="15153"/>
    <cellStyle name="Normal 10 5 8 10" xfId="15154"/>
    <cellStyle name="Normal 10 5 8 11" xfId="15155"/>
    <cellStyle name="Normal 10 5 8 12" xfId="15156"/>
    <cellStyle name="Normal 10 5 8 13" xfId="15157"/>
    <cellStyle name="Normal 10 5 8 14" xfId="15158"/>
    <cellStyle name="Normal 10 5 8 15" xfId="15159"/>
    <cellStyle name="Normal 10 5 8 2" xfId="15160"/>
    <cellStyle name="Normal 10 5 8 2 2" xfId="15161"/>
    <cellStyle name="Normal 10 5 8 2 2 2" xfId="15162"/>
    <cellStyle name="Normal 10 5 8 2 3" xfId="15163"/>
    <cellStyle name="Normal 10 5 8 2 3 2" xfId="15164"/>
    <cellStyle name="Normal 10 5 8 2 4" xfId="15165"/>
    <cellStyle name="Normal 10 5 8 2 4 2" xfId="15166"/>
    <cellStyle name="Normal 10 5 8 2 5" xfId="15167"/>
    <cellStyle name="Normal 10 5 8 2 5 2" xfId="15168"/>
    <cellStyle name="Normal 10 5 8 2 6" xfId="15169"/>
    <cellStyle name="Normal 10 5 8 2 7" xfId="15170"/>
    <cellStyle name="Normal 10 5 8 2 8" xfId="15171"/>
    <cellStyle name="Normal 10 5 8 2 9" xfId="15172"/>
    <cellStyle name="Normal 10 5 8 3" xfId="15173"/>
    <cellStyle name="Normal 10 5 8 3 2" xfId="15174"/>
    <cellStyle name="Normal 10 5 8 3 2 2" xfId="15175"/>
    <cellStyle name="Normal 10 5 8 3 3" xfId="15176"/>
    <cellStyle name="Normal 10 5 8 3 4" xfId="15177"/>
    <cellStyle name="Normal 10 5 8 3 5" xfId="15178"/>
    <cellStyle name="Normal 10 5 8 4" xfId="15179"/>
    <cellStyle name="Normal 10 5 8 4 2" xfId="15180"/>
    <cellStyle name="Normal 10 5 8 5" xfId="15181"/>
    <cellStyle name="Normal 10 5 8 5 2" xfId="15182"/>
    <cellStyle name="Normal 10 5 8 6" xfId="15183"/>
    <cellStyle name="Normal 10 5 8 6 2" xfId="15184"/>
    <cellStyle name="Normal 10 5 8 7" xfId="15185"/>
    <cellStyle name="Normal 10 5 8 7 2" xfId="15186"/>
    <cellStyle name="Normal 10 5 8 8" xfId="15187"/>
    <cellStyle name="Normal 10 5 8 9" xfId="15188"/>
    <cellStyle name="Normal 10 5 9" xfId="15189"/>
    <cellStyle name="Normal 10 5 9 10" xfId="15190"/>
    <cellStyle name="Normal 10 5 9 11" xfId="15191"/>
    <cellStyle name="Normal 10 5 9 12" xfId="15192"/>
    <cellStyle name="Normal 10 5 9 13" xfId="15193"/>
    <cellStyle name="Normal 10 5 9 14" xfId="15194"/>
    <cellStyle name="Normal 10 5 9 15" xfId="15195"/>
    <cellStyle name="Normal 10 5 9 2" xfId="15196"/>
    <cellStyle name="Normal 10 5 9 2 2" xfId="15197"/>
    <cellStyle name="Normal 10 5 9 2 2 2" xfId="15198"/>
    <cellStyle name="Normal 10 5 9 2 3" xfId="15199"/>
    <cellStyle name="Normal 10 5 9 2 3 2" xfId="15200"/>
    <cellStyle name="Normal 10 5 9 2 4" xfId="15201"/>
    <cellStyle name="Normal 10 5 9 2 4 2" xfId="15202"/>
    <cellStyle name="Normal 10 5 9 2 5" xfId="15203"/>
    <cellStyle name="Normal 10 5 9 2 5 2" xfId="15204"/>
    <cellStyle name="Normal 10 5 9 2 6" xfId="15205"/>
    <cellStyle name="Normal 10 5 9 2 7" xfId="15206"/>
    <cellStyle name="Normal 10 5 9 2 8" xfId="15207"/>
    <cellStyle name="Normal 10 5 9 2 9" xfId="15208"/>
    <cellStyle name="Normal 10 5 9 3" xfId="15209"/>
    <cellStyle name="Normal 10 5 9 3 2" xfId="15210"/>
    <cellStyle name="Normal 10 5 9 3 2 2" xfId="15211"/>
    <cellStyle name="Normal 10 5 9 3 3" xfId="15212"/>
    <cellStyle name="Normal 10 5 9 3 4" xfId="15213"/>
    <cellStyle name="Normal 10 5 9 3 5" xfId="15214"/>
    <cellStyle name="Normal 10 5 9 4" xfId="15215"/>
    <cellStyle name="Normal 10 5 9 4 2" xfId="15216"/>
    <cellStyle name="Normal 10 5 9 5" xfId="15217"/>
    <cellStyle name="Normal 10 5 9 5 2" xfId="15218"/>
    <cellStyle name="Normal 10 5 9 6" xfId="15219"/>
    <cellStyle name="Normal 10 5 9 6 2" xfId="15220"/>
    <cellStyle name="Normal 10 5 9 7" xfId="15221"/>
    <cellStyle name="Normal 10 5 9 7 2" xfId="15222"/>
    <cellStyle name="Normal 10 5 9 8" xfId="15223"/>
    <cellStyle name="Normal 10 5 9 9" xfId="15224"/>
    <cellStyle name="Normal 10 6" xfId="15225"/>
    <cellStyle name="Normal 10 6 10" xfId="15226"/>
    <cellStyle name="Normal 10 6 10 10" xfId="15227"/>
    <cellStyle name="Normal 10 6 10 11" xfId="15228"/>
    <cellStyle name="Normal 10 6 10 12" xfId="15229"/>
    <cellStyle name="Normal 10 6 10 13" xfId="15230"/>
    <cellStyle name="Normal 10 6 10 14" xfId="15231"/>
    <cellStyle name="Normal 10 6 10 2" xfId="15232"/>
    <cellStyle name="Normal 10 6 10 2 2" xfId="15233"/>
    <cellStyle name="Normal 10 6 10 2 2 2" xfId="15234"/>
    <cellStyle name="Normal 10 6 10 2 3" xfId="15235"/>
    <cellStyle name="Normal 10 6 10 2 3 2" xfId="15236"/>
    <cellStyle name="Normal 10 6 10 2 4" xfId="15237"/>
    <cellStyle name="Normal 10 6 10 2 4 2" xfId="15238"/>
    <cellStyle name="Normal 10 6 10 2 5" xfId="15239"/>
    <cellStyle name="Normal 10 6 10 2 5 2" xfId="15240"/>
    <cellStyle name="Normal 10 6 10 2 6" xfId="15241"/>
    <cellStyle name="Normal 10 6 10 2 7" xfId="15242"/>
    <cellStyle name="Normal 10 6 10 2 8" xfId="15243"/>
    <cellStyle name="Normal 10 6 10 2 9" xfId="15244"/>
    <cellStyle name="Normal 10 6 10 3" xfId="15245"/>
    <cellStyle name="Normal 10 6 10 3 2" xfId="15246"/>
    <cellStyle name="Normal 10 6 10 3 2 2" xfId="15247"/>
    <cellStyle name="Normal 10 6 10 3 3" xfId="15248"/>
    <cellStyle name="Normal 10 6 10 3 4" xfId="15249"/>
    <cellStyle name="Normal 10 6 10 3 5" xfId="15250"/>
    <cellStyle name="Normal 10 6 10 4" xfId="15251"/>
    <cellStyle name="Normal 10 6 10 4 2" xfId="15252"/>
    <cellStyle name="Normal 10 6 10 5" xfId="15253"/>
    <cellStyle name="Normal 10 6 10 5 2" xfId="15254"/>
    <cellStyle name="Normal 10 6 10 6" xfId="15255"/>
    <cellStyle name="Normal 10 6 10 6 2" xfId="15256"/>
    <cellStyle name="Normal 10 6 10 7" xfId="15257"/>
    <cellStyle name="Normal 10 6 10 7 2" xfId="15258"/>
    <cellStyle name="Normal 10 6 10 8" xfId="15259"/>
    <cellStyle name="Normal 10 6 10 9" xfId="15260"/>
    <cellStyle name="Normal 10 6 11" xfId="15261"/>
    <cellStyle name="Normal 10 6 11 2" xfId="15262"/>
    <cellStyle name="Normal 10 6 11 2 2" xfId="15263"/>
    <cellStyle name="Normal 10 6 11 3" xfId="15264"/>
    <cellStyle name="Normal 10 6 11 3 2" xfId="15265"/>
    <cellStyle name="Normal 10 6 11 4" xfId="15266"/>
    <cellStyle name="Normal 10 6 11 4 2" xfId="15267"/>
    <cellStyle name="Normal 10 6 11 5" xfId="15268"/>
    <cellStyle name="Normal 10 6 11 5 2" xfId="15269"/>
    <cellStyle name="Normal 10 6 11 6" xfId="15270"/>
    <cellStyle name="Normal 10 6 11 7" xfId="15271"/>
    <cellStyle name="Normal 10 6 11 8" xfId="15272"/>
    <cellStyle name="Normal 10 6 11 9" xfId="15273"/>
    <cellStyle name="Normal 10 6 12" xfId="15274"/>
    <cellStyle name="Normal 10 6 12 2" xfId="15275"/>
    <cellStyle name="Normal 10 6 12 2 2" xfId="15276"/>
    <cellStyle name="Normal 10 6 12 3" xfId="15277"/>
    <cellStyle name="Normal 10 6 12 4" xfId="15278"/>
    <cellStyle name="Normal 10 6 12 5" xfId="15279"/>
    <cellStyle name="Normal 10 6 13" xfId="15280"/>
    <cellStyle name="Normal 10 6 13 2" xfId="15281"/>
    <cellStyle name="Normal 10 6 14" xfId="15282"/>
    <cellStyle name="Normal 10 6 14 2" xfId="15283"/>
    <cellStyle name="Normal 10 6 15" xfId="15284"/>
    <cellStyle name="Normal 10 6 15 2" xfId="15285"/>
    <cellStyle name="Normal 10 6 16" xfId="15286"/>
    <cellStyle name="Normal 10 6 16 2" xfId="15287"/>
    <cellStyle name="Normal 10 6 17" xfId="15288"/>
    <cellStyle name="Normal 10 6 18" xfId="15289"/>
    <cellStyle name="Normal 10 6 19" xfId="15290"/>
    <cellStyle name="Normal 10 6 2" xfId="15291"/>
    <cellStyle name="Normal 10 6 2 10" xfId="15292"/>
    <cellStyle name="Normal 10 6 2 11" xfId="15293"/>
    <cellStyle name="Normal 10 6 2 12" xfId="15294"/>
    <cellStyle name="Normal 10 6 2 13" xfId="15295"/>
    <cellStyle name="Normal 10 6 2 14" xfId="15296"/>
    <cellStyle name="Normal 10 6 2 15" xfId="15297"/>
    <cellStyle name="Normal 10 6 2 16" xfId="15298"/>
    <cellStyle name="Normal 10 6 2 17" xfId="15299"/>
    <cellStyle name="Normal 10 6 2 18" xfId="15300"/>
    <cellStyle name="Normal 10 6 2 2" xfId="15301"/>
    <cellStyle name="Normal 10 6 2 2 10" xfId="15302"/>
    <cellStyle name="Normal 10 6 2 2 11" xfId="15303"/>
    <cellStyle name="Normal 10 6 2 2 12" xfId="15304"/>
    <cellStyle name="Normal 10 6 2 2 13" xfId="15305"/>
    <cellStyle name="Normal 10 6 2 2 2" xfId="15306"/>
    <cellStyle name="Normal 10 6 2 2 2 2" xfId="15307"/>
    <cellStyle name="Normal 10 6 2 2 2 2 2" xfId="15308"/>
    <cellStyle name="Normal 10 6 2 2 2 3" xfId="15309"/>
    <cellStyle name="Normal 10 6 2 2 2 4" xfId="15310"/>
    <cellStyle name="Normal 10 6 2 2 2 5" xfId="15311"/>
    <cellStyle name="Normal 10 6 2 2 3" xfId="15312"/>
    <cellStyle name="Normal 10 6 2 2 3 2" xfId="15313"/>
    <cellStyle name="Normal 10 6 2 2 4" xfId="15314"/>
    <cellStyle name="Normal 10 6 2 2 4 2" xfId="15315"/>
    <cellStyle name="Normal 10 6 2 2 5" xfId="15316"/>
    <cellStyle name="Normal 10 6 2 2 5 2" xfId="15317"/>
    <cellStyle name="Normal 10 6 2 2 6" xfId="15318"/>
    <cellStyle name="Normal 10 6 2 2 6 2" xfId="15319"/>
    <cellStyle name="Normal 10 6 2 2 7" xfId="15320"/>
    <cellStyle name="Normal 10 6 2 2 8" xfId="15321"/>
    <cellStyle name="Normal 10 6 2 2 9" xfId="15322"/>
    <cellStyle name="Normal 10 6 2 3" xfId="15323"/>
    <cellStyle name="Normal 10 6 2 3 2" xfId="15324"/>
    <cellStyle name="Normal 10 6 2 3 2 2" xfId="15325"/>
    <cellStyle name="Normal 10 6 2 3 3" xfId="15326"/>
    <cellStyle name="Normal 10 6 2 3 4" xfId="15327"/>
    <cellStyle name="Normal 10 6 2 3 5" xfId="15328"/>
    <cellStyle name="Normal 10 6 2 4" xfId="15329"/>
    <cellStyle name="Normal 10 6 2 4 2" xfId="15330"/>
    <cellStyle name="Normal 10 6 2 5" xfId="15331"/>
    <cellStyle name="Normal 10 6 2 5 2" xfId="15332"/>
    <cellStyle name="Normal 10 6 2 6" xfId="15333"/>
    <cellStyle name="Normal 10 6 2 6 2" xfId="15334"/>
    <cellStyle name="Normal 10 6 2 7" xfId="15335"/>
    <cellStyle name="Normal 10 6 2 7 2" xfId="15336"/>
    <cellStyle name="Normal 10 6 2 8" xfId="15337"/>
    <cellStyle name="Normal 10 6 2 9" xfId="15338"/>
    <cellStyle name="Normal 10 6 20" xfId="15339"/>
    <cellStyle name="Normal 10 6 21" xfId="15340"/>
    <cellStyle name="Normal 10 6 22" xfId="15341"/>
    <cellStyle name="Normal 10 6 23" xfId="15342"/>
    <cellStyle name="Normal 10 6 24" xfId="15343"/>
    <cellStyle name="Normal 10 6 25" xfId="15344"/>
    <cellStyle name="Normal 10 6 3" xfId="15345"/>
    <cellStyle name="Normal 10 6 3 10" xfId="15346"/>
    <cellStyle name="Normal 10 6 3 11" xfId="15347"/>
    <cellStyle name="Normal 10 6 3 12" xfId="15348"/>
    <cellStyle name="Normal 10 6 3 13" xfId="15349"/>
    <cellStyle name="Normal 10 6 3 14" xfId="15350"/>
    <cellStyle name="Normal 10 6 3 15" xfId="15351"/>
    <cellStyle name="Normal 10 6 3 16" xfId="15352"/>
    <cellStyle name="Normal 10 6 3 17" xfId="15353"/>
    <cellStyle name="Normal 10 6 3 18" xfId="15354"/>
    <cellStyle name="Normal 10 6 3 2" xfId="15355"/>
    <cellStyle name="Normal 10 6 3 2 10" xfId="15356"/>
    <cellStyle name="Normal 10 6 3 2 11" xfId="15357"/>
    <cellStyle name="Normal 10 6 3 2 12" xfId="15358"/>
    <cellStyle name="Normal 10 6 3 2 13" xfId="15359"/>
    <cellStyle name="Normal 10 6 3 2 2" xfId="15360"/>
    <cellStyle name="Normal 10 6 3 2 2 2" xfId="15361"/>
    <cellStyle name="Normal 10 6 3 2 2 2 2" xfId="15362"/>
    <cellStyle name="Normal 10 6 3 2 2 3" xfId="15363"/>
    <cellStyle name="Normal 10 6 3 2 2 4" xfId="15364"/>
    <cellStyle name="Normal 10 6 3 2 2 5" xfId="15365"/>
    <cellStyle name="Normal 10 6 3 2 3" xfId="15366"/>
    <cellStyle name="Normal 10 6 3 2 3 2" xfId="15367"/>
    <cellStyle name="Normal 10 6 3 2 4" xfId="15368"/>
    <cellStyle name="Normal 10 6 3 2 4 2" xfId="15369"/>
    <cellStyle name="Normal 10 6 3 2 5" xfId="15370"/>
    <cellStyle name="Normal 10 6 3 2 5 2" xfId="15371"/>
    <cellStyle name="Normal 10 6 3 2 6" xfId="15372"/>
    <cellStyle name="Normal 10 6 3 2 6 2" xfId="15373"/>
    <cellStyle name="Normal 10 6 3 2 7" xfId="15374"/>
    <cellStyle name="Normal 10 6 3 2 8" xfId="15375"/>
    <cellStyle name="Normal 10 6 3 2 9" xfId="15376"/>
    <cellStyle name="Normal 10 6 3 3" xfId="15377"/>
    <cellStyle name="Normal 10 6 3 3 2" xfId="15378"/>
    <cellStyle name="Normal 10 6 3 3 2 2" xfId="15379"/>
    <cellStyle name="Normal 10 6 3 3 3" xfId="15380"/>
    <cellStyle name="Normal 10 6 3 3 4" xfId="15381"/>
    <cellStyle name="Normal 10 6 3 3 5" xfId="15382"/>
    <cellStyle name="Normal 10 6 3 4" xfId="15383"/>
    <cellStyle name="Normal 10 6 3 4 2" xfId="15384"/>
    <cellStyle name="Normal 10 6 3 5" xfId="15385"/>
    <cellStyle name="Normal 10 6 3 5 2" xfId="15386"/>
    <cellStyle name="Normal 10 6 3 6" xfId="15387"/>
    <cellStyle name="Normal 10 6 3 6 2" xfId="15388"/>
    <cellStyle name="Normal 10 6 3 7" xfId="15389"/>
    <cellStyle name="Normal 10 6 3 7 2" xfId="15390"/>
    <cellStyle name="Normal 10 6 3 8" xfId="15391"/>
    <cellStyle name="Normal 10 6 3 9" xfId="15392"/>
    <cellStyle name="Normal 10 6 4" xfId="15393"/>
    <cellStyle name="Normal 10 6 4 10" xfId="15394"/>
    <cellStyle name="Normal 10 6 4 11" xfId="15395"/>
    <cellStyle name="Normal 10 6 4 12" xfId="15396"/>
    <cellStyle name="Normal 10 6 4 13" xfId="15397"/>
    <cellStyle name="Normal 10 6 4 14" xfId="15398"/>
    <cellStyle name="Normal 10 6 4 15" xfId="15399"/>
    <cellStyle name="Normal 10 6 4 16" xfId="15400"/>
    <cellStyle name="Normal 10 6 4 17" xfId="15401"/>
    <cellStyle name="Normal 10 6 4 18" xfId="15402"/>
    <cellStyle name="Normal 10 6 4 2" xfId="15403"/>
    <cellStyle name="Normal 10 6 4 2 10" xfId="15404"/>
    <cellStyle name="Normal 10 6 4 2 11" xfId="15405"/>
    <cellStyle name="Normal 10 6 4 2 12" xfId="15406"/>
    <cellStyle name="Normal 10 6 4 2 13" xfId="15407"/>
    <cellStyle name="Normal 10 6 4 2 2" xfId="15408"/>
    <cellStyle name="Normal 10 6 4 2 2 2" xfId="15409"/>
    <cellStyle name="Normal 10 6 4 2 2 2 2" xfId="15410"/>
    <cellStyle name="Normal 10 6 4 2 2 3" xfId="15411"/>
    <cellStyle name="Normal 10 6 4 2 2 4" xfId="15412"/>
    <cellStyle name="Normal 10 6 4 2 2 5" xfId="15413"/>
    <cellStyle name="Normal 10 6 4 2 3" xfId="15414"/>
    <cellStyle name="Normal 10 6 4 2 3 2" xfId="15415"/>
    <cellStyle name="Normal 10 6 4 2 4" xfId="15416"/>
    <cellStyle name="Normal 10 6 4 2 4 2" xfId="15417"/>
    <cellStyle name="Normal 10 6 4 2 5" xfId="15418"/>
    <cellStyle name="Normal 10 6 4 2 5 2" xfId="15419"/>
    <cellStyle name="Normal 10 6 4 2 6" xfId="15420"/>
    <cellStyle name="Normal 10 6 4 2 6 2" xfId="15421"/>
    <cellStyle name="Normal 10 6 4 2 7" xfId="15422"/>
    <cellStyle name="Normal 10 6 4 2 8" xfId="15423"/>
    <cellStyle name="Normal 10 6 4 2 9" xfId="15424"/>
    <cellStyle name="Normal 10 6 4 3" xfId="15425"/>
    <cellStyle name="Normal 10 6 4 3 2" xfId="15426"/>
    <cellStyle name="Normal 10 6 4 3 2 2" xfId="15427"/>
    <cellStyle name="Normal 10 6 4 3 3" xfId="15428"/>
    <cellStyle name="Normal 10 6 4 3 4" xfId="15429"/>
    <cellStyle name="Normal 10 6 4 3 5" xfId="15430"/>
    <cellStyle name="Normal 10 6 4 4" xfId="15431"/>
    <cellStyle name="Normal 10 6 4 4 2" xfId="15432"/>
    <cellStyle name="Normal 10 6 4 5" xfId="15433"/>
    <cellStyle name="Normal 10 6 4 5 2" xfId="15434"/>
    <cellStyle name="Normal 10 6 4 6" xfId="15435"/>
    <cellStyle name="Normal 10 6 4 6 2" xfId="15436"/>
    <cellStyle name="Normal 10 6 4 7" xfId="15437"/>
    <cellStyle name="Normal 10 6 4 7 2" xfId="15438"/>
    <cellStyle name="Normal 10 6 4 8" xfId="15439"/>
    <cellStyle name="Normal 10 6 4 9" xfId="15440"/>
    <cellStyle name="Normal 10 6 5" xfId="15441"/>
    <cellStyle name="Normal 10 6 5 10" xfId="15442"/>
    <cellStyle name="Normal 10 6 5 11" xfId="15443"/>
    <cellStyle name="Normal 10 6 5 12" xfId="15444"/>
    <cellStyle name="Normal 10 6 5 13" xfId="15445"/>
    <cellStyle name="Normal 10 6 5 14" xfId="15446"/>
    <cellStyle name="Normal 10 6 5 15" xfId="15447"/>
    <cellStyle name="Normal 10 6 5 16" xfId="15448"/>
    <cellStyle name="Normal 10 6 5 17" xfId="15449"/>
    <cellStyle name="Normal 10 6 5 2" xfId="15450"/>
    <cellStyle name="Normal 10 6 5 2 10" xfId="15451"/>
    <cellStyle name="Normal 10 6 5 2 11" xfId="15452"/>
    <cellStyle name="Normal 10 6 5 2 12" xfId="15453"/>
    <cellStyle name="Normal 10 6 5 2 13" xfId="15454"/>
    <cellStyle name="Normal 10 6 5 2 2" xfId="15455"/>
    <cellStyle name="Normal 10 6 5 2 2 2" xfId="15456"/>
    <cellStyle name="Normal 10 6 5 2 2 2 2" xfId="15457"/>
    <cellStyle name="Normal 10 6 5 2 2 3" xfId="15458"/>
    <cellStyle name="Normal 10 6 5 2 2 4" xfId="15459"/>
    <cellStyle name="Normal 10 6 5 2 2 5" xfId="15460"/>
    <cellStyle name="Normal 10 6 5 2 3" xfId="15461"/>
    <cellStyle name="Normal 10 6 5 2 3 2" xfId="15462"/>
    <cellStyle name="Normal 10 6 5 2 4" xfId="15463"/>
    <cellStyle name="Normal 10 6 5 2 4 2" xfId="15464"/>
    <cellStyle name="Normal 10 6 5 2 5" xfId="15465"/>
    <cellStyle name="Normal 10 6 5 2 5 2" xfId="15466"/>
    <cellStyle name="Normal 10 6 5 2 6" xfId="15467"/>
    <cellStyle name="Normal 10 6 5 2 6 2" xfId="15468"/>
    <cellStyle name="Normal 10 6 5 2 7" xfId="15469"/>
    <cellStyle name="Normal 10 6 5 2 8" xfId="15470"/>
    <cellStyle name="Normal 10 6 5 2 9" xfId="15471"/>
    <cellStyle name="Normal 10 6 5 3" xfId="15472"/>
    <cellStyle name="Normal 10 6 5 3 2" xfId="15473"/>
    <cellStyle name="Normal 10 6 5 3 2 2" xfId="15474"/>
    <cellStyle name="Normal 10 6 5 3 3" xfId="15475"/>
    <cellStyle name="Normal 10 6 5 3 4" xfId="15476"/>
    <cellStyle name="Normal 10 6 5 3 5" xfId="15477"/>
    <cellStyle name="Normal 10 6 5 4" xfId="15478"/>
    <cellStyle name="Normal 10 6 5 4 2" xfId="15479"/>
    <cellStyle name="Normal 10 6 5 5" xfId="15480"/>
    <cellStyle name="Normal 10 6 5 5 2" xfId="15481"/>
    <cellStyle name="Normal 10 6 5 6" xfId="15482"/>
    <cellStyle name="Normal 10 6 5 6 2" xfId="15483"/>
    <cellStyle name="Normal 10 6 5 7" xfId="15484"/>
    <cellStyle name="Normal 10 6 5 7 2" xfId="15485"/>
    <cellStyle name="Normal 10 6 5 8" xfId="15486"/>
    <cellStyle name="Normal 10 6 5 9" xfId="15487"/>
    <cellStyle name="Normal 10 6 6" xfId="15488"/>
    <cellStyle name="Normal 10 6 6 10" xfId="15489"/>
    <cellStyle name="Normal 10 6 6 11" xfId="15490"/>
    <cellStyle name="Normal 10 6 6 12" xfId="15491"/>
    <cellStyle name="Normal 10 6 6 13" xfId="15492"/>
    <cellStyle name="Normal 10 6 6 14" xfId="15493"/>
    <cellStyle name="Normal 10 6 6 15" xfId="15494"/>
    <cellStyle name="Normal 10 6 6 16" xfId="15495"/>
    <cellStyle name="Normal 10 6 6 17" xfId="15496"/>
    <cellStyle name="Normal 10 6 6 2" xfId="15497"/>
    <cellStyle name="Normal 10 6 6 2 10" xfId="15498"/>
    <cellStyle name="Normal 10 6 6 2 11" xfId="15499"/>
    <cellStyle name="Normal 10 6 6 2 12" xfId="15500"/>
    <cellStyle name="Normal 10 6 6 2 13" xfId="15501"/>
    <cellStyle name="Normal 10 6 6 2 2" xfId="15502"/>
    <cellStyle name="Normal 10 6 6 2 2 2" xfId="15503"/>
    <cellStyle name="Normal 10 6 6 2 2 2 2" xfId="15504"/>
    <cellStyle name="Normal 10 6 6 2 2 3" xfId="15505"/>
    <cellStyle name="Normal 10 6 6 2 2 4" xfId="15506"/>
    <cellStyle name="Normal 10 6 6 2 2 5" xfId="15507"/>
    <cellStyle name="Normal 10 6 6 2 3" xfId="15508"/>
    <cellStyle name="Normal 10 6 6 2 3 2" xfId="15509"/>
    <cellStyle name="Normal 10 6 6 2 4" xfId="15510"/>
    <cellStyle name="Normal 10 6 6 2 4 2" xfId="15511"/>
    <cellStyle name="Normal 10 6 6 2 5" xfId="15512"/>
    <cellStyle name="Normal 10 6 6 2 5 2" xfId="15513"/>
    <cellStyle name="Normal 10 6 6 2 6" xfId="15514"/>
    <cellStyle name="Normal 10 6 6 2 6 2" xfId="15515"/>
    <cellStyle name="Normal 10 6 6 2 7" xfId="15516"/>
    <cellStyle name="Normal 10 6 6 2 8" xfId="15517"/>
    <cellStyle name="Normal 10 6 6 2 9" xfId="15518"/>
    <cellStyle name="Normal 10 6 6 3" xfId="15519"/>
    <cellStyle name="Normal 10 6 6 3 2" xfId="15520"/>
    <cellStyle name="Normal 10 6 6 3 2 2" xfId="15521"/>
    <cellStyle name="Normal 10 6 6 3 3" xfId="15522"/>
    <cellStyle name="Normal 10 6 6 3 4" xfId="15523"/>
    <cellStyle name="Normal 10 6 6 3 5" xfId="15524"/>
    <cellStyle name="Normal 10 6 6 4" xfId="15525"/>
    <cellStyle name="Normal 10 6 6 4 2" xfId="15526"/>
    <cellStyle name="Normal 10 6 6 5" xfId="15527"/>
    <cellStyle name="Normal 10 6 6 5 2" xfId="15528"/>
    <cellStyle name="Normal 10 6 6 6" xfId="15529"/>
    <cellStyle name="Normal 10 6 6 6 2" xfId="15530"/>
    <cellStyle name="Normal 10 6 6 7" xfId="15531"/>
    <cellStyle name="Normal 10 6 6 7 2" xfId="15532"/>
    <cellStyle name="Normal 10 6 6 8" xfId="15533"/>
    <cellStyle name="Normal 10 6 6 9" xfId="15534"/>
    <cellStyle name="Normal 10 6 7" xfId="15535"/>
    <cellStyle name="Normal 10 6 7 10" xfId="15536"/>
    <cellStyle name="Normal 10 6 7 11" xfId="15537"/>
    <cellStyle name="Normal 10 6 7 12" xfId="15538"/>
    <cellStyle name="Normal 10 6 7 13" xfId="15539"/>
    <cellStyle name="Normal 10 6 7 14" xfId="15540"/>
    <cellStyle name="Normal 10 6 7 15" xfId="15541"/>
    <cellStyle name="Normal 10 6 7 16" xfId="15542"/>
    <cellStyle name="Normal 10 6 7 17" xfId="15543"/>
    <cellStyle name="Normal 10 6 7 2" xfId="15544"/>
    <cellStyle name="Normal 10 6 7 2 10" xfId="15545"/>
    <cellStyle name="Normal 10 6 7 2 11" xfId="15546"/>
    <cellStyle name="Normal 10 6 7 2 12" xfId="15547"/>
    <cellStyle name="Normal 10 6 7 2 13" xfId="15548"/>
    <cellStyle name="Normal 10 6 7 2 2" xfId="15549"/>
    <cellStyle name="Normal 10 6 7 2 2 2" xfId="15550"/>
    <cellStyle name="Normal 10 6 7 2 2 2 2" xfId="15551"/>
    <cellStyle name="Normal 10 6 7 2 2 3" xfId="15552"/>
    <cellStyle name="Normal 10 6 7 2 2 4" xfId="15553"/>
    <cellStyle name="Normal 10 6 7 2 2 5" xfId="15554"/>
    <cellStyle name="Normal 10 6 7 2 3" xfId="15555"/>
    <cellStyle name="Normal 10 6 7 2 3 2" xfId="15556"/>
    <cellStyle name="Normal 10 6 7 2 4" xfId="15557"/>
    <cellStyle name="Normal 10 6 7 2 4 2" xfId="15558"/>
    <cellStyle name="Normal 10 6 7 2 5" xfId="15559"/>
    <cellStyle name="Normal 10 6 7 2 5 2" xfId="15560"/>
    <cellStyle name="Normal 10 6 7 2 6" xfId="15561"/>
    <cellStyle name="Normal 10 6 7 2 6 2" xfId="15562"/>
    <cellStyle name="Normal 10 6 7 2 7" xfId="15563"/>
    <cellStyle name="Normal 10 6 7 2 8" xfId="15564"/>
    <cellStyle name="Normal 10 6 7 2 9" xfId="15565"/>
    <cellStyle name="Normal 10 6 7 3" xfId="15566"/>
    <cellStyle name="Normal 10 6 7 3 2" xfId="15567"/>
    <cellStyle name="Normal 10 6 7 3 2 2" xfId="15568"/>
    <cellStyle name="Normal 10 6 7 3 3" xfId="15569"/>
    <cellStyle name="Normal 10 6 7 3 4" xfId="15570"/>
    <cellStyle name="Normal 10 6 7 3 5" xfId="15571"/>
    <cellStyle name="Normal 10 6 7 4" xfId="15572"/>
    <cellStyle name="Normal 10 6 7 4 2" xfId="15573"/>
    <cellStyle name="Normal 10 6 7 5" xfId="15574"/>
    <cellStyle name="Normal 10 6 7 5 2" xfId="15575"/>
    <cellStyle name="Normal 10 6 7 6" xfId="15576"/>
    <cellStyle name="Normal 10 6 7 6 2" xfId="15577"/>
    <cellStyle name="Normal 10 6 7 7" xfId="15578"/>
    <cellStyle name="Normal 10 6 7 7 2" xfId="15579"/>
    <cellStyle name="Normal 10 6 7 8" xfId="15580"/>
    <cellStyle name="Normal 10 6 7 9" xfId="15581"/>
    <cellStyle name="Normal 10 6 8" xfId="15582"/>
    <cellStyle name="Normal 10 6 8 10" xfId="15583"/>
    <cellStyle name="Normal 10 6 8 11" xfId="15584"/>
    <cellStyle name="Normal 10 6 8 12" xfId="15585"/>
    <cellStyle name="Normal 10 6 8 13" xfId="15586"/>
    <cellStyle name="Normal 10 6 8 14" xfId="15587"/>
    <cellStyle name="Normal 10 6 8 15" xfId="15588"/>
    <cellStyle name="Normal 10 6 8 2" xfId="15589"/>
    <cellStyle name="Normal 10 6 8 2 2" xfId="15590"/>
    <cellStyle name="Normal 10 6 8 2 2 2" xfId="15591"/>
    <cellStyle name="Normal 10 6 8 2 3" xfId="15592"/>
    <cellStyle name="Normal 10 6 8 2 3 2" xfId="15593"/>
    <cellStyle name="Normal 10 6 8 2 4" xfId="15594"/>
    <cellStyle name="Normal 10 6 8 2 4 2" xfId="15595"/>
    <cellStyle name="Normal 10 6 8 2 5" xfId="15596"/>
    <cellStyle name="Normal 10 6 8 2 5 2" xfId="15597"/>
    <cellStyle name="Normal 10 6 8 2 6" xfId="15598"/>
    <cellStyle name="Normal 10 6 8 2 7" xfId="15599"/>
    <cellStyle name="Normal 10 6 8 2 8" xfId="15600"/>
    <cellStyle name="Normal 10 6 8 2 9" xfId="15601"/>
    <cellStyle name="Normal 10 6 8 3" xfId="15602"/>
    <cellStyle name="Normal 10 6 8 3 2" xfId="15603"/>
    <cellStyle name="Normal 10 6 8 3 2 2" xfId="15604"/>
    <cellStyle name="Normal 10 6 8 3 3" xfId="15605"/>
    <cellStyle name="Normal 10 6 8 3 4" xfId="15606"/>
    <cellStyle name="Normal 10 6 8 3 5" xfId="15607"/>
    <cellStyle name="Normal 10 6 8 4" xfId="15608"/>
    <cellStyle name="Normal 10 6 8 4 2" xfId="15609"/>
    <cellStyle name="Normal 10 6 8 5" xfId="15610"/>
    <cellStyle name="Normal 10 6 8 5 2" xfId="15611"/>
    <cellStyle name="Normal 10 6 8 6" xfId="15612"/>
    <cellStyle name="Normal 10 6 8 6 2" xfId="15613"/>
    <cellStyle name="Normal 10 6 8 7" xfId="15614"/>
    <cellStyle name="Normal 10 6 8 7 2" xfId="15615"/>
    <cellStyle name="Normal 10 6 8 8" xfId="15616"/>
    <cellStyle name="Normal 10 6 8 9" xfId="15617"/>
    <cellStyle name="Normal 10 6 9" xfId="15618"/>
    <cellStyle name="Normal 10 6 9 10" xfId="15619"/>
    <cellStyle name="Normal 10 6 9 11" xfId="15620"/>
    <cellStyle name="Normal 10 6 9 12" xfId="15621"/>
    <cellStyle name="Normal 10 6 9 13" xfId="15622"/>
    <cellStyle name="Normal 10 6 9 14" xfId="15623"/>
    <cellStyle name="Normal 10 6 9 15" xfId="15624"/>
    <cellStyle name="Normal 10 6 9 2" xfId="15625"/>
    <cellStyle name="Normal 10 6 9 2 2" xfId="15626"/>
    <cellStyle name="Normal 10 6 9 2 2 2" xfId="15627"/>
    <cellStyle name="Normal 10 6 9 2 3" xfId="15628"/>
    <cellStyle name="Normal 10 6 9 2 3 2" xfId="15629"/>
    <cellStyle name="Normal 10 6 9 2 4" xfId="15630"/>
    <cellStyle name="Normal 10 6 9 2 4 2" xfId="15631"/>
    <cellStyle name="Normal 10 6 9 2 5" xfId="15632"/>
    <cellStyle name="Normal 10 6 9 2 5 2" xfId="15633"/>
    <cellStyle name="Normal 10 6 9 2 6" xfId="15634"/>
    <cellStyle name="Normal 10 6 9 2 7" xfId="15635"/>
    <cellStyle name="Normal 10 6 9 2 8" xfId="15636"/>
    <cellStyle name="Normal 10 6 9 2 9" xfId="15637"/>
    <cellStyle name="Normal 10 6 9 3" xfId="15638"/>
    <cellStyle name="Normal 10 6 9 3 2" xfId="15639"/>
    <cellStyle name="Normal 10 6 9 3 2 2" xfId="15640"/>
    <cellStyle name="Normal 10 6 9 3 3" xfId="15641"/>
    <cellStyle name="Normal 10 6 9 3 4" xfId="15642"/>
    <cellStyle name="Normal 10 6 9 3 5" xfId="15643"/>
    <cellStyle name="Normal 10 6 9 4" xfId="15644"/>
    <cellStyle name="Normal 10 6 9 4 2" xfId="15645"/>
    <cellStyle name="Normal 10 6 9 5" xfId="15646"/>
    <cellStyle name="Normal 10 6 9 5 2" xfId="15647"/>
    <cellStyle name="Normal 10 6 9 6" xfId="15648"/>
    <cellStyle name="Normal 10 6 9 6 2" xfId="15649"/>
    <cellStyle name="Normal 10 6 9 7" xfId="15650"/>
    <cellStyle name="Normal 10 6 9 7 2" xfId="15651"/>
    <cellStyle name="Normal 10 6 9 8" xfId="15652"/>
    <cellStyle name="Normal 10 6 9 9" xfId="15653"/>
    <cellStyle name="Normal 10 7" xfId="15654"/>
    <cellStyle name="Normal 10 7 10" xfId="15655"/>
    <cellStyle name="Normal 10 7 10 10" xfId="15656"/>
    <cellStyle name="Normal 10 7 10 11" xfId="15657"/>
    <cellStyle name="Normal 10 7 10 12" xfId="15658"/>
    <cellStyle name="Normal 10 7 10 13" xfId="15659"/>
    <cellStyle name="Normal 10 7 10 14" xfId="15660"/>
    <cellStyle name="Normal 10 7 10 2" xfId="15661"/>
    <cellStyle name="Normal 10 7 10 2 2" xfId="15662"/>
    <cellStyle name="Normal 10 7 10 2 2 2" xfId="15663"/>
    <cellStyle name="Normal 10 7 10 2 3" xfId="15664"/>
    <cellStyle name="Normal 10 7 10 2 3 2" xfId="15665"/>
    <cellStyle name="Normal 10 7 10 2 4" xfId="15666"/>
    <cellStyle name="Normal 10 7 10 2 4 2" xfId="15667"/>
    <cellStyle name="Normal 10 7 10 2 5" xfId="15668"/>
    <cellStyle name="Normal 10 7 10 2 5 2" xfId="15669"/>
    <cellStyle name="Normal 10 7 10 2 6" xfId="15670"/>
    <cellStyle name="Normal 10 7 10 2 7" xfId="15671"/>
    <cellStyle name="Normal 10 7 10 2 8" xfId="15672"/>
    <cellStyle name="Normal 10 7 10 2 9" xfId="15673"/>
    <cellStyle name="Normal 10 7 10 3" xfId="15674"/>
    <cellStyle name="Normal 10 7 10 3 2" xfId="15675"/>
    <cellStyle name="Normal 10 7 10 3 2 2" xfId="15676"/>
    <cellStyle name="Normal 10 7 10 3 3" xfId="15677"/>
    <cellStyle name="Normal 10 7 10 3 4" xfId="15678"/>
    <cellStyle name="Normal 10 7 10 3 5" xfId="15679"/>
    <cellStyle name="Normal 10 7 10 4" xfId="15680"/>
    <cellStyle name="Normal 10 7 10 4 2" xfId="15681"/>
    <cellStyle name="Normal 10 7 10 5" xfId="15682"/>
    <cellStyle name="Normal 10 7 10 5 2" xfId="15683"/>
    <cellStyle name="Normal 10 7 10 6" xfId="15684"/>
    <cellStyle name="Normal 10 7 10 6 2" xfId="15685"/>
    <cellStyle name="Normal 10 7 10 7" xfId="15686"/>
    <cellStyle name="Normal 10 7 10 7 2" xfId="15687"/>
    <cellStyle name="Normal 10 7 10 8" xfId="15688"/>
    <cellStyle name="Normal 10 7 10 9" xfId="15689"/>
    <cellStyle name="Normal 10 7 11" xfId="15690"/>
    <cellStyle name="Normal 10 7 11 2" xfId="15691"/>
    <cellStyle name="Normal 10 7 11 2 2" xfId="15692"/>
    <cellStyle name="Normal 10 7 11 3" xfId="15693"/>
    <cellStyle name="Normal 10 7 11 3 2" xfId="15694"/>
    <cellStyle name="Normal 10 7 11 4" xfId="15695"/>
    <cellStyle name="Normal 10 7 11 4 2" xfId="15696"/>
    <cellStyle name="Normal 10 7 11 5" xfId="15697"/>
    <cellStyle name="Normal 10 7 11 5 2" xfId="15698"/>
    <cellStyle name="Normal 10 7 11 6" xfId="15699"/>
    <cellStyle name="Normal 10 7 11 7" xfId="15700"/>
    <cellStyle name="Normal 10 7 11 8" xfId="15701"/>
    <cellStyle name="Normal 10 7 11 9" xfId="15702"/>
    <cellStyle name="Normal 10 7 12" xfId="15703"/>
    <cellStyle name="Normal 10 7 12 2" xfId="15704"/>
    <cellStyle name="Normal 10 7 12 2 2" xfId="15705"/>
    <cellStyle name="Normal 10 7 12 3" xfId="15706"/>
    <cellStyle name="Normal 10 7 12 4" xfId="15707"/>
    <cellStyle name="Normal 10 7 12 5" xfId="15708"/>
    <cellStyle name="Normal 10 7 13" xfId="15709"/>
    <cellStyle name="Normal 10 7 13 2" xfId="15710"/>
    <cellStyle name="Normal 10 7 14" xfId="15711"/>
    <cellStyle name="Normal 10 7 14 2" xfId="15712"/>
    <cellStyle name="Normal 10 7 15" xfId="15713"/>
    <cellStyle name="Normal 10 7 15 2" xfId="15714"/>
    <cellStyle name="Normal 10 7 16" xfId="15715"/>
    <cellStyle name="Normal 10 7 16 2" xfId="15716"/>
    <cellStyle name="Normal 10 7 17" xfId="15717"/>
    <cellStyle name="Normal 10 7 18" xfId="15718"/>
    <cellStyle name="Normal 10 7 19" xfId="15719"/>
    <cellStyle name="Normal 10 7 2" xfId="15720"/>
    <cellStyle name="Normal 10 7 2 10" xfId="15721"/>
    <cellStyle name="Normal 10 7 2 11" xfId="15722"/>
    <cellStyle name="Normal 10 7 2 12" xfId="15723"/>
    <cellStyle name="Normal 10 7 2 13" xfId="15724"/>
    <cellStyle name="Normal 10 7 2 14" xfId="15725"/>
    <cellStyle name="Normal 10 7 2 15" xfId="15726"/>
    <cellStyle name="Normal 10 7 2 16" xfId="15727"/>
    <cellStyle name="Normal 10 7 2 17" xfId="15728"/>
    <cellStyle name="Normal 10 7 2 18" xfId="15729"/>
    <cellStyle name="Normal 10 7 2 2" xfId="15730"/>
    <cellStyle name="Normal 10 7 2 2 10" xfId="15731"/>
    <cellStyle name="Normal 10 7 2 2 11" xfId="15732"/>
    <cellStyle name="Normal 10 7 2 2 12" xfId="15733"/>
    <cellStyle name="Normal 10 7 2 2 13" xfId="15734"/>
    <cellStyle name="Normal 10 7 2 2 2" xfId="15735"/>
    <cellStyle name="Normal 10 7 2 2 2 2" xfId="15736"/>
    <cellStyle name="Normal 10 7 2 2 2 2 2" xfId="15737"/>
    <cellStyle name="Normal 10 7 2 2 2 3" xfId="15738"/>
    <cellStyle name="Normal 10 7 2 2 2 4" xfId="15739"/>
    <cellStyle name="Normal 10 7 2 2 2 5" xfId="15740"/>
    <cellStyle name="Normal 10 7 2 2 3" xfId="15741"/>
    <cellStyle name="Normal 10 7 2 2 3 2" xfId="15742"/>
    <cellStyle name="Normal 10 7 2 2 4" xfId="15743"/>
    <cellStyle name="Normal 10 7 2 2 4 2" xfId="15744"/>
    <cellStyle name="Normal 10 7 2 2 5" xfId="15745"/>
    <cellStyle name="Normal 10 7 2 2 5 2" xfId="15746"/>
    <cellStyle name="Normal 10 7 2 2 6" xfId="15747"/>
    <cellStyle name="Normal 10 7 2 2 6 2" xfId="15748"/>
    <cellStyle name="Normal 10 7 2 2 7" xfId="15749"/>
    <cellStyle name="Normal 10 7 2 2 8" xfId="15750"/>
    <cellStyle name="Normal 10 7 2 2 9" xfId="15751"/>
    <cellStyle name="Normal 10 7 2 3" xfId="15752"/>
    <cellStyle name="Normal 10 7 2 3 2" xfId="15753"/>
    <cellStyle name="Normal 10 7 2 3 2 2" xfId="15754"/>
    <cellStyle name="Normal 10 7 2 3 3" xfId="15755"/>
    <cellStyle name="Normal 10 7 2 3 4" xfId="15756"/>
    <cellStyle name="Normal 10 7 2 3 5" xfId="15757"/>
    <cellStyle name="Normal 10 7 2 4" xfId="15758"/>
    <cellStyle name="Normal 10 7 2 4 2" xfId="15759"/>
    <cellStyle name="Normal 10 7 2 5" xfId="15760"/>
    <cellStyle name="Normal 10 7 2 5 2" xfId="15761"/>
    <cellStyle name="Normal 10 7 2 6" xfId="15762"/>
    <cellStyle name="Normal 10 7 2 6 2" xfId="15763"/>
    <cellStyle name="Normal 10 7 2 7" xfId="15764"/>
    <cellStyle name="Normal 10 7 2 7 2" xfId="15765"/>
    <cellStyle name="Normal 10 7 2 8" xfId="15766"/>
    <cellStyle name="Normal 10 7 2 9" xfId="15767"/>
    <cellStyle name="Normal 10 7 20" xfId="15768"/>
    <cellStyle name="Normal 10 7 21" xfId="15769"/>
    <cellStyle name="Normal 10 7 22" xfId="15770"/>
    <cellStyle name="Normal 10 7 23" xfId="15771"/>
    <cellStyle name="Normal 10 7 24" xfId="15772"/>
    <cellStyle name="Normal 10 7 25" xfId="15773"/>
    <cellStyle name="Normal 10 7 3" xfId="15774"/>
    <cellStyle name="Normal 10 7 3 10" xfId="15775"/>
    <cellStyle name="Normal 10 7 3 11" xfId="15776"/>
    <cellStyle name="Normal 10 7 3 12" xfId="15777"/>
    <cellStyle name="Normal 10 7 3 13" xfId="15778"/>
    <cellStyle name="Normal 10 7 3 14" xfId="15779"/>
    <cellStyle name="Normal 10 7 3 15" xfId="15780"/>
    <cellStyle name="Normal 10 7 3 16" xfId="15781"/>
    <cellStyle name="Normal 10 7 3 17" xfId="15782"/>
    <cellStyle name="Normal 10 7 3 18" xfId="15783"/>
    <cellStyle name="Normal 10 7 3 2" xfId="15784"/>
    <cellStyle name="Normal 10 7 3 2 10" xfId="15785"/>
    <cellStyle name="Normal 10 7 3 2 11" xfId="15786"/>
    <cellStyle name="Normal 10 7 3 2 12" xfId="15787"/>
    <cellStyle name="Normal 10 7 3 2 13" xfId="15788"/>
    <cellStyle name="Normal 10 7 3 2 2" xfId="15789"/>
    <cellStyle name="Normal 10 7 3 2 2 2" xfId="15790"/>
    <cellStyle name="Normal 10 7 3 2 2 2 2" xfId="15791"/>
    <cellStyle name="Normal 10 7 3 2 2 3" xfId="15792"/>
    <cellStyle name="Normal 10 7 3 2 2 4" xfId="15793"/>
    <cellStyle name="Normal 10 7 3 2 2 5" xfId="15794"/>
    <cellStyle name="Normal 10 7 3 2 3" xfId="15795"/>
    <cellStyle name="Normal 10 7 3 2 3 2" xfId="15796"/>
    <cellStyle name="Normal 10 7 3 2 4" xfId="15797"/>
    <cellStyle name="Normal 10 7 3 2 4 2" xfId="15798"/>
    <cellStyle name="Normal 10 7 3 2 5" xfId="15799"/>
    <cellStyle name="Normal 10 7 3 2 5 2" xfId="15800"/>
    <cellStyle name="Normal 10 7 3 2 6" xfId="15801"/>
    <cellStyle name="Normal 10 7 3 2 6 2" xfId="15802"/>
    <cellStyle name="Normal 10 7 3 2 7" xfId="15803"/>
    <cellStyle name="Normal 10 7 3 2 8" xfId="15804"/>
    <cellStyle name="Normal 10 7 3 2 9" xfId="15805"/>
    <cellStyle name="Normal 10 7 3 3" xfId="15806"/>
    <cellStyle name="Normal 10 7 3 3 2" xfId="15807"/>
    <cellStyle name="Normal 10 7 3 3 2 2" xfId="15808"/>
    <cellStyle name="Normal 10 7 3 3 3" xfId="15809"/>
    <cellStyle name="Normal 10 7 3 3 4" xfId="15810"/>
    <cellStyle name="Normal 10 7 3 3 5" xfId="15811"/>
    <cellStyle name="Normal 10 7 3 4" xfId="15812"/>
    <cellStyle name="Normal 10 7 3 4 2" xfId="15813"/>
    <cellStyle name="Normal 10 7 3 5" xfId="15814"/>
    <cellStyle name="Normal 10 7 3 5 2" xfId="15815"/>
    <cellStyle name="Normal 10 7 3 6" xfId="15816"/>
    <cellStyle name="Normal 10 7 3 6 2" xfId="15817"/>
    <cellStyle name="Normal 10 7 3 7" xfId="15818"/>
    <cellStyle name="Normal 10 7 3 7 2" xfId="15819"/>
    <cellStyle name="Normal 10 7 3 8" xfId="15820"/>
    <cellStyle name="Normal 10 7 3 9" xfId="15821"/>
    <cellStyle name="Normal 10 7 4" xfId="15822"/>
    <cellStyle name="Normal 10 7 4 10" xfId="15823"/>
    <cellStyle name="Normal 10 7 4 11" xfId="15824"/>
    <cellStyle name="Normal 10 7 4 12" xfId="15825"/>
    <cellStyle name="Normal 10 7 4 13" xfId="15826"/>
    <cellStyle name="Normal 10 7 4 14" xfId="15827"/>
    <cellStyle name="Normal 10 7 4 15" xfId="15828"/>
    <cellStyle name="Normal 10 7 4 16" xfId="15829"/>
    <cellStyle name="Normal 10 7 4 17" xfId="15830"/>
    <cellStyle name="Normal 10 7 4 18" xfId="15831"/>
    <cellStyle name="Normal 10 7 4 2" xfId="15832"/>
    <cellStyle name="Normal 10 7 4 2 10" xfId="15833"/>
    <cellStyle name="Normal 10 7 4 2 11" xfId="15834"/>
    <cellStyle name="Normal 10 7 4 2 12" xfId="15835"/>
    <cellStyle name="Normal 10 7 4 2 13" xfId="15836"/>
    <cellStyle name="Normal 10 7 4 2 2" xfId="15837"/>
    <cellStyle name="Normal 10 7 4 2 2 2" xfId="15838"/>
    <cellStyle name="Normal 10 7 4 2 2 2 2" xfId="15839"/>
    <cellStyle name="Normal 10 7 4 2 2 3" xfId="15840"/>
    <cellStyle name="Normal 10 7 4 2 2 4" xfId="15841"/>
    <cellStyle name="Normal 10 7 4 2 2 5" xfId="15842"/>
    <cellStyle name="Normal 10 7 4 2 3" xfId="15843"/>
    <cellStyle name="Normal 10 7 4 2 3 2" xfId="15844"/>
    <cellStyle name="Normal 10 7 4 2 4" xfId="15845"/>
    <cellStyle name="Normal 10 7 4 2 4 2" xfId="15846"/>
    <cellStyle name="Normal 10 7 4 2 5" xfId="15847"/>
    <cellStyle name="Normal 10 7 4 2 5 2" xfId="15848"/>
    <cellStyle name="Normal 10 7 4 2 6" xfId="15849"/>
    <cellStyle name="Normal 10 7 4 2 6 2" xfId="15850"/>
    <cellStyle name="Normal 10 7 4 2 7" xfId="15851"/>
    <cellStyle name="Normal 10 7 4 2 8" xfId="15852"/>
    <cellStyle name="Normal 10 7 4 2 9" xfId="15853"/>
    <cellStyle name="Normal 10 7 4 3" xfId="15854"/>
    <cellStyle name="Normal 10 7 4 3 2" xfId="15855"/>
    <cellStyle name="Normal 10 7 4 3 2 2" xfId="15856"/>
    <cellStyle name="Normal 10 7 4 3 3" xfId="15857"/>
    <cellStyle name="Normal 10 7 4 3 4" xfId="15858"/>
    <cellStyle name="Normal 10 7 4 3 5" xfId="15859"/>
    <cellStyle name="Normal 10 7 4 4" xfId="15860"/>
    <cellStyle name="Normal 10 7 4 4 2" xfId="15861"/>
    <cellStyle name="Normal 10 7 4 5" xfId="15862"/>
    <cellStyle name="Normal 10 7 4 5 2" xfId="15863"/>
    <cellStyle name="Normal 10 7 4 6" xfId="15864"/>
    <cellStyle name="Normal 10 7 4 6 2" xfId="15865"/>
    <cellStyle name="Normal 10 7 4 7" xfId="15866"/>
    <cellStyle name="Normal 10 7 4 7 2" xfId="15867"/>
    <cellStyle name="Normal 10 7 4 8" xfId="15868"/>
    <cellStyle name="Normal 10 7 4 9" xfId="15869"/>
    <cellStyle name="Normal 10 7 5" xfId="15870"/>
    <cellStyle name="Normal 10 7 5 10" xfId="15871"/>
    <cellStyle name="Normal 10 7 5 11" xfId="15872"/>
    <cellStyle name="Normal 10 7 5 12" xfId="15873"/>
    <cellStyle name="Normal 10 7 5 13" xfId="15874"/>
    <cellStyle name="Normal 10 7 5 14" xfId="15875"/>
    <cellStyle name="Normal 10 7 5 15" xfId="15876"/>
    <cellStyle name="Normal 10 7 5 16" xfId="15877"/>
    <cellStyle name="Normal 10 7 5 17" xfId="15878"/>
    <cellStyle name="Normal 10 7 5 2" xfId="15879"/>
    <cellStyle name="Normal 10 7 5 2 10" xfId="15880"/>
    <cellStyle name="Normal 10 7 5 2 11" xfId="15881"/>
    <cellStyle name="Normal 10 7 5 2 12" xfId="15882"/>
    <cellStyle name="Normal 10 7 5 2 13" xfId="15883"/>
    <cellStyle name="Normal 10 7 5 2 2" xfId="15884"/>
    <cellStyle name="Normal 10 7 5 2 2 2" xfId="15885"/>
    <cellStyle name="Normal 10 7 5 2 2 2 2" xfId="15886"/>
    <cellStyle name="Normal 10 7 5 2 2 3" xfId="15887"/>
    <cellStyle name="Normal 10 7 5 2 2 4" xfId="15888"/>
    <cellStyle name="Normal 10 7 5 2 2 5" xfId="15889"/>
    <cellStyle name="Normal 10 7 5 2 3" xfId="15890"/>
    <cellStyle name="Normal 10 7 5 2 3 2" xfId="15891"/>
    <cellStyle name="Normal 10 7 5 2 4" xfId="15892"/>
    <cellStyle name="Normal 10 7 5 2 4 2" xfId="15893"/>
    <cellStyle name="Normal 10 7 5 2 5" xfId="15894"/>
    <cellStyle name="Normal 10 7 5 2 5 2" xfId="15895"/>
    <cellStyle name="Normal 10 7 5 2 6" xfId="15896"/>
    <cellStyle name="Normal 10 7 5 2 6 2" xfId="15897"/>
    <cellStyle name="Normal 10 7 5 2 7" xfId="15898"/>
    <cellStyle name="Normal 10 7 5 2 8" xfId="15899"/>
    <cellStyle name="Normal 10 7 5 2 9" xfId="15900"/>
    <cellStyle name="Normal 10 7 5 3" xfId="15901"/>
    <cellStyle name="Normal 10 7 5 3 2" xfId="15902"/>
    <cellStyle name="Normal 10 7 5 3 2 2" xfId="15903"/>
    <cellStyle name="Normal 10 7 5 3 3" xfId="15904"/>
    <cellStyle name="Normal 10 7 5 3 4" xfId="15905"/>
    <cellStyle name="Normal 10 7 5 3 5" xfId="15906"/>
    <cellStyle name="Normal 10 7 5 4" xfId="15907"/>
    <cellStyle name="Normal 10 7 5 4 2" xfId="15908"/>
    <cellStyle name="Normal 10 7 5 5" xfId="15909"/>
    <cellStyle name="Normal 10 7 5 5 2" xfId="15910"/>
    <cellStyle name="Normal 10 7 5 6" xfId="15911"/>
    <cellStyle name="Normal 10 7 5 6 2" xfId="15912"/>
    <cellStyle name="Normal 10 7 5 7" xfId="15913"/>
    <cellStyle name="Normal 10 7 5 7 2" xfId="15914"/>
    <cellStyle name="Normal 10 7 5 8" xfId="15915"/>
    <cellStyle name="Normal 10 7 5 9" xfId="15916"/>
    <cellStyle name="Normal 10 7 6" xfId="15917"/>
    <cellStyle name="Normal 10 7 6 10" xfId="15918"/>
    <cellStyle name="Normal 10 7 6 11" xfId="15919"/>
    <cellStyle name="Normal 10 7 6 12" xfId="15920"/>
    <cellStyle name="Normal 10 7 6 13" xfId="15921"/>
    <cellStyle name="Normal 10 7 6 14" xfId="15922"/>
    <cellStyle name="Normal 10 7 6 15" xfId="15923"/>
    <cellStyle name="Normal 10 7 6 16" xfId="15924"/>
    <cellStyle name="Normal 10 7 6 17" xfId="15925"/>
    <cellStyle name="Normal 10 7 6 2" xfId="15926"/>
    <cellStyle name="Normal 10 7 6 2 10" xfId="15927"/>
    <cellStyle name="Normal 10 7 6 2 11" xfId="15928"/>
    <cellStyle name="Normal 10 7 6 2 12" xfId="15929"/>
    <cellStyle name="Normal 10 7 6 2 13" xfId="15930"/>
    <cellStyle name="Normal 10 7 6 2 2" xfId="15931"/>
    <cellStyle name="Normal 10 7 6 2 2 2" xfId="15932"/>
    <cellStyle name="Normal 10 7 6 2 2 2 2" xfId="15933"/>
    <cellStyle name="Normal 10 7 6 2 2 3" xfId="15934"/>
    <cellStyle name="Normal 10 7 6 2 2 4" xfId="15935"/>
    <cellStyle name="Normal 10 7 6 2 2 5" xfId="15936"/>
    <cellStyle name="Normal 10 7 6 2 3" xfId="15937"/>
    <cellStyle name="Normal 10 7 6 2 3 2" xfId="15938"/>
    <cellStyle name="Normal 10 7 6 2 4" xfId="15939"/>
    <cellStyle name="Normal 10 7 6 2 4 2" xfId="15940"/>
    <cellStyle name="Normal 10 7 6 2 5" xfId="15941"/>
    <cellStyle name="Normal 10 7 6 2 5 2" xfId="15942"/>
    <cellStyle name="Normal 10 7 6 2 6" xfId="15943"/>
    <cellStyle name="Normal 10 7 6 2 6 2" xfId="15944"/>
    <cellStyle name="Normal 10 7 6 2 7" xfId="15945"/>
    <cellStyle name="Normal 10 7 6 2 8" xfId="15946"/>
    <cellStyle name="Normal 10 7 6 2 9" xfId="15947"/>
    <cellStyle name="Normal 10 7 6 3" xfId="15948"/>
    <cellStyle name="Normal 10 7 6 3 2" xfId="15949"/>
    <cellStyle name="Normal 10 7 6 3 2 2" xfId="15950"/>
    <cellStyle name="Normal 10 7 6 3 3" xfId="15951"/>
    <cellStyle name="Normal 10 7 6 3 4" xfId="15952"/>
    <cellStyle name="Normal 10 7 6 3 5" xfId="15953"/>
    <cellStyle name="Normal 10 7 6 4" xfId="15954"/>
    <cellStyle name="Normal 10 7 6 4 2" xfId="15955"/>
    <cellStyle name="Normal 10 7 6 5" xfId="15956"/>
    <cellStyle name="Normal 10 7 6 5 2" xfId="15957"/>
    <cellStyle name="Normal 10 7 6 6" xfId="15958"/>
    <cellStyle name="Normal 10 7 6 6 2" xfId="15959"/>
    <cellStyle name="Normal 10 7 6 7" xfId="15960"/>
    <cellStyle name="Normal 10 7 6 7 2" xfId="15961"/>
    <cellStyle name="Normal 10 7 6 8" xfId="15962"/>
    <cellStyle name="Normal 10 7 6 9" xfId="15963"/>
    <cellStyle name="Normal 10 7 7" xfId="15964"/>
    <cellStyle name="Normal 10 7 7 10" xfId="15965"/>
    <cellStyle name="Normal 10 7 7 11" xfId="15966"/>
    <cellStyle name="Normal 10 7 7 12" xfId="15967"/>
    <cellStyle name="Normal 10 7 7 13" xfId="15968"/>
    <cellStyle name="Normal 10 7 7 14" xfId="15969"/>
    <cellStyle name="Normal 10 7 7 15" xfId="15970"/>
    <cellStyle name="Normal 10 7 7 16" xfId="15971"/>
    <cellStyle name="Normal 10 7 7 17" xfId="15972"/>
    <cellStyle name="Normal 10 7 7 2" xfId="15973"/>
    <cellStyle name="Normal 10 7 7 2 10" xfId="15974"/>
    <cellStyle name="Normal 10 7 7 2 11" xfId="15975"/>
    <cellStyle name="Normal 10 7 7 2 12" xfId="15976"/>
    <cellStyle name="Normal 10 7 7 2 13" xfId="15977"/>
    <cellStyle name="Normal 10 7 7 2 2" xfId="15978"/>
    <cellStyle name="Normal 10 7 7 2 2 2" xfId="15979"/>
    <cellStyle name="Normal 10 7 7 2 2 2 2" xfId="15980"/>
    <cellStyle name="Normal 10 7 7 2 2 3" xfId="15981"/>
    <cellStyle name="Normal 10 7 7 2 2 4" xfId="15982"/>
    <cellStyle name="Normal 10 7 7 2 2 5" xfId="15983"/>
    <cellStyle name="Normal 10 7 7 2 3" xfId="15984"/>
    <cellStyle name="Normal 10 7 7 2 3 2" xfId="15985"/>
    <cellStyle name="Normal 10 7 7 2 4" xfId="15986"/>
    <cellStyle name="Normal 10 7 7 2 4 2" xfId="15987"/>
    <cellStyle name="Normal 10 7 7 2 5" xfId="15988"/>
    <cellStyle name="Normal 10 7 7 2 5 2" xfId="15989"/>
    <cellStyle name="Normal 10 7 7 2 6" xfId="15990"/>
    <cellStyle name="Normal 10 7 7 2 6 2" xfId="15991"/>
    <cellStyle name="Normal 10 7 7 2 7" xfId="15992"/>
    <cellStyle name="Normal 10 7 7 2 8" xfId="15993"/>
    <cellStyle name="Normal 10 7 7 2 9" xfId="15994"/>
    <cellStyle name="Normal 10 7 7 3" xfId="15995"/>
    <cellStyle name="Normal 10 7 7 3 2" xfId="15996"/>
    <cellStyle name="Normal 10 7 7 3 2 2" xfId="15997"/>
    <cellStyle name="Normal 10 7 7 3 3" xfId="15998"/>
    <cellStyle name="Normal 10 7 7 3 4" xfId="15999"/>
    <cellStyle name="Normal 10 7 7 3 5" xfId="16000"/>
    <cellStyle name="Normal 10 7 7 4" xfId="16001"/>
    <cellStyle name="Normal 10 7 7 4 2" xfId="16002"/>
    <cellStyle name="Normal 10 7 7 5" xfId="16003"/>
    <cellStyle name="Normal 10 7 7 5 2" xfId="16004"/>
    <cellStyle name="Normal 10 7 7 6" xfId="16005"/>
    <cellStyle name="Normal 10 7 7 6 2" xfId="16006"/>
    <cellStyle name="Normal 10 7 7 7" xfId="16007"/>
    <cellStyle name="Normal 10 7 7 7 2" xfId="16008"/>
    <cellStyle name="Normal 10 7 7 8" xfId="16009"/>
    <cellStyle name="Normal 10 7 7 9" xfId="16010"/>
    <cellStyle name="Normal 10 7 8" xfId="16011"/>
    <cellStyle name="Normal 10 7 8 10" xfId="16012"/>
    <cellStyle name="Normal 10 7 8 11" xfId="16013"/>
    <cellStyle name="Normal 10 7 8 12" xfId="16014"/>
    <cellStyle name="Normal 10 7 8 13" xfId="16015"/>
    <cellStyle name="Normal 10 7 8 14" xfId="16016"/>
    <cellStyle name="Normal 10 7 8 15" xfId="16017"/>
    <cellStyle name="Normal 10 7 8 2" xfId="16018"/>
    <cellStyle name="Normal 10 7 8 2 2" xfId="16019"/>
    <cellStyle name="Normal 10 7 8 2 2 2" xfId="16020"/>
    <cellStyle name="Normal 10 7 8 2 3" xfId="16021"/>
    <cellStyle name="Normal 10 7 8 2 3 2" xfId="16022"/>
    <cellStyle name="Normal 10 7 8 2 4" xfId="16023"/>
    <cellStyle name="Normal 10 7 8 2 4 2" xfId="16024"/>
    <cellStyle name="Normal 10 7 8 2 5" xfId="16025"/>
    <cellStyle name="Normal 10 7 8 2 5 2" xfId="16026"/>
    <cellStyle name="Normal 10 7 8 2 6" xfId="16027"/>
    <cellStyle name="Normal 10 7 8 2 7" xfId="16028"/>
    <cellStyle name="Normal 10 7 8 2 8" xfId="16029"/>
    <cellStyle name="Normal 10 7 8 2 9" xfId="16030"/>
    <cellStyle name="Normal 10 7 8 3" xfId="16031"/>
    <cellStyle name="Normal 10 7 8 3 2" xfId="16032"/>
    <cellStyle name="Normal 10 7 8 3 2 2" xfId="16033"/>
    <cellStyle name="Normal 10 7 8 3 3" xfId="16034"/>
    <cellStyle name="Normal 10 7 8 3 4" xfId="16035"/>
    <cellStyle name="Normal 10 7 8 3 5" xfId="16036"/>
    <cellStyle name="Normal 10 7 8 4" xfId="16037"/>
    <cellStyle name="Normal 10 7 8 4 2" xfId="16038"/>
    <cellStyle name="Normal 10 7 8 5" xfId="16039"/>
    <cellStyle name="Normal 10 7 8 5 2" xfId="16040"/>
    <cellStyle name="Normal 10 7 8 6" xfId="16041"/>
    <cellStyle name="Normal 10 7 8 6 2" xfId="16042"/>
    <cellStyle name="Normal 10 7 8 7" xfId="16043"/>
    <cellStyle name="Normal 10 7 8 7 2" xfId="16044"/>
    <cellStyle name="Normal 10 7 8 8" xfId="16045"/>
    <cellStyle name="Normal 10 7 8 9" xfId="16046"/>
    <cellStyle name="Normal 10 7 9" xfId="16047"/>
    <cellStyle name="Normal 10 7 9 10" xfId="16048"/>
    <cellStyle name="Normal 10 7 9 11" xfId="16049"/>
    <cellStyle name="Normal 10 7 9 12" xfId="16050"/>
    <cellStyle name="Normal 10 7 9 13" xfId="16051"/>
    <cellStyle name="Normal 10 7 9 14" xfId="16052"/>
    <cellStyle name="Normal 10 7 9 15" xfId="16053"/>
    <cellStyle name="Normal 10 7 9 2" xfId="16054"/>
    <cellStyle name="Normal 10 7 9 2 2" xfId="16055"/>
    <cellStyle name="Normal 10 7 9 2 2 2" xfId="16056"/>
    <cellStyle name="Normal 10 7 9 2 3" xfId="16057"/>
    <cellStyle name="Normal 10 7 9 2 3 2" xfId="16058"/>
    <cellStyle name="Normal 10 7 9 2 4" xfId="16059"/>
    <cellStyle name="Normal 10 7 9 2 4 2" xfId="16060"/>
    <cellStyle name="Normal 10 7 9 2 5" xfId="16061"/>
    <cellStyle name="Normal 10 7 9 2 5 2" xfId="16062"/>
    <cellStyle name="Normal 10 7 9 2 6" xfId="16063"/>
    <cellStyle name="Normal 10 7 9 2 7" xfId="16064"/>
    <cellStyle name="Normal 10 7 9 2 8" xfId="16065"/>
    <cellStyle name="Normal 10 7 9 2 9" xfId="16066"/>
    <cellStyle name="Normal 10 7 9 3" xfId="16067"/>
    <cellStyle name="Normal 10 7 9 3 2" xfId="16068"/>
    <cellStyle name="Normal 10 7 9 3 2 2" xfId="16069"/>
    <cellStyle name="Normal 10 7 9 3 3" xfId="16070"/>
    <cellStyle name="Normal 10 7 9 3 4" xfId="16071"/>
    <cellStyle name="Normal 10 7 9 3 5" xfId="16072"/>
    <cellStyle name="Normal 10 7 9 4" xfId="16073"/>
    <cellStyle name="Normal 10 7 9 4 2" xfId="16074"/>
    <cellStyle name="Normal 10 7 9 5" xfId="16075"/>
    <cellStyle name="Normal 10 7 9 5 2" xfId="16076"/>
    <cellStyle name="Normal 10 7 9 6" xfId="16077"/>
    <cellStyle name="Normal 10 7 9 6 2" xfId="16078"/>
    <cellStyle name="Normal 10 7 9 7" xfId="16079"/>
    <cellStyle name="Normal 10 7 9 7 2" xfId="16080"/>
    <cellStyle name="Normal 10 7 9 8" xfId="16081"/>
    <cellStyle name="Normal 10 7 9 9" xfId="16082"/>
    <cellStyle name="Normal 10 8" xfId="16083"/>
    <cellStyle name="Normal 10 8 10" xfId="16084"/>
    <cellStyle name="Normal 10 8 10 10" xfId="16085"/>
    <cellStyle name="Normal 10 8 10 11" xfId="16086"/>
    <cellStyle name="Normal 10 8 10 12" xfId="16087"/>
    <cellStyle name="Normal 10 8 10 13" xfId="16088"/>
    <cellStyle name="Normal 10 8 10 14" xfId="16089"/>
    <cellStyle name="Normal 10 8 10 2" xfId="16090"/>
    <cellStyle name="Normal 10 8 10 2 2" xfId="16091"/>
    <cellStyle name="Normal 10 8 10 2 2 2" xfId="16092"/>
    <cellStyle name="Normal 10 8 10 2 3" xfId="16093"/>
    <cellStyle name="Normal 10 8 10 2 3 2" xfId="16094"/>
    <cellStyle name="Normal 10 8 10 2 4" xfId="16095"/>
    <cellStyle name="Normal 10 8 10 2 4 2" xfId="16096"/>
    <cellStyle name="Normal 10 8 10 2 5" xfId="16097"/>
    <cellStyle name="Normal 10 8 10 2 5 2" xfId="16098"/>
    <cellStyle name="Normal 10 8 10 2 6" xfId="16099"/>
    <cellStyle name="Normal 10 8 10 2 7" xfId="16100"/>
    <cellStyle name="Normal 10 8 10 2 8" xfId="16101"/>
    <cellStyle name="Normal 10 8 10 2 9" xfId="16102"/>
    <cellStyle name="Normal 10 8 10 3" xfId="16103"/>
    <cellStyle name="Normal 10 8 10 3 2" xfId="16104"/>
    <cellStyle name="Normal 10 8 10 3 2 2" xfId="16105"/>
    <cellStyle name="Normal 10 8 10 3 3" xfId="16106"/>
    <cellStyle name="Normal 10 8 10 3 4" xfId="16107"/>
    <cellStyle name="Normal 10 8 10 3 5" xfId="16108"/>
    <cellStyle name="Normal 10 8 10 4" xfId="16109"/>
    <cellStyle name="Normal 10 8 10 4 2" xfId="16110"/>
    <cellStyle name="Normal 10 8 10 5" xfId="16111"/>
    <cellStyle name="Normal 10 8 10 5 2" xfId="16112"/>
    <cellStyle name="Normal 10 8 10 6" xfId="16113"/>
    <cellStyle name="Normal 10 8 10 6 2" xfId="16114"/>
    <cellStyle name="Normal 10 8 10 7" xfId="16115"/>
    <cellStyle name="Normal 10 8 10 7 2" xfId="16116"/>
    <cellStyle name="Normal 10 8 10 8" xfId="16117"/>
    <cellStyle name="Normal 10 8 10 9" xfId="16118"/>
    <cellStyle name="Normal 10 8 11" xfId="16119"/>
    <cellStyle name="Normal 10 8 11 2" xfId="16120"/>
    <cellStyle name="Normal 10 8 11 2 2" xfId="16121"/>
    <cellStyle name="Normal 10 8 11 3" xfId="16122"/>
    <cellStyle name="Normal 10 8 11 3 2" xfId="16123"/>
    <cellStyle name="Normal 10 8 11 4" xfId="16124"/>
    <cellStyle name="Normal 10 8 11 4 2" xfId="16125"/>
    <cellStyle name="Normal 10 8 11 5" xfId="16126"/>
    <cellStyle name="Normal 10 8 11 5 2" xfId="16127"/>
    <cellStyle name="Normal 10 8 11 6" xfId="16128"/>
    <cellStyle name="Normal 10 8 11 7" xfId="16129"/>
    <cellStyle name="Normal 10 8 11 8" xfId="16130"/>
    <cellStyle name="Normal 10 8 11 9" xfId="16131"/>
    <cellStyle name="Normal 10 8 12" xfId="16132"/>
    <cellStyle name="Normal 10 8 12 2" xfId="16133"/>
    <cellStyle name="Normal 10 8 12 2 2" xfId="16134"/>
    <cellStyle name="Normal 10 8 12 3" xfId="16135"/>
    <cellStyle name="Normal 10 8 12 4" xfId="16136"/>
    <cellStyle name="Normal 10 8 12 5" xfId="16137"/>
    <cellStyle name="Normal 10 8 13" xfId="16138"/>
    <cellStyle name="Normal 10 8 13 2" xfId="16139"/>
    <cellStyle name="Normal 10 8 14" xfId="16140"/>
    <cellStyle name="Normal 10 8 14 2" xfId="16141"/>
    <cellStyle name="Normal 10 8 15" xfId="16142"/>
    <cellStyle name="Normal 10 8 15 2" xfId="16143"/>
    <cellStyle name="Normal 10 8 16" xfId="16144"/>
    <cellStyle name="Normal 10 8 16 2" xfId="16145"/>
    <cellStyle name="Normal 10 8 17" xfId="16146"/>
    <cellStyle name="Normal 10 8 18" xfId="16147"/>
    <cellStyle name="Normal 10 8 19" xfId="16148"/>
    <cellStyle name="Normal 10 8 2" xfId="16149"/>
    <cellStyle name="Normal 10 8 2 10" xfId="16150"/>
    <cellStyle name="Normal 10 8 2 11" xfId="16151"/>
    <cellStyle name="Normal 10 8 2 12" xfId="16152"/>
    <cellStyle name="Normal 10 8 2 13" xfId="16153"/>
    <cellStyle name="Normal 10 8 2 14" xfId="16154"/>
    <cellStyle name="Normal 10 8 2 15" xfId="16155"/>
    <cellStyle name="Normal 10 8 2 16" xfId="16156"/>
    <cellStyle name="Normal 10 8 2 17" xfId="16157"/>
    <cellStyle name="Normal 10 8 2 18" xfId="16158"/>
    <cellStyle name="Normal 10 8 2 2" xfId="16159"/>
    <cellStyle name="Normal 10 8 2 2 10" xfId="16160"/>
    <cellStyle name="Normal 10 8 2 2 11" xfId="16161"/>
    <cellStyle name="Normal 10 8 2 2 12" xfId="16162"/>
    <cellStyle name="Normal 10 8 2 2 13" xfId="16163"/>
    <cellStyle name="Normal 10 8 2 2 2" xfId="16164"/>
    <cellStyle name="Normal 10 8 2 2 2 2" xfId="16165"/>
    <cellStyle name="Normal 10 8 2 2 2 2 2" xfId="16166"/>
    <cellStyle name="Normal 10 8 2 2 2 3" xfId="16167"/>
    <cellStyle name="Normal 10 8 2 2 2 4" xfId="16168"/>
    <cellStyle name="Normal 10 8 2 2 2 5" xfId="16169"/>
    <cellStyle name="Normal 10 8 2 2 3" xfId="16170"/>
    <cellStyle name="Normal 10 8 2 2 3 2" xfId="16171"/>
    <cellStyle name="Normal 10 8 2 2 4" xfId="16172"/>
    <cellStyle name="Normal 10 8 2 2 4 2" xfId="16173"/>
    <cellStyle name="Normal 10 8 2 2 5" xfId="16174"/>
    <cellStyle name="Normal 10 8 2 2 5 2" xfId="16175"/>
    <cellStyle name="Normal 10 8 2 2 6" xfId="16176"/>
    <cellStyle name="Normal 10 8 2 2 6 2" xfId="16177"/>
    <cellStyle name="Normal 10 8 2 2 7" xfId="16178"/>
    <cellStyle name="Normal 10 8 2 2 8" xfId="16179"/>
    <cellStyle name="Normal 10 8 2 2 9" xfId="16180"/>
    <cellStyle name="Normal 10 8 2 3" xfId="16181"/>
    <cellStyle name="Normal 10 8 2 3 2" xfId="16182"/>
    <cellStyle name="Normal 10 8 2 3 2 2" xfId="16183"/>
    <cellStyle name="Normal 10 8 2 3 3" xfId="16184"/>
    <cellStyle name="Normal 10 8 2 3 4" xfId="16185"/>
    <cellStyle name="Normal 10 8 2 3 5" xfId="16186"/>
    <cellStyle name="Normal 10 8 2 4" xfId="16187"/>
    <cellStyle name="Normal 10 8 2 4 2" xfId="16188"/>
    <cellStyle name="Normal 10 8 2 5" xfId="16189"/>
    <cellStyle name="Normal 10 8 2 5 2" xfId="16190"/>
    <cellStyle name="Normal 10 8 2 6" xfId="16191"/>
    <cellStyle name="Normal 10 8 2 6 2" xfId="16192"/>
    <cellStyle name="Normal 10 8 2 7" xfId="16193"/>
    <cellStyle name="Normal 10 8 2 7 2" xfId="16194"/>
    <cellStyle name="Normal 10 8 2 8" xfId="16195"/>
    <cellStyle name="Normal 10 8 2 9" xfId="16196"/>
    <cellStyle name="Normal 10 8 20" xfId="16197"/>
    <cellStyle name="Normal 10 8 21" xfId="16198"/>
    <cellStyle name="Normal 10 8 22" xfId="16199"/>
    <cellStyle name="Normal 10 8 23" xfId="16200"/>
    <cellStyle name="Normal 10 8 24" xfId="16201"/>
    <cellStyle name="Normal 10 8 25" xfId="16202"/>
    <cellStyle name="Normal 10 8 3" xfId="16203"/>
    <cellStyle name="Normal 10 8 3 10" xfId="16204"/>
    <cellStyle name="Normal 10 8 3 11" xfId="16205"/>
    <cellStyle name="Normal 10 8 3 12" xfId="16206"/>
    <cellStyle name="Normal 10 8 3 13" xfId="16207"/>
    <cellStyle name="Normal 10 8 3 14" xfId="16208"/>
    <cellStyle name="Normal 10 8 3 15" xfId="16209"/>
    <cellStyle name="Normal 10 8 3 16" xfId="16210"/>
    <cellStyle name="Normal 10 8 3 17" xfId="16211"/>
    <cellStyle name="Normal 10 8 3 18" xfId="16212"/>
    <cellStyle name="Normal 10 8 3 2" xfId="16213"/>
    <cellStyle name="Normal 10 8 3 2 10" xfId="16214"/>
    <cellStyle name="Normal 10 8 3 2 11" xfId="16215"/>
    <cellStyle name="Normal 10 8 3 2 12" xfId="16216"/>
    <cellStyle name="Normal 10 8 3 2 13" xfId="16217"/>
    <cellStyle name="Normal 10 8 3 2 2" xfId="16218"/>
    <cellStyle name="Normal 10 8 3 2 2 2" xfId="16219"/>
    <cellStyle name="Normal 10 8 3 2 2 2 2" xfId="16220"/>
    <cellStyle name="Normal 10 8 3 2 2 3" xfId="16221"/>
    <cellStyle name="Normal 10 8 3 2 2 4" xfId="16222"/>
    <cellStyle name="Normal 10 8 3 2 2 5" xfId="16223"/>
    <cellStyle name="Normal 10 8 3 2 3" xfId="16224"/>
    <cellStyle name="Normal 10 8 3 2 3 2" xfId="16225"/>
    <cellStyle name="Normal 10 8 3 2 4" xfId="16226"/>
    <cellStyle name="Normal 10 8 3 2 4 2" xfId="16227"/>
    <cellStyle name="Normal 10 8 3 2 5" xfId="16228"/>
    <cellStyle name="Normal 10 8 3 2 5 2" xfId="16229"/>
    <cellStyle name="Normal 10 8 3 2 6" xfId="16230"/>
    <cellStyle name="Normal 10 8 3 2 6 2" xfId="16231"/>
    <cellStyle name="Normal 10 8 3 2 7" xfId="16232"/>
    <cellStyle name="Normal 10 8 3 2 8" xfId="16233"/>
    <cellStyle name="Normal 10 8 3 2 9" xfId="16234"/>
    <cellStyle name="Normal 10 8 3 3" xfId="16235"/>
    <cellStyle name="Normal 10 8 3 3 2" xfId="16236"/>
    <cellStyle name="Normal 10 8 3 3 2 2" xfId="16237"/>
    <cellStyle name="Normal 10 8 3 3 3" xfId="16238"/>
    <cellStyle name="Normal 10 8 3 3 4" xfId="16239"/>
    <cellStyle name="Normal 10 8 3 3 5" xfId="16240"/>
    <cellStyle name="Normal 10 8 3 4" xfId="16241"/>
    <cellStyle name="Normal 10 8 3 4 2" xfId="16242"/>
    <cellStyle name="Normal 10 8 3 5" xfId="16243"/>
    <cellStyle name="Normal 10 8 3 5 2" xfId="16244"/>
    <cellStyle name="Normal 10 8 3 6" xfId="16245"/>
    <cellStyle name="Normal 10 8 3 6 2" xfId="16246"/>
    <cellStyle name="Normal 10 8 3 7" xfId="16247"/>
    <cellStyle name="Normal 10 8 3 7 2" xfId="16248"/>
    <cellStyle name="Normal 10 8 3 8" xfId="16249"/>
    <cellStyle name="Normal 10 8 3 9" xfId="16250"/>
    <cellStyle name="Normal 10 8 4" xfId="16251"/>
    <cellStyle name="Normal 10 8 4 10" xfId="16252"/>
    <cellStyle name="Normal 10 8 4 11" xfId="16253"/>
    <cellStyle name="Normal 10 8 4 12" xfId="16254"/>
    <cellStyle name="Normal 10 8 4 13" xfId="16255"/>
    <cellStyle name="Normal 10 8 4 14" xfId="16256"/>
    <cellStyle name="Normal 10 8 4 15" xfId="16257"/>
    <cellStyle name="Normal 10 8 4 16" xfId="16258"/>
    <cellStyle name="Normal 10 8 4 17" xfId="16259"/>
    <cellStyle name="Normal 10 8 4 18" xfId="16260"/>
    <cellStyle name="Normal 10 8 4 2" xfId="16261"/>
    <cellStyle name="Normal 10 8 4 2 10" xfId="16262"/>
    <cellStyle name="Normal 10 8 4 2 11" xfId="16263"/>
    <cellStyle name="Normal 10 8 4 2 12" xfId="16264"/>
    <cellStyle name="Normal 10 8 4 2 13" xfId="16265"/>
    <cellStyle name="Normal 10 8 4 2 2" xfId="16266"/>
    <cellStyle name="Normal 10 8 4 2 2 2" xfId="16267"/>
    <cellStyle name="Normal 10 8 4 2 2 2 2" xfId="16268"/>
    <cellStyle name="Normal 10 8 4 2 2 3" xfId="16269"/>
    <cellStyle name="Normal 10 8 4 2 2 4" xfId="16270"/>
    <cellStyle name="Normal 10 8 4 2 2 5" xfId="16271"/>
    <cellStyle name="Normal 10 8 4 2 3" xfId="16272"/>
    <cellStyle name="Normal 10 8 4 2 3 2" xfId="16273"/>
    <cellStyle name="Normal 10 8 4 2 4" xfId="16274"/>
    <cellStyle name="Normal 10 8 4 2 4 2" xfId="16275"/>
    <cellStyle name="Normal 10 8 4 2 5" xfId="16276"/>
    <cellStyle name="Normal 10 8 4 2 5 2" xfId="16277"/>
    <cellStyle name="Normal 10 8 4 2 6" xfId="16278"/>
    <cellStyle name="Normal 10 8 4 2 6 2" xfId="16279"/>
    <cellStyle name="Normal 10 8 4 2 7" xfId="16280"/>
    <cellStyle name="Normal 10 8 4 2 8" xfId="16281"/>
    <cellStyle name="Normal 10 8 4 2 9" xfId="16282"/>
    <cellStyle name="Normal 10 8 4 3" xfId="16283"/>
    <cellStyle name="Normal 10 8 4 3 2" xfId="16284"/>
    <cellStyle name="Normal 10 8 4 3 2 2" xfId="16285"/>
    <cellStyle name="Normal 10 8 4 3 3" xfId="16286"/>
    <cellStyle name="Normal 10 8 4 3 4" xfId="16287"/>
    <cellStyle name="Normal 10 8 4 3 5" xfId="16288"/>
    <cellStyle name="Normal 10 8 4 4" xfId="16289"/>
    <cellStyle name="Normal 10 8 4 4 2" xfId="16290"/>
    <cellStyle name="Normal 10 8 4 5" xfId="16291"/>
    <cellStyle name="Normal 10 8 4 5 2" xfId="16292"/>
    <cellStyle name="Normal 10 8 4 6" xfId="16293"/>
    <cellStyle name="Normal 10 8 4 6 2" xfId="16294"/>
    <cellStyle name="Normal 10 8 4 7" xfId="16295"/>
    <cellStyle name="Normal 10 8 4 7 2" xfId="16296"/>
    <cellStyle name="Normal 10 8 4 8" xfId="16297"/>
    <cellStyle name="Normal 10 8 4 9" xfId="16298"/>
    <cellStyle name="Normal 10 8 5" xfId="16299"/>
    <cellStyle name="Normal 10 8 5 10" xfId="16300"/>
    <cellStyle name="Normal 10 8 5 11" xfId="16301"/>
    <cellStyle name="Normal 10 8 5 12" xfId="16302"/>
    <cellStyle name="Normal 10 8 5 13" xfId="16303"/>
    <cellStyle name="Normal 10 8 5 14" xfId="16304"/>
    <cellStyle name="Normal 10 8 5 15" xfId="16305"/>
    <cellStyle name="Normal 10 8 5 16" xfId="16306"/>
    <cellStyle name="Normal 10 8 5 17" xfId="16307"/>
    <cellStyle name="Normal 10 8 5 2" xfId="16308"/>
    <cellStyle name="Normal 10 8 5 2 10" xfId="16309"/>
    <cellStyle name="Normal 10 8 5 2 11" xfId="16310"/>
    <cellStyle name="Normal 10 8 5 2 12" xfId="16311"/>
    <cellStyle name="Normal 10 8 5 2 13" xfId="16312"/>
    <cellStyle name="Normal 10 8 5 2 2" xfId="16313"/>
    <cellStyle name="Normal 10 8 5 2 2 2" xfId="16314"/>
    <cellStyle name="Normal 10 8 5 2 2 2 2" xfId="16315"/>
    <cellStyle name="Normal 10 8 5 2 2 3" xfId="16316"/>
    <cellStyle name="Normal 10 8 5 2 2 4" xfId="16317"/>
    <cellStyle name="Normal 10 8 5 2 2 5" xfId="16318"/>
    <cellStyle name="Normal 10 8 5 2 3" xfId="16319"/>
    <cellStyle name="Normal 10 8 5 2 3 2" xfId="16320"/>
    <cellStyle name="Normal 10 8 5 2 4" xfId="16321"/>
    <cellStyle name="Normal 10 8 5 2 4 2" xfId="16322"/>
    <cellStyle name="Normal 10 8 5 2 5" xfId="16323"/>
    <cellStyle name="Normal 10 8 5 2 5 2" xfId="16324"/>
    <cellStyle name="Normal 10 8 5 2 6" xfId="16325"/>
    <cellStyle name="Normal 10 8 5 2 6 2" xfId="16326"/>
    <cellStyle name="Normal 10 8 5 2 7" xfId="16327"/>
    <cellStyle name="Normal 10 8 5 2 8" xfId="16328"/>
    <cellStyle name="Normal 10 8 5 2 9" xfId="16329"/>
    <cellStyle name="Normal 10 8 5 3" xfId="16330"/>
    <cellStyle name="Normal 10 8 5 3 2" xfId="16331"/>
    <cellStyle name="Normal 10 8 5 3 2 2" xfId="16332"/>
    <cellStyle name="Normal 10 8 5 3 3" xfId="16333"/>
    <cellStyle name="Normal 10 8 5 3 4" xfId="16334"/>
    <cellStyle name="Normal 10 8 5 3 5" xfId="16335"/>
    <cellStyle name="Normal 10 8 5 4" xfId="16336"/>
    <cellStyle name="Normal 10 8 5 4 2" xfId="16337"/>
    <cellStyle name="Normal 10 8 5 5" xfId="16338"/>
    <cellStyle name="Normal 10 8 5 5 2" xfId="16339"/>
    <cellStyle name="Normal 10 8 5 6" xfId="16340"/>
    <cellStyle name="Normal 10 8 5 6 2" xfId="16341"/>
    <cellStyle name="Normal 10 8 5 7" xfId="16342"/>
    <cellStyle name="Normal 10 8 5 7 2" xfId="16343"/>
    <cellStyle name="Normal 10 8 5 8" xfId="16344"/>
    <cellStyle name="Normal 10 8 5 9" xfId="16345"/>
    <cellStyle name="Normal 10 8 6" xfId="16346"/>
    <cellStyle name="Normal 10 8 6 10" xfId="16347"/>
    <cellStyle name="Normal 10 8 6 11" xfId="16348"/>
    <cellStyle name="Normal 10 8 6 12" xfId="16349"/>
    <cellStyle name="Normal 10 8 6 13" xfId="16350"/>
    <cellStyle name="Normal 10 8 6 14" xfId="16351"/>
    <cellStyle name="Normal 10 8 6 15" xfId="16352"/>
    <cellStyle name="Normal 10 8 6 16" xfId="16353"/>
    <cellStyle name="Normal 10 8 6 17" xfId="16354"/>
    <cellStyle name="Normal 10 8 6 2" xfId="16355"/>
    <cellStyle name="Normal 10 8 6 2 10" xfId="16356"/>
    <cellStyle name="Normal 10 8 6 2 11" xfId="16357"/>
    <cellStyle name="Normal 10 8 6 2 12" xfId="16358"/>
    <cellStyle name="Normal 10 8 6 2 13" xfId="16359"/>
    <cellStyle name="Normal 10 8 6 2 2" xfId="16360"/>
    <cellStyle name="Normal 10 8 6 2 2 2" xfId="16361"/>
    <cellStyle name="Normal 10 8 6 2 2 2 2" xfId="16362"/>
    <cellStyle name="Normal 10 8 6 2 2 3" xfId="16363"/>
    <cellStyle name="Normal 10 8 6 2 2 4" xfId="16364"/>
    <cellStyle name="Normal 10 8 6 2 2 5" xfId="16365"/>
    <cellStyle name="Normal 10 8 6 2 3" xfId="16366"/>
    <cellStyle name="Normal 10 8 6 2 3 2" xfId="16367"/>
    <cellStyle name="Normal 10 8 6 2 4" xfId="16368"/>
    <cellStyle name="Normal 10 8 6 2 4 2" xfId="16369"/>
    <cellStyle name="Normal 10 8 6 2 5" xfId="16370"/>
    <cellStyle name="Normal 10 8 6 2 5 2" xfId="16371"/>
    <cellStyle name="Normal 10 8 6 2 6" xfId="16372"/>
    <cellStyle name="Normal 10 8 6 2 6 2" xfId="16373"/>
    <cellStyle name="Normal 10 8 6 2 7" xfId="16374"/>
    <cellStyle name="Normal 10 8 6 2 8" xfId="16375"/>
    <cellStyle name="Normal 10 8 6 2 9" xfId="16376"/>
    <cellStyle name="Normal 10 8 6 3" xfId="16377"/>
    <cellStyle name="Normal 10 8 6 3 2" xfId="16378"/>
    <cellStyle name="Normal 10 8 6 3 2 2" xfId="16379"/>
    <cellStyle name="Normal 10 8 6 3 3" xfId="16380"/>
    <cellStyle name="Normal 10 8 6 3 4" xfId="16381"/>
    <cellStyle name="Normal 10 8 6 3 5" xfId="16382"/>
    <cellStyle name="Normal 10 8 6 4" xfId="16383"/>
    <cellStyle name="Normal 10 8 6 4 2" xfId="16384"/>
    <cellStyle name="Normal 10 8 6 5" xfId="16385"/>
    <cellStyle name="Normal 10 8 6 5 2" xfId="16386"/>
    <cellStyle name="Normal 10 8 6 6" xfId="16387"/>
    <cellStyle name="Normal 10 8 6 6 2" xfId="16388"/>
    <cellStyle name="Normal 10 8 6 7" xfId="16389"/>
    <cellStyle name="Normal 10 8 6 7 2" xfId="16390"/>
    <cellStyle name="Normal 10 8 6 8" xfId="16391"/>
    <cellStyle name="Normal 10 8 6 9" xfId="16392"/>
    <cellStyle name="Normal 10 8 7" xfId="16393"/>
    <cellStyle name="Normal 10 8 7 10" xfId="16394"/>
    <cellStyle name="Normal 10 8 7 11" xfId="16395"/>
    <cellStyle name="Normal 10 8 7 12" xfId="16396"/>
    <cellStyle name="Normal 10 8 7 13" xfId="16397"/>
    <cellStyle name="Normal 10 8 7 14" xfId="16398"/>
    <cellStyle name="Normal 10 8 7 15" xfId="16399"/>
    <cellStyle name="Normal 10 8 7 16" xfId="16400"/>
    <cellStyle name="Normal 10 8 7 17" xfId="16401"/>
    <cellStyle name="Normal 10 8 7 2" xfId="16402"/>
    <cellStyle name="Normal 10 8 7 2 10" xfId="16403"/>
    <cellStyle name="Normal 10 8 7 2 11" xfId="16404"/>
    <cellStyle name="Normal 10 8 7 2 12" xfId="16405"/>
    <cellStyle name="Normal 10 8 7 2 13" xfId="16406"/>
    <cellStyle name="Normal 10 8 7 2 2" xfId="16407"/>
    <cellStyle name="Normal 10 8 7 2 2 2" xfId="16408"/>
    <cellStyle name="Normal 10 8 7 2 2 2 2" xfId="16409"/>
    <cellStyle name="Normal 10 8 7 2 2 3" xfId="16410"/>
    <cellStyle name="Normal 10 8 7 2 2 4" xfId="16411"/>
    <cellStyle name="Normal 10 8 7 2 2 5" xfId="16412"/>
    <cellStyle name="Normal 10 8 7 2 3" xfId="16413"/>
    <cellStyle name="Normal 10 8 7 2 3 2" xfId="16414"/>
    <cellStyle name="Normal 10 8 7 2 4" xfId="16415"/>
    <cellStyle name="Normal 10 8 7 2 4 2" xfId="16416"/>
    <cellStyle name="Normal 10 8 7 2 5" xfId="16417"/>
    <cellStyle name="Normal 10 8 7 2 5 2" xfId="16418"/>
    <cellStyle name="Normal 10 8 7 2 6" xfId="16419"/>
    <cellStyle name="Normal 10 8 7 2 6 2" xfId="16420"/>
    <cellStyle name="Normal 10 8 7 2 7" xfId="16421"/>
    <cellStyle name="Normal 10 8 7 2 8" xfId="16422"/>
    <cellStyle name="Normal 10 8 7 2 9" xfId="16423"/>
    <cellStyle name="Normal 10 8 7 3" xfId="16424"/>
    <cellStyle name="Normal 10 8 7 3 2" xfId="16425"/>
    <cellStyle name="Normal 10 8 7 3 2 2" xfId="16426"/>
    <cellStyle name="Normal 10 8 7 3 3" xfId="16427"/>
    <cellStyle name="Normal 10 8 7 3 4" xfId="16428"/>
    <cellStyle name="Normal 10 8 7 3 5" xfId="16429"/>
    <cellStyle name="Normal 10 8 7 4" xfId="16430"/>
    <cellStyle name="Normal 10 8 7 4 2" xfId="16431"/>
    <cellStyle name="Normal 10 8 7 5" xfId="16432"/>
    <cellStyle name="Normal 10 8 7 5 2" xfId="16433"/>
    <cellStyle name="Normal 10 8 7 6" xfId="16434"/>
    <cellStyle name="Normal 10 8 7 6 2" xfId="16435"/>
    <cellStyle name="Normal 10 8 7 7" xfId="16436"/>
    <cellStyle name="Normal 10 8 7 7 2" xfId="16437"/>
    <cellStyle name="Normal 10 8 7 8" xfId="16438"/>
    <cellStyle name="Normal 10 8 7 9" xfId="16439"/>
    <cellStyle name="Normal 10 8 8" xfId="16440"/>
    <cellStyle name="Normal 10 8 8 10" xfId="16441"/>
    <cellStyle name="Normal 10 8 8 11" xfId="16442"/>
    <cellStyle name="Normal 10 8 8 12" xfId="16443"/>
    <cellStyle name="Normal 10 8 8 13" xfId="16444"/>
    <cellStyle name="Normal 10 8 8 14" xfId="16445"/>
    <cellStyle name="Normal 10 8 8 15" xfId="16446"/>
    <cellStyle name="Normal 10 8 8 2" xfId="16447"/>
    <cellStyle name="Normal 10 8 8 2 2" xfId="16448"/>
    <cellStyle name="Normal 10 8 8 2 2 2" xfId="16449"/>
    <cellStyle name="Normal 10 8 8 2 3" xfId="16450"/>
    <cellStyle name="Normal 10 8 8 2 3 2" xfId="16451"/>
    <cellStyle name="Normal 10 8 8 2 4" xfId="16452"/>
    <cellStyle name="Normal 10 8 8 2 4 2" xfId="16453"/>
    <cellStyle name="Normal 10 8 8 2 5" xfId="16454"/>
    <cellStyle name="Normal 10 8 8 2 5 2" xfId="16455"/>
    <cellStyle name="Normal 10 8 8 2 6" xfId="16456"/>
    <cellStyle name="Normal 10 8 8 2 7" xfId="16457"/>
    <cellStyle name="Normal 10 8 8 2 8" xfId="16458"/>
    <cellStyle name="Normal 10 8 8 2 9" xfId="16459"/>
    <cellStyle name="Normal 10 8 8 3" xfId="16460"/>
    <cellStyle name="Normal 10 8 8 3 2" xfId="16461"/>
    <cellStyle name="Normal 10 8 8 3 2 2" xfId="16462"/>
    <cellStyle name="Normal 10 8 8 3 3" xfId="16463"/>
    <cellStyle name="Normal 10 8 8 3 4" xfId="16464"/>
    <cellStyle name="Normal 10 8 8 3 5" xfId="16465"/>
    <cellStyle name="Normal 10 8 8 4" xfId="16466"/>
    <cellStyle name="Normal 10 8 8 4 2" xfId="16467"/>
    <cellStyle name="Normal 10 8 8 5" xfId="16468"/>
    <cellStyle name="Normal 10 8 8 5 2" xfId="16469"/>
    <cellStyle name="Normal 10 8 8 6" xfId="16470"/>
    <cellStyle name="Normal 10 8 8 6 2" xfId="16471"/>
    <cellStyle name="Normal 10 8 8 7" xfId="16472"/>
    <cellStyle name="Normal 10 8 8 7 2" xfId="16473"/>
    <cellStyle name="Normal 10 8 8 8" xfId="16474"/>
    <cellStyle name="Normal 10 8 8 9" xfId="16475"/>
    <cellStyle name="Normal 10 8 9" xfId="16476"/>
    <cellStyle name="Normal 10 8 9 10" xfId="16477"/>
    <cellStyle name="Normal 10 8 9 11" xfId="16478"/>
    <cellStyle name="Normal 10 8 9 12" xfId="16479"/>
    <cellStyle name="Normal 10 8 9 13" xfId="16480"/>
    <cellStyle name="Normal 10 8 9 14" xfId="16481"/>
    <cellStyle name="Normal 10 8 9 15" xfId="16482"/>
    <cellStyle name="Normal 10 8 9 2" xfId="16483"/>
    <cellStyle name="Normal 10 8 9 2 2" xfId="16484"/>
    <cellStyle name="Normal 10 8 9 2 2 2" xfId="16485"/>
    <cellStyle name="Normal 10 8 9 2 3" xfId="16486"/>
    <cellStyle name="Normal 10 8 9 2 3 2" xfId="16487"/>
    <cellStyle name="Normal 10 8 9 2 4" xfId="16488"/>
    <cellStyle name="Normal 10 8 9 2 4 2" xfId="16489"/>
    <cellStyle name="Normal 10 8 9 2 5" xfId="16490"/>
    <cellStyle name="Normal 10 8 9 2 5 2" xfId="16491"/>
    <cellStyle name="Normal 10 8 9 2 6" xfId="16492"/>
    <cellStyle name="Normal 10 8 9 2 7" xfId="16493"/>
    <cellStyle name="Normal 10 8 9 2 8" xfId="16494"/>
    <cellStyle name="Normal 10 8 9 2 9" xfId="16495"/>
    <cellStyle name="Normal 10 8 9 3" xfId="16496"/>
    <cellStyle name="Normal 10 8 9 3 2" xfId="16497"/>
    <cellStyle name="Normal 10 8 9 3 2 2" xfId="16498"/>
    <cellStyle name="Normal 10 8 9 3 3" xfId="16499"/>
    <cellStyle name="Normal 10 8 9 3 4" xfId="16500"/>
    <cellStyle name="Normal 10 8 9 3 5" xfId="16501"/>
    <cellStyle name="Normal 10 8 9 4" xfId="16502"/>
    <cellStyle name="Normal 10 8 9 4 2" xfId="16503"/>
    <cellStyle name="Normal 10 8 9 5" xfId="16504"/>
    <cellStyle name="Normal 10 8 9 5 2" xfId="16505"/>
    <cellStyle name="Normal 10 8 9 6" xfId="16506"/>
    <cellStyle name="Normal 10 8 9 6 2" xfId="16507"/>
    <cellStyle name="Normal 10 8 9 7" xfId="16508"/>
    <cellStyle name="Normal 10 8 9 7 2" xfId="16509"/>
    <cellStyle name="Normal 10 8 9 8" xfId="16510"/>
    <cellStyle name="Normal 10 8 9 9" xfId="16511"/>
    <cellStyle name="Normal 10 9" xfId="16512"/>
    <cellStyle name="Normal 10 9 10" xfId="16513"/>
    <cellStyle name="Normal 10 9 10 10" xfId="16514"/>
    <cellStyle name="Normal 10 9 10 11" xfId="16515"/>
    <cellStyle name="Normal 10 9 10 12" xfId="16516"/>
    <cellStyle name="Normal 10 9 10 13" xfId="16517"/>
    <cellStyle name="Normal 10 9 10 14" xfId="16518"/>
    <cellStyle name="Normal 10 9 10 2" xfId="16519"/>
    <cellStyle name="Normal 10 9 10 2 2" xfId="16520"/>
    <cellStyle name="Normal 10 9 10 2 2 2" xfId="16521"/>
    <cellStyle name="Normal 10 9 10 2 3" xfId="16522"/>
    <cellStyle name="Normal 10 9 10 2 3 2" xfId="16523"/>
    <cellStyle name="Normal 10 9 10 2 4" xfId="16524"/>
    <cellStyle name="Normal 10 9 10 2 4 2" xfId="16525"/>
    <cellStyle name="Normal 10 9 10 2 5" xfId="16526"/>
    <cellStyle name="Normal 10 9 10 2 5 2" xfId="16527"/>
    <cellStyle name="Normal 10 9 10 2 6" xfId="16528"/>
    <cellStyle name="Normal 10 9 10 2 7" xfId="16529"/>
    <cellStyle name="Normal 10 9 10 2 8" xfId="16530"/>
    <cellStyle name="Normal 10 9 10 2 9" xfId="16531"/>
    <cellStyle name="Normal 10 9 10 3" xfId="16532"/>
    <cellStyle name="Normal 10 9 10 3 2" xfId="16533"/>
    <cellStyle name="Normal 10 9 10 3 2 2" xfId="16534"/>
    <cellStyle name="Normal 10 9 10 3 3" xfId="16535"/>
    <cellStyle name="Normal 10 9 10 3 4" xfId="16536"/>
    <cellStyle name="Normal 10 9 10 3 5" xfId="16537"/>
    <cellStyle name="Normal 10 9 10 4" xfId="16538"/>
    <cellStyle name="Normal 10 9 10 4 2" xfId="16539"/>
    <cellStyle name="Normal 10 9 10 5" xfId="16540"/>
    <cellStyle name="Normal 10 9 10 5 2" xfId="16541"/>
    <cellStyle name="Normal 10 9 10 6" xfId="16542"/>
    <cellStyle name="Normal 10 9 10 6 2" xfId="16543"/>
    <cellStyle name="Normal 10 9 10 7" xfId="16544"/>
    <cellStyle name="Normal 10 9 10 7 2" xfId="16545"/>
    <cellStyle name="Normal 10 9 10 8" xfId="16546"/>
    <cellStyle name="Normal 10 9 10 9" xfId="16547"/>
    <cellStyle name="Normal 10 9 11" xfId="16548"/>
    <cellStyle name="Normal 10 9 11 2" xfId="16549"/>
    <cellStyle name="Normal 10 9 11 2 2" xfId="16550"/>
    <cellStyle name="Normal 10 9 11 3" xfId="16551"/>
    <cellStyle name="Normal 10 9 11 3 2" xfId="16552"/>
    <cellStyle name="Normal 10 9 11 4" xfId="16553"/>
    <cellStyle name="Normal 10 9 11 4 2" xfId="16554"/>
    <cellStyle name="Normal 10 9 11 5" xfId="16555"/>
    <cellStyle name="Normal 10 9 11 5 2" xfId="16556"/>
    <cellStyle name="Normal 10 9 11 6" xfId="16557"/>
    <cellStyle name="Normal 10 9 11 7" xfId="16558"/>
    <cellStyle name="Normal 10 9 11 8" xfId="16559"/>
    <cellStyle name="Normal 10 9 11 9" xfId="16560"/>
    <cellStyle name="Normal 10 9 12" xfId="16561"/>
    <cellStyle name="Normal 10 9 12 2" xfId="16562"/>
    <cellStyle name="Normal 10 9 12 2 2" xfId="16563"/>
    <cellStyle name="Normal 10 9 12 3" xfId="16564"/>
    <cellStyle name="Normal 10 9 12 4" xfId="16565"/>
    <cellStyle name="Normal 10 9 12 5" xfId="16566"/>
    <cellStyle name="Normal 10 9 13" xfId="16567"/>
    <cellStyle name="Normal 10 9 13 2" xfId="16568"/>
    <cellStyle name="Normal 10 9 14" xfId="16569"/>
    <cellStyle name="Normal 10 9 14 2" xfId="16570"/>
    <cellStyle name="Normal 10 9 15" xfId="16571"/>
    <cellStyle name="Normal 10 9 15 2" xfId="16572"/>
    <cellStyle name="Normal 10 9 16" xfId="16573"/>
    <cellStyle name="Normal 10 9 16 2" xfId="16574"/>
    <cellStyle name="Normal 10 9 17" xfId="16575"/>
    <cellStyle name="Normal 10 9 18" xfId="16576"/>
    <cellStyle name="Normal 10 9 19" xfId="16577"/>
    <cellStyle name="Normal 10 9 2" xfId="16578"/>
    <cellStyle name="Normal 10 9 2 10" xfId="16579"/>
    <cellStyle name="Normal 10 9 2 11" xfId="16580"/>
    <cellStyle name="Normal 10 9 2 12" xfId="16581"/>
    <cellStyle name="Normal 10 9 2 13" xfId="16582"/>
    <cellStyle name="Normal 10 9 2 14" xfId="16583"/>
    <cellStyle name="Normal 10 9 2 15" xfId="16584"/>
    <cellStyle name="Normal 10 9 2 16" xfId="16585"/>
    <cellStyle name="Normal 10 9 2 17" xfId="16586"/>
    <cellStyle name="Normal 10 9 2 18" xfId="16587"/>
    <cellStyle name="Normal 10 9 2 2" xfId="16588"/>
    <cellStyle name="Normal 10 9 2 2 10" xfId="16589"/>
    <cellStyle name="Normal 10 9 2 2 11" xfId="16590"/>
    <cellStyle name="Normal 10 9 2 2 12" xfId="16591"/>
    <cellStyle name="Normal 10 9 2 2 13" xfId="16592"/>
    <cellStyle name="Normal 10 9 2 2 2" xfId="16593"/>
    <cellStyle name="Normal 10 9 2 2 2 2" xfId="16594"/>
    <cellStyle name="Normal 10 9 2 2 2 2 2" xfId="16595"/>
    <cellStyle name="Normal 10 9 2 2 2 3" xfId="16596"/>
    <cellStyle name="Normal 10 9 2 2 2 4" xfId="16597"/>
    <cellStyle name="Normal 10 9 2 2 2 5" xfId="16598"/>
    <cellStyle name="Normal 10 9 2 2 3" xfId="16599"/>
    <cellStyle name="Normal 10 9 2 2 3 2" xfId="16600"/>
    <cellStyle name="Normal 10 9 2 2 4" xfId="16601"/>
    <cellStyle name="Normal 10 9 2 2 4 2" xfId="16602"/>
    <cellStyle name="Normal 10 9 2 2 5" xfId="16603"/>
    <cellStyle name="Normal 10 9 2 2 5 2" xfId="16604"/>
    <cellStyle name="Normal 10 9 2 2 6" xfId="16605"/>
    <cellStyle name="Normal 10 9 2 2 6 2" xfId="16606"/>
    <cellStyle name="Normal 10 9 2 2 7" xfId="16607"/>
    <cellStyle name="Normal 10 9 2 2 8" xfId="16608"/>
    <cellStyle name="Normal 10 9 2 2 9" xfId="16609"/>
    <cellStyle name="Normal 10 9 2 3" xfId="16610"/>
    <cellStyle name="Normal 10 9 2 3 2" xfId="16611"/>
    <cellStyle name="Normal 10 9 2 3 2 2" xfId="16612"/>
    <cellStyle name="Normal 10 9 2 3 3" xfId="16613"/>
    <cellStyle name="Normal 10 9 2 3 4" xfId="16614"/>
    <cellStyle name="Normal 10 9 2 3 5" xfId="16615"/>
    <cellStyle name="Normal 10 9 2 4" xfId="16616"/>
    <cellStyle name="Normal 10 9 2 4 2" xfId="16617"/>
    <cellStyle name="Normal 10 9 2 5" xfId="16618"/>
    <cellStyle name="Normal 10 9 2 5 2" xfId="16619"/>
    <cellStyle name="Normal 10 9 2 6" xfId="16620"/>
    <cellStyle name="Normal 10 9 2 6 2" xfId="16621"/>
    <cellStyle name="Normal 10 9 2 7" xfId="16622"/>
    <cellStyle name="Normal 10 9 2 7 2" xfId="16623"/>
    <cellStyle name="Normal 10 9 2 8" xfId="16624"/>
    <cellStyle name="Normal 10 9 2 9" xfId="16625"/>
    <cellStyle name="Normal 10 9 20" xfId="16626"/>
    <cellStyle name="Normal 10 9 21" xfId="16627"/>
    <cellStyle name="Normal 10 9 22" xfId="16628"/>
    <cellStyle name="Normal 10 9 23" xfId="16629"/>
    <cellStyle name="Normal 10 9 24" xfId="16630"/>
    <cellStyle name="Normal 10 9 25" xfId="16631"/>
    <cellStyle name="Normal 10 9 3" xfId="16632"/>
    <cellStyle name="Normal 10 9 3 10" xfId="16633"/>
    <cellStyle name="Normal 10 9 3 11" xfId="16634"/>
    <cellStyle name="Normal 10 9 3 12" xfId="16635"/>
    <cellStyle name="Normal 10 9 3 13" xfId="16636"/>
    <cellStyle name="Normal 10 9 3 14" xfId="16637"/>
    <cellStyle name="Normal 10 9 3 15" xfId="16638"/>
    <cellStyle name="Normal 10 9 3 16" xfId="16639"/>
    <cellStyle name="Normal 10 9 3 17" xfId="16640"/>
    <cellStyle name="Normal 10 9 3 18" xfId="16641"/>
    <cellStyle name="Normal 10 9 3 2" xfId="16642"/>
    <cellStyle name="Normal 10 9 3 2 10" xfId="16643"/>
    <cellStyle name="Normal 10 9 3 2 11" xfId="16644"/>
    <cellStyle name="Normal 10 9 3 2 12" xfId="16645"/>
    <cellStyle name="Normal 10 9 3 2 13" xfId="16646"/>
    <cellStyle name="Normal 10 9 3 2 2" xfId="16647"/>
    <cellStyle name="Normal 10 9 3 2 2 2" xfId="16648"/>
    <cellStyle name="Normal 10 9 3 2 2 2 2" xfId="16649"/>
    <cellStyle name="Normal 10 9 3 2 2 3" xfId="16650"/>
    <cellStyle name="Normal 10 9 3 2 2 4" xfId="16651"/>
    <cellStyle name="Normal 10 9 3 2 2 5" xfId="16652"/>
    <cellStyle name="Normal 10 9 3 2 3" xfId="16653"/>
    <cellStyle name="Normal 10 9 3 2 3 2" xfId="16654"/>
    <cellStyle name="Normal 10 9 3 2 4" xfId="16655"/>
    <cellStyle name="Normal 10 9 3 2 4 2" xfId="16656"/>
    <cellStyle name="Normal 10 9 3 2 5" xfId="16657"/>
    <cellStyle name="Normal 10 9 3 2 5 2" xfId="16658"/>
    <cellStyle name="Normal 10 9 3 2 6" xfId="16659"/>
    <cellStyle name="Normal 10 9 3 2 6 2" xfId="16660"/>
    <cellStyle name="Normal 10 9 3 2 7" xfId="16661"/>
    <cellStyle name="Normal 10 9 3 2 8" xfId="16662"/>
    <cellStyle name="Normal 10 9 3 2 9" xfId="16663"/>
    <cellStyle name="Normal 10 9 3 3" xfId="16664"/>
    <cellStyle name="Normal 10 9 3 3 2" xfId="16665"/>
    <cellStyle name="Normal 10 9 3 3 2 2" xfId="16666"/>
    <cellStyle name="Normal 10 9 3 3 3" xfId="16667"/>
    <cellStyle name="Normal 10 9 3 3 4" xfId="16668"/>
    <cellStyle name="Normal 10 9 3 3 5" xfId="16669"/>
    <cellStyle name="Normal 10 9 3 4" xfId="16670"/>
    <cellStyle name="Normal 10 9 3 4 2" xfId="16671"/>
    <cellStyle name="Normal 10 9 3 5" xfId="16672"/>
    <cellStyle name="Normal 10 9 3 5 2" xfId="16673"/>
    <cellStyle name="Normal 10 9 3 6" xfId="16674"/>
    <cellStyle name="Normal 10 9 3 6 2" xfId="16675"/>
    <cellStyle name="Normal 10 9 3 7" xfId="16676"/>
    <cellStyle name="Normal 10 9 3 7 2" xfId="16677"/>
    <cellStyle name="Normal 10 9 3 8" xfId="16678"/>
    <cellStyle name="Normal 10 9 3 9" xfId="16679"/>
    <cellStyle name="Normal 10 9 4" xfId="16680"/>
    <cellStyle name="Normal 10 9 4 10" xfId="16681"/>
    <cellStyle name="Normal 10 9 4 11" xfId="16682"/>
    <cellStyle name="Normal 10 9 4 12" xfId="16683"/>
    <cellStyle name="Normal 10 9 4 13" xfId="16684"/>
    <cellStyle name="Normal 10 9 4 14" xfId="16685"/>
    <cellStyle name="Normal 10 9 4 15" xfId="16686"/>
    <cellStyle name="Normal 10 9 4 16" xfId="16687"/>
    <cellStyle name="Normal 10 9 4 17" xfId="16688"/>
    <cellStyle name="Normal 10 9 4 18" xfId="16689"/>
    <cellStyle name="Normal 10 9 4 2" xfId="16690"/>
    <cellStyle name="Normal 10 9 4 2 10" xfId="16691"/>
    <cellStyle name="Normal 10 9 4 2 11" xfId="16692"/>
    <cellStyle name="Normal 10 9 4 2 12" xfId="16693"/>
    <cellStyle name="Normal 10 9 4 2 13" xfId="16694"/>
    <cellStyle name="Normal 10 9 4 2 2" xfId="16695"/>
    <cellStyle name="Normal 10 9 4 2 2 2" xfId="16696"/>
    <cellStyle name="Normal 10 9 4 2 2 2 2" xfId="16697"/>
    <cellStyle name="Normal 10 9 4 2 2 3" xfId="16698"/>
    <cellStyle name="Normal 10 9 4 2 2 4" xfId="16699"/>
    <cellStyle name="Normal 10 9 4 2 2 5" xfId="16700"/>
    <cellStyle name="Normal 10 9 4 2 3" xfId="16701"/>
    <cellStyle name="Normal 10 9 4 2 3 2" xfId="16702"/>
    <cellStyle name="Normal 10 9 4 2 4" xfId="16703"/>
    <cellStyle name="Normal 10 9 4 2 4 2" xfId="16704"/>
    <cellStyle name="Normal 10 9 4 2 5" xfId="16705"/>
    <cellStyle name="Normal 10 9 4 2 5 2" xfId="16706"/>
    <cellStyle name="Normal 10 9 4 2 6" xfId="16707"/>
    <cellStyle name="Normal 10 9 4 2 6 2" xfId="16708"/>
    <cellStyle name="Normal 10 9 4 2 7" xfId="16709"/>
    <cellStyle name="Normal 10 9 4 2 8" xfId="16710"/>
    <cellStyle name="Normal 10 9 4 2 9" xfId="16711"/>
    <cellStyle name="Normal 10 9 4 3" xfId="16712"/>
    <cellStyle name="Normal 10 9 4 3 2" xfId="16713"/>
    <cellStyle name="Normal 10 9 4 3 2 2" xfId="16714"/>
    <cellStyle name="Normal 10 9 4 3 3" xfId="16715"/>
    <cellStyle name="Normal 10 9 4 3 4" xfId="16716"/>
    <cellStyle name="Normal 10 9 4 3 5" xfId="16717"/>
    <cellStyle name="Normal 10 9 4 4" xfId="16718"/>
    <cellStyle name="Normal 10 9 4 4 2" xfId="16719"/>
    <cellStyle name="Normal 10 9 4 5" xfId="16720"/>
    <cellStyle name="Normal 10 9 4 5 2" xfId="16721"/>
    <cellStyle name="Normal 10 9 4 6" xfId="16722"/>
    <cellStyle name="Normal 10 9 4 6 2" xfId="16723"/>
    <cellStyle name="Normal 10 9 4 7" xfId="16724"/>
    <cellStyle name="Normal 10 9 4 7 2" xfId="16725"/>
    <cellStyle name="Normal 10 9 4 8" xfId="16726"/>
    <cellStyle name="Normal 10 9 4 9" xfId="16727"/>
    <cellStyle name="Normal 10 9 5" xfId="16728"/>
    <cellStyle name="Normal 10 9 5 10" xfId="16729"/>
    <cellStyle name="Normal 10 9 5 11" xfId="16730"/>
    <cellStyle name="Normal 10 9 5 12" xfId="16731"/>
    <cellStyle name="Normal 10 9 5 13" xfId="16732"/>
    <cellStyle name="Normal 10 9 5 14" xfId="16733"/>
    <cellStyle name="Normal 10 9 5 15" xfId="16734"/>
    <cellStyle name="Normal 10 9 5 16" xfId="16735"/>
    <cellStyle name="Normal 10 9 5 17" xfId="16736"/>
    <cellStyle name="Normal 10 9 5 2" xfId="16737"/>
    <cellStyle name="Normal 10 9 5 2 10" xfId="16738"/>
    <cellStyle name="Normal 10 9 5 2 11" xfId="16739"/>
    <cellStyle name="Normal 10 9 5 2 12" xfId="16740"/>
    <cellStyle name="Normal 10 9 5 2 13" xfId="16741"/>
    <cellStyle name="Normal 10 9 5 2 2" xfId="16742"/>
    <cellStyle name="Normal 10 9 5 2 2 2" xfId="16743"/>
    <cellStyle name="Normal 10 9 5 2 2 2 2" xfId="16744"/>
    <cellStyle name="Normal 10 9 5 2 2 3" xfId="16745"/>
    <cellStyle name="Normal 10 9 5 2 2 4" xfId="16746"/>
    <cellStyle name="Normal 10 9 5 2 2 5" xfId="16747"/>
    <cellStyle name="Normal 10 9 5 2 3" xfId="16748"/>
    <cellStyle name="Normal 10 9 5 2 3 2" xfId="16749"/>
    <cellStyle name="Normal 10 9 5 2 4" xfId="16750"/>
    <cellStyle name="Normal 10 9 5 2 4 2" xfId="16751"/>
    <cellStyle name="Normal 10 9 5 2 5" xfId="16752"/>
    <cellStyle name="Normal 10 9 5 2 5 2" xfId="16753"/>
    <cellStyle name="Normal 10 9 5 2 6" xfId="16754"/>
    <cellStyle name="Normal 10 9 5 2 6 2" xfId="16755"/>
    <cellStyle name="Normal 10 9 5 2 7" xfId="16756"/>
    <cellStyle name="Normal 10 9 5 2 8" xfId="16757"/>
    <cellStyle name="Normal 10 9 5 2 9" xfId="16758"/>
    <cellStyle name="Normal 10 9 5 3" xfId="16759"/>
    <cellStyle name="Normal 10 9 5 3 2" xfId="16760"/>
    <cellStyle name="Normal 10 9 5 3 2 2" xfId="16761"/>
    <cellStyle name="Normal 10 9 5 3 3" xfId="16762"/>
    <cellStyle name="Normal 10 9 5 3 4" xfId="16763"/>
    <cellStyle name="Normal 10 9 5 3 5" xfId="16764"/>
    <cellStyle name="Normal 10 9 5 4" xfId="16765"/>
    <cellStyle name="Normal 10 9 5 4 2" xfId="16766"/>
    <cellStyle name="Normal 10 9 5 5" xfId="16767"/>
    <cellStyle name="Normal 10 9 5 5 2" xfId="16768"/>
    <cellStyle name="Normal 10 9 5 6" xfId="16769"/>
    <cellStyle name="Normal 10 9 5 6 2" xfId="16770"/>
    <cellStyle name="Normal 10 9 5 7" xfId="16771"/>
    <cellStyle name="Normal 10 9 5 7 2" xfId="16772"/>
    <cellStyle name="Normal 10 9 5 8" xfId="16773"/>
    <cellStyle name="Normal 10 9 5 9" xfId="16774"/>
    <cellStyle name="Normal 10 9 6" xfId="16775"/>
    <cellStyle name="Normal 10 9 6 10" xfId="16776"/>
    <cellStyle name="Normal 10 9 6 11" xfId="16777"/>
    <cellStyle name="Normal 10 9 6 12" xfId="16778"/>
    <cellStyle name="Normal 10 9 6 13" xfId="16779"/>
    <cellStyle name="Normal 10 9 6 14" xfId="16780"/>
    <cellStyle name="Normal 10 9 6 15" xfId="16781"/>
    <cellStyle name="Normal 10 9 6 16" xfId="16782"/>
    <cellStyle name="Normal 10 9 6 17" xfId="16783"/>
    <cellStyle name="Normal 10 9 6 2" xfId="16784"/>
    <cellStyle name="Normal 10 9 6 2 10" xfId="16785"/>
    <cellStyle name="Normal 10 9 6 2 11" xfId="16786"/>
    <cellStyle name="Normal 10 9 6 2 12" xfId="16787"/>
    <cellStyle name="Normal 10 9 6 2 13" xfId="16788"/>
    <cellStyle name="Normal 10 9 6 2 2" xfId="16789"/>
    <cellStyle name="Normal 10 9 6 2 2 2" xfId="16790"/>
    <cellStyle name="Normal 10 9 6 2 2 2 2" xfId="16791"/>
    <cellStyle name="Normal 10 9 6 2 2 3" xfId="16792"/>
    <cellStyle name="Normal 10 9 6 2 2 4" xfId="16793"/>
    <cellStyle name="Normal 10 9 6 2 2 5" xfId="16794"/>
    <cellStyle name="Normal 10 9 6 2 3" xfId="16795"/>
    <cellStyle name="Normal 10 9 6 2 3 2" xfId="16796"/>
    <cellStyle name="Normal 10 9 6 2 4" xfId="16797"/>
    <cellStyle name="Normal 10 9 6 2 4 2" xfId="16798"/>
    <cellStyle name="Normal 10 9 6 2 5" xfId="16799"/>
    <cellStyle name="Normal 10 9 6 2 5 2" xfId="16800"/>
    <cellStyle name="Normal 10 9 6 2 6" xfId="16801"/>
    <cellStyle name="Normal 10 9 6 2 6 2" xfId="16802"/>
    <cellStyle name="Normal 10 9 6 2 7" xfId="16803"/>
    <cellStyle name="Normal 10 9 6 2 8" xfId="16804"/>
    <cellStyle name="Normal 10 9 6 2 9" xfId="16805"/>
    <cellStyle name="Normal 10 9 6 3" xfId="16806"/>
    <cellStyle name="Normal 10 9 6 3 2" xfId="16807"/>
    <cellStyle name="Normal 10 9 6 3 2 2" xfId="16808"/>
    <cellStyle name="Normal 10 9 6 3 3" xfId="16809"/>
    <cellStyle name="Normal 10 9 6 3 4" xfId="16810"/>
    <cellStyle name="Normal 10 9 6 3 5" xfId="16811"/>
    <cellStyle name="Normal 10 9 6 4" xfId="16812"/>
    <cellStyle name="Normal 10 9 6 4 2" xfId="16813"/>
    <cellStyle name="Normal 10 9 6 5" xfId="16814"/>
    <cellStyle name="Normal 10 9 6 5 2" xfId="16815"/>
    <cellStyle name="Normal 10 9 6 6" xfId="16816"/>
    <cellStyle name="Normal 10 9 6 6 2" xfId="16817"/>
    <cellStyle name="Normal 10 9 6 7" xfId="16818"/>
    <cellStyle name="Normal 10 9 6 7 2" xfId="16819"/>
    <cellStyle name="Normal 10 9 6 8" xfId="16820"/>
    <cellStyle name="Normal 10 9 6 9" xfId="16821"/>
    <cellStyle name="Normal 10 9 7" xfId="16822"/>
    <cellStyle name="Normal 10 9 7 10" xfId="16823"/>
    <cellStyle name="Normal 10 9 7 11" xfId="16824"/>
    <cellStyle name="Normal 10 9 7 12" xfId="16825"/>
    <cellStyle name="Normal 10 9 7 13" xfId="16826"/>
    <cellStyle name="Normal 10 9 7 14" xfId="16827"/>
    <cellStyle name="Normal 10 9 7 15" xfId="16828"/>
    <cellStyle name="Normal 10 9 7 16" xfId="16829"/>
    <cellStyle name="Normal 10 9 7 17" xfId="16830"/>
    <cellStyle name="Normal 10 9 7 2" xfId="16831"/>
    <cellStyle name="Normal 10 9 7 2 10" xfId="16832"/>
    <cellStyle name="Normal 10 9 7 2 11" xfId="16833"/>
    <cellStyle name="Normal 10 9 7 2 12" xfId="16834"/>
    <cellStyle name="Normal 10 9 7 2 13" xfId="16835"/>
    <cellStyle name="Normal 10 9 7 2 2" xfId="16836"/>
    <cellStyle name="Normal 10 9 7 2 2 2" xfId="16837"/>
    <cellStyle name="Normal 10 9 7 2 2 2 2" xfId="16838"/>
    <cellStyle name="Normal 10 9 7 2 2 3" xfId="16839"/>
    <cellStyle name="Normal 10 9 7 2 2 4" xfId="16840"/>
    <cellStyle name="Normal 10 9 7 2 2 5" xfId="16841"/>
    <cellStyle name="Normal 10 9 7 2 3" xfId="16842"/>
    <cellStyle name="Normal 10 9 7 2 3 2" xfId="16843"/>
    <cellStyle name="Normal 10 9 7 2 4" xfId="16844"/>
    <cellStyle name="Normal 10 9 7 2 4 2" xfId="16845"/>
    <cellStyle name="Normal 10 9 7 2 5" xfId="16846"/>
    <cellStyle name="Normal 10 9 7 2 5 2" xfId="16847"/>
    <cellStyle name="Normal 10 9 7 2 6" xfId="16848"/>
    <cellStyle name="Normal 10 9 7 2 6 2" xfId="16849"/>
    <cellStyle name="Normal 10 9 7 2 7" xfId="16850"/>
    <cellStyle name="Normal 10 9 7 2 8" xfId="16851"/>
    <cellStyle name="Normal 10 9 7 2 9" xfId="16852"/>
    <cellStyle name="Normal 10 9 7 3" xfId="16853"/>
    <cellStyle name="Normal 10 9 7 3 2" xfId="16854"/>
    <cellStyle name="Normal 10 9 7 3 2 2" xfId="16855"/>
    <cellStyle name="Normal 10 9 7 3 3" xfId="16856"/>
    <cellStyle name="Normal 10 9 7 3 4" xfId="16857"/>
    <cellStyle name="Normal 10 9 7 3 5" xfId="16858"/>
    <cellStyle name="Normal 10 9 7 4" xfId="16859"/>
    <cellStyle name="Normal 10 9 7 4 2" xfId="16860"/>
    <cellStyle name="Normal 10 9 7 5" xfId="16861"/>
    <cellStyle name="Normal 10 9 7 5 2" xfId="16862"/>
    <cellStyle name="Normal 10 9 7 6" xfId="16863"/>
    <cellStyle name="Normal 10 9 7 6 2" xfId="16864"/>
    <cellStyle name="Normal 10 9 7 7" xfId="16865"/>
    <cellStyle name="Normal 10 9 7 7 2" xfId="16866"/>
    <cellStyle name="Normal 10 9 7 8" xfId="16867"/>
    <cellStyle name="Normal 10 9 7 9" xfId="16868"/>
    <cellStyle name="Normal 10 9 8" xfId="16869"/>
    <cellStyle name="Normal 10 9 8 10" xfId="16870"/>
    <cellStyle name="Normal 10 9 8 11" xfId="16871"/>
    <cellStyle name="Normal 10 9 8 12" xfId="16872"/>
    <cellStyle name="Normal 10 9 8 13" xfId="16873"/>
    <cellStyle name="Normal 10 9 8 14" xfId="16874"/>
    <cellStyle name="Normal 10 9 8 15" xfId="16875"/>
    <cellStyle name="Normal 10 9 8 2" xfId="16876"/>
    <cellStyle name="Normal 10 9 8 2 2" xfId="16877"/>
    <cellStyle name="Normal 10 9 8 2 2 2" xfId="16878"/>
    <cellStyle name="Normal 10 9 8 2 3" xfId="16879"/>
    <cellStyle name="Normal 10 9 8 2 3 2" xfId="16880"/>
    <cellStyle name="Normal 10 9 8 2 4" xfId="16881"/>
    <cellStyle name="Normal 10 9 8 2 4 2" xfId="16882"/>
    <cellStyle name="Normal 10 9 8 2 5" xfId="16883"/>
    <cellStyle name="Normal 10 9 8 2 5 2" xfId="16884"/>
    <cellStyle name="Normal 10 9 8 2 6" xfId="16885"/>
    <cellStyle name="Normal 10 9 8 2 7" xfId="16886"/>
    <cellStyle name="Normal 10 9 8 2 8" xfId="16887"/>
    <cellStyle name="Normal 10 9 8 2 9" xfId="16888"/>
    <cellStyle name="Normal 10 9 8 3" xfId="16889"/>
    <cellStyle name="Normal 10 9 8 3 2" xfId="16890"/>
    <cellStyle name="Normal 10 9 8 3 2 2" xfId="16891"/>
    <cellStyle name="Normal 10 9 8 3 3" xfId="16892"/>
    <cellStyle name="Normal 10 9 8 3 4" xfId="16893"/>
    <cellStyle name="Normal 10 9 8 3 5" xfId="16894"/>
    <cellStyle name="Normal 10 9 8 4" xfId="16895"/>
    <cellStyle name="Normal 10 9 8 4 2" xfId="16896"/>
    <cellStyle name="Normal 10 9 8 5" xfId="16897"/>
    <cellStyle name="Normal 10 9 8 5 2" xfId="16898"/>
    <cellStyle name="Normal 10 9 8 6" xfId="16899"/>
    <cellStyle name="Normal 10 9 8 6 2" xfId="16900"/>
    <cellStyle name="Normal 10 9 8 7" xfId="16901"/>
    <cellStyle name="Normal 10 9 8 7 2" xfId="16902"/>
    <cellStyle name="Normal 10 9 8 8" xfId="16903"/>
    <cellStyle name="Normal 10 9 8 9" xfId="16904"/>
    <cellStyle name="Normal 10 9 9" xfId="16905"/>
    <cellStyle name="Normal 10 9 9 10" xfId="16906"/>
    <cellStyle name="Normal 10 9 9 11" xfId="16907"/>
    <cellStyle name="Normal 10 9 9 12" xfId="16908"/>
    <cellStyle name="Normal 10 9 9 13" xfId="16909"/>
    <cellStyle name="Normal 10 9 9 14" xfId="16910"/>
    <cellStyle name="Normal 10 9 9 15" xfId="16911"/>
    <cellStyle name="Normal 10 9 9 2" xfId="16912"/>
    <cellStyle name="Normal 10 9 9 2 2" xfId="16913"/>
    <cellStyle name="Normal 10 9 9 2 2 2" xfId="16914"/>
    <cellStyle name="Normal 10 9 9 2 3" xfId="16915"/>
    <cellStyle name="Normal 10 9 9 2 3 2" xfId="16916"/>
    <cellStyle name="Normal 10 9 9 2 4" xfId="16917"/>
    <cellStyle name="Normal 10 9 9 2 4 2" xfId="16918"/>
    <cellStyle name="Normal 10 9 9 2 5" xfId="16919"/>
    <cellStyle name="Normal 10 9 9 2 5 2" xfId="16920"/>
    <cellStyle name="Normal 10 9 9 2 6" xfId="16921"/>
    <cellStyle name="Normal 10 9 9 2 7" xfId="16922"/>
    <cellStyle name="Normal 10 9 9 2 8" xfId="16923"/>
    <cellStyle name="Normal 10 9 9 2 9" xfId="16924"/>
    <cellStyle name="Normal 10 9 9 3" xfId="16925"/>
    <cellStyle name="Normal 10 9 9 3 2" xfId="16926"/>
    <cellStyle name="Normal 10 9 9 3 2 2" xfId="16927"/>
    <cellStyle name="Normal 10 9 9 3 3" xfId="16928"/>
    <cellStyle name="Normal 10 9 9 3 4" xfId="16929"/>
    <cellStyle name="Normal 10 9 9 3 5" xfId="16930"/>
    <cellStyle name="Normal 10 9 9 4" xfId="16931"/>
    <cellStyle name="Normal 10 9 9 4 2" xfId="16932"/>
    <cellStyle name="Normal 10 9 9 5" xfId="16933"/>
    <cellStyle name="Normal 10 9 9 5 2" xfId="16934"/>
    <cellStyle name="Normal 10 9 9 6" xfId="16935"/>
    <cellStyle name="Normal 10 9 9 6 2" xfId="16936"/>
    <cellStyle name="Normal 10 9 9 7" xfId="16937"/>
    <cellStyle name="Normal 10 9 9 7 2" xfId="16938"/>
    <cellStyle name="Normal 10 9 9 8" xfId="16939"/>
    <cellStyle name="Normal 10 9 9 9" xfId="16940"/>
    <cellStyle name="Normal 11" xfId="2"/>
    <cellStyle name="Normal 11 10" xfId="3"/>
    <cellStyle name="Normal 11 10 10" xfId="1037"/>
    <cellStyle name="Normal 11 10 10 10" xfId="16943"/>
    <cellStyle name="Normal 11 10 10 11" xfId="16944"/>
    <cellStyle name="Normal 11 10 10 12" xfId="16945"/>
    <cellStyle name="Normal 11 10 10 13" xfId="16946"/>
    <cellStyle name="Normal 11 10 10 14" xfId="16947"/>
    <cellStyle name="Normal 11 10 10 15" xfId="16948"/>
    <cellStyle name="Normal 11 10 10 2" xfId="16949"/>
    <cellStyle name="Normal 11 10 10 2 2" xfId="16950"/>
    <cellStyle name="Normal 11 10 10 2 2 2" xfId="16951"/>
    <cellStyle name="Normal 11 10 10 2 3" xfId="16952"/>
    <cellStyle name="Normal 11 10 10 2 3 2" xfId="16953"/>
    <cellStyle name="Normal 11 10 10 2 4" xfId="16954"/>
    <cellStyle name="Normal 11 10 10 2 4 2" xfId="16955"/>
    <cellStyle name="Normal 11 10 10 2 5" xfId="16956"/>
    <cellStyle name="Normal 11 10 10 2 5 2" xfId="16957"/>
    <cellStyle name="Normal 11 10 10 2 6" xfId="16958"/>
    <cellStyle name="Normal 11 10 10 2 7" xfId="16959"/>
    <cellStyle name="Normal 11 10 10 2 8" xfId="16960"/>
    <cellStyle name="Normal 11 10 10 2 9" xfId="16961"/>
    <cellStyle name="Normal 11 10 10 3" xfId="16962"/>
    <cellStyle name="Normal 11 10 10 3 2" xfId="16963"/>
    <cellStyle name="Normal 11 10 10 3 2 2" xfId="16964"/>
    <cellStyle name="Normal 11 10 10 3 3" xfId="16965"/>
    <cellStyle name="Normal 11 10 10 3 4" xfId="16966"/>
    <cellStyle name="Normal 11 10 10 3 5" xfId="16967"/>
    <cellStyle name="Normal 11 10 10 4" xfId="16968"/>
    <cellStyle name="Normal 11 10 10 4 2" xfId="16969"/>
    <cellStyle name="Normal 11 10 10 5" xfId="16970"/>
    <cellStyle name="Normal 11 10 10 5 2" xfId="16971"/>
    <cellStyle name="Normal 11 10 10 6" xfId="16972"/>
    <cellStyle name="Normal 11 10 10 6 2" xfId="16973"/>
    <cellStyle name="Normal 11 10 10 7" xfId="16974"/>
    <cellStyle name="Normal 11 10 10 7 2" xfId="16975"/>
    <cellStyle name="Normal 11 10 10 8" xfId="16976"/>
    <cellStyle name="Normal 11 10 10 9" xfId="16977"/>
    <cellStyle name="Normal 11 10 11" xfId="1038"/>
    <cellStyle name="Normal 11 10 11 2" xfId="16978"/>
    <cellStyle name="Normal 11 10 11 2 2" xfId="16979"/>
    <cellStyle name="Normal 11 10 11 3" xfId="16980"/>
    <cellStyle name="Normal 11 10 11 3 2" xfId="16981"/>
    <cellStyle name="Normal 11 10 11 4" xfId="16982"/>
    <cellStyle name="Normal 11 10 11 4 2" xfId="16983"/>
    <cellStyle name="Normal 11 10 11 5" xfId="16984"/>
    <cellStyle name="Normal 11 10 11 5 2" xfId="16985"/>
    <cellStyle name="Normal 11 10 11 6" xfId="16986"/>
    <cellStyle name="Normal 11 10 11 7" xfId="16987"/>
    <cellStyle name="Normal 11 10 11 8" xfId="16988"/>
    <cellStyle name="Normal 11 10 11 9" xfId="16989"/>
    <cellStyle name="Normal 11 10 12" xfId="1039"/>
    <cellStyle name="Normal 11 10 12 2" xfId="16990"/>
    <cellStyle name="Normal 11 10 12 2 2" xfId="16991"/>
    <cellStyle name="Normal 11 10 12 3" xfId="16992"/>
    <cellStyle name="Normal 11 10 12 4" xfId="16993"/>
    <cellStyle name="Normal 11 10 12 5" xfId="16994"/>
    <cellStyle name="Normal 11 10 13" xfId="1040"/>
    <cellStyle name="Normal 11 10 13 2" xfId="16995"/>
    <cellStyle name="Normal 11 10 14" xfId="1041"/>
    <cellStyle name="Normal 11 10 14 2" xfId="16996"/>
    <cellStyle name="Normal 11 10 15" xfId="11864"/>
    <cellStyle name="Normal 11 10 15 2" xfId="16997"/>
    <cellStyle name="Normal 11 10 16" xfId="16942"/>
    <cellStyle name="Normal 11 10 16 2" xfId="16998"/>
    <cellStyle name="Normal 11 10 17" xfId="16999"/>
    <cellStyle name="Normal 11 10 18" xfId="17000"/>
    <cellStyle name="Normal 11 10 19" xfId="17001"/>
    <cellStyle name="Normal 11 10 2" xfId="1036"/>
    <cellStyle name="Normal 11 10 2 10" xfId="17002"/>
    <cellStyle name="Normal 11 10 2 11" xfId="17003"/>
    <cellStyle name="Normal 11 10 2 12" xfId="17004"/>
    <cellStyle name="Normal 11 10 2 13" xfId="17005"/>
    <cellStyle name="Normal 11 10 2 14" xfId="17006"/>
    <cellStyle name="Normal 11 10 2 15" xfId="17007"/>
    <cellStyle name="Normal 11 10 2 16" xfId="17008"/>
    <cellStyle name="Normal 11 10 2 17" xfId="17009"/>
    <cellStyle name="Normal 11 10 2 18" xfId="17010"/>
    <cellStyle name="Normal 11 10 2 19" xfId="17011"/>
    <cellStyle name="Normal 11 10 2 2" xfId="17012"/>
    <cellStyle name="Normal 11 10 2 2 10" xfId="17013"/>
    <cellStyle name="Normal 11 10 2 2 11" xfId="17014"/>
    <cellStyle name="Normal 11 10 2 2 12" xfId="17015"/>
    <cellStyle name="Normal 11 10 2 2 13" xfId="17016"/>
    <cellStyle name="Normal 11 10 2 2 14" xfId="17017"/>
    <cellStyle name="Normal 11 10 2 2 15" xfId="17018"/>
    <cellStyle name="Normal 11 10 2 2 2" xfId="17019"/>
    <cellStyle name="Normal 11 10 2 2 2 2" xfId="17020"/>
    <cellStyle name="Normal 11 10 2 2 2 2 2" xfId="17021"/>
    <cellStyle name="Normal 11 10 2 2 2 3" xfId="17022"/>
    <cellStyle name="Normal 11 10 2 2 2 4" xfId="17023"/>
    <cellStyle name="Normal 11 10 2 2 2 5" xfId="17024"/>
    <cellStyle name="Normal 11 10 2 2 3" xfId="17025"/>
    <cellStyle name="Normal 11 10 2 2 3 2" xfId="17026"/>
    <cellStyle name="Normal 11 10 2 2 4" xfId="17027"/>
    <cellStyle name="Normal 11 10 2 2 4 2" xfId="17028"/>
    <cellStyle name="Normal 11 10 2 2 5" xfId="17029"/>
    <cellStyle name="Normal 11 10 2 2 5 2" xfId="17030"/>
    <cellStyle name="Normal 11 10 2 2 6" xfId="17031"/>
    <cellStyle name="Normal 11 10 2 2 6 2" xfId="17032"/>
    <cellStyle name="Normal 11 10 2 2 7" xfId="17033"/>
    <cellStyle name="Normal 11 10 2 2 8" xfId="17034"/>
    <cellStyle name="Normal 11 10 2 2 9" xfId="17035"/>
    <cellStyle name="Normal 11 10 2 20" xfId="17036"/>
    <cellStyle name="Normal 11 10 2 3" xfId="17037"/>
    <cellStyle name="Normal 11 10 2 3 2" xfId="17038"/>
    <cellStyle name="Normal 11 10 2 3 2 2" xfId="17039"/>
    <cellStyle name="Normal 11 10 2 3 3" xfId="17040"/>
    <cellStyle name="Normal 11 10 2 3 4" xfId="17041"/>
    <cellStyle name="Normal 11 10 2 3 5" xfId="17042"/>
    <cellStyle name="Normal 11 10 2 3 6" xfId="17043"/>
    <cellStyle name="Normal 11 10 2 3 7" xfId="17044"/>
    <cellStyle name="Normal 11 10 2 4" xfId="17045"/>
    <cellStyle name="Normal 11 10 2 4 2" xfId="17046"/>
    <cellStyle name="Normal 11 10 2 4 3" xfId="17047"/>
    <cellStyle name="Normal 11 10 2 4 4" xfId="17048"/>
    <cellStyle name="Normal 11 10 2 5" xfId="17049"/>
    <cellStyle name="Normal 11 10 2 5 2" xfId="17050"/>
    <cellStyle name="Normal 11 10 2 5 3" xfId="17051"/>
    <cellStyle name="Normal 11 10 2 5 4" xfId="17052"/>
    <cellStyle name="Normal 11 10 2 6" xfId="17053"/>
    <cellStyle name="Normal 11 10 2 6 2" xfId="17054"/>
    <cellStyle name="Normal 11 10 2 6 3" xfId="17055"/>
    <cellStyle name="Normal 11 10 2 7" xfId="17056"/>
    <cellStyle name="Normal 11 10 2 7 2" xfId="17057"/>
    <cellStyle name="Normal 11 10 2 7 3" xfId="17058"/>
    <cellStyle name="Normal 11 10 2 8" xfId="17059"/>
    <cellStyle name="Normal 11 10 2 8 2" xfId="17060"/>
    <cellStyle name="Normal 11 10 2 9" xfId="17061"/>
    <cellStyle name="Normal 11 10 2 9 2" xfId="17062"/>
    <cellStyle name="Normal 11 10 20" xfId="17063"/>
    <cellStyle name="Normal 11 10 21" xfId="17064"/>
    <cellStyle name="Normal 11 10 22" xfId="17065"/>
    <cellStyle name="Normal 11 10 23" xfId="17066"/>
    <cellStyle name="Normal 11 10 24" xfId="17067"/>
    <cellStyle name="Normal 11 10 25" xfId="17068"/>
    <cellStyle name="Normal 11 10 26" xfId="17069"/>
    <cellStyle name="Normal 11 10 27" xfId="17070"/>
    <cellStyle name="Normal 11 10 3" xfId="1043"/>
    <cellStyle name="Normal 11 10 3 10" xfId="17071"/>
    <cellStyle name="Normal 11 10 3 11" xfId="17072"/>
    <cellStyle name="Normal 11 10 3 12" xfId="17073"/>
    <cellStyle name="Normal 11 10 3 13" xfId="17074"/>
    <cellStyle name="Normal 11 10 3 14" xfId="17075"/>
    <cellStyle name="Normal 11 10 3 15" xfId="17076"/>
    <cellStyle name="Normal 11 10 3 16" xfId="17077"/>
    <cellStyle name="Normal 11 10 3 17" xfId="17078"/>
    <cellStyle name="Normal 11 10 3 18" xfId="17079"/>
    <cellStyle name="Normal 11 10 3 19" xfId="17080"/>
    <cellStyle name="Normal 11 10 3 2" xfId="17081"/>
    <cellStyle name="Normal 11 10 3 2 10" xfId="17082"/>
    <cellStyle name="Normal 11 10 3 2 11" xfId="17083"/>
    <cellStyle name="Normal 11 10 3 2 12" xfId="17084"/>
    <cellStyle name="Normal 11 10 3 2 13" xfId="17085"/>
    <cellStyle name="Normal 11 10 3 2 14" xfId="17086"/>
    <cellStyle name="Normal 11 10 3 2 15" xfId="17087"/>
    <cellStyle name="Normal 11 10 3 2 2" xfId="17088"/>
    <cellStyle name="Normal 11 10 3 2 2 2" xfId="17089"/>
    <cellStyle name="Normal 11 10 3 2 2 2 2" xfId="17090"/>
    <cellStyle name="Normal 11 10 3 2 2 3" xfId="17091"/>
    <cellStyle name="Normal 11 10 3 2 2 4" xfId="17092"/>
    <cellStyle name="Normal 11 10 3 2 2 5" xfId="17093"/>
    <cellStyle name="Normal 11 10 3 2 3" xfId="17094"/>
    <cellStyle name="Normal 11 10 3 2 3 2" xfId="17095"/>
    <cellStyle name="Normal 11 10 3 2 4" xfId="17096"/>
    <cellStyle name="Normal 11 10 3 2 4 2" xfId="17097"/>
    <cellStyle name="Normal 11 10 3 2 5" xfId="17098"/>
    <cellStyle name="Normal 11 10 3 2 5 2" xfId="17099"/>
    <cellStyle name="Normal 11 10 3 2 6" xfId="17100"/>
    <cellStyle name="Normal 11 10 3 2 6 2" xfId="17101"/>
    <cellStyle name="Normal 11 10 3 2 7" xfId="17102"/>
    <cellStyle name="Normal 11 10 3 2 8" xfId="17103"/>
    <cellStyle name="Normal 11 10 3 2 9" xfId="17104"/>
    <cellStyle name="Normal 11 10 3 20" xfId="17105"/>
    <cellStyle name="Normal 11 10 3 3" xfId="17106"/>
    <cellStyle name="Normal 11 10 3 3 2" xfId="17107"/>
    <cellStyle name="Normal 11 10 3 3 2 2" xfId="17108"/>
    <cellStyle name="Normal 11 10 3 3 3" xfId="17109"/>
    <cellStyle name="Normal 11 10 3 3 4" xfId="17110"/>
    <cellStyle name="Normal 11 10 3 3 5" xfId="17111"/>
    <cellStyle name="Normal 11 10 3 3 6" xfId="17112"/>
    <cellStyle name="Normal 11 10 3 3 7" xfId="17113"/>
    <cellStyle name="Normal 11 10 3 4" xfId="17114"/>
    <cellStyle name="Normal 11 10 3 4 2" xfId="17115"/>
    <cellStyle name="Normal 11 10 3 4 3" xfId="17116"/>
    <cellStyle name="Normal 11 10 3 5" xfId="17117"/>
    <cellStyle name="Normal 11 10 3 5 2" xfId="17118"/>
    <cellStyle name="Normal 11 10 3 5 3" xfId="17119"/>
    <cellStyle name="Normal 11 10 3 6" xfId="17120"/>
    <cellStyle name="Normal 11 10 3 6 2" xfId="17121"/>
    <cellStyle name="Normal 11 10 3 6 3" xfId="17122"/>
    <cellStyle name="Normal 11 10 3 7" xfId="17123"/>
    <cellStyle name="Normal 11 10 3 7 2" xfId="17124"/>
    <cellStyle name="Normal 11 10 3 7 3" xfId="17125"/>
    <cellStyle name="Normal 11 10 3 8" xfId="17126"/>
    <cellStyle name="Normal 11 10 3 9" xfId="17127"/>
    <cellStyle name="Normal 11 10 4" xfId="1044"/>
    <cellStyle name="Normal 11 10 4 10" xfId="17128"/>
    <cellStyle name="Normal 11 10 4 11" xfId="17129"/>
    <cellStyle name="Normal 11 10 4 12" xfId="17130"/>
    <cellStyle name="Normal 11 10 4 13" xfId="17131"/>
    <cellStyle name="Normal 11 10 4 14" xfId="17132"/>
    <cellStyle name="Normal 11 10 4 15" xfId="17133"/>
    <cellStyle name="Normal 11 10 4 16" xfId="17134"/>
    <cellStyle name="Normal 11 10 4 17" xfId="17135"/>
    <cellStyle name="Normal 11 10 4 18" xfId="17136"/>
    <cellStyle name="Normal 11 10 4 19" xfId="17137"/>
    <cellStyle name="Normal 11 10 4 2" xfId="17138"/>
    <cellStyle name="Normal 11 10 4 2 10" xfId="17139"/>
    <cellStyle name="Normal 11 10 4 2 11" xfId="17140"/>
    <cellStyle name="Normal 11 10 4 2 12" xfId="17141"/>
    <cellStyle name="Normal 11 10 4 2 13" xfId="17142"/>
    <cellStyle name="Normal 11 10 4 2 2" xfId="17143"/>
    <cellStyle name="Normal 11 10 4 2 2 2" xfId="17144"/>
    <cellStyle name="Normal 11 10 4 2 2 2 2" xfId="17145"/>
    <cellStyle name="Normal 11 10 4 2 2 3" xfId="17146"/>
    <cellStyle name="Normal 11 10 4 2 2 4" xfId="17147"/>
    <cellStyle name="Normal 11 10 4 2 2 5" xfId="17148"/>
    <cellStyle name="Normal 11 10 4 2 3" xfId="17149"/>
    <cellStyle name="Normal 11 10 4 2 3 2" xfId="17150"/>
    <cellStyle name="Normal 11 10 4 2 4" xfId="17151"/>
    <cellStyle name="Normal 11 10 4 2 4 2" xfId="17152"/>
    <cellStyle name="Normal 11 10 4 2 5" xfId="17153"/>
    <cellStyle name="Normal 11 10 4 2 5 2" xfId="17154"/>
    <cellStyle name="Normal 11 10 4 2 6" xfId="17155"/>
    <cellStyle name="Normal 11 10 4 2 6 2" xfId="17156"/>
    <cellStyle name="Normal 11 10 4 2 7" xfId="17157"/>
    <cellStyle name="Normal 11 10 4 2 8" xfId="17158"/>
    <cellStyle name="Normal 11 10 4 2 9" xfId="17159"/>
    <cellStyle name="Normal 11 10 4 20" xfId="17160"/>
    <cellStyle name="Normal 11 10 4 3" xfId="17161"/>
    <cellStyle name="Normal 11 10 4 3 2" xfId="17162"/>
    <cellStyle name="Normal 11 10 4 3 2 2" xfId="17163"/>
    <cellStyle name="Normal 11 10 4 3 3" xfId="17164"/>
    <cellStyle name="Normal 11 10 4 3 4" xfId="17165"/>
    <cellStyle name="Normal 11 10 4 3 5" xfId="17166"/>
    <cellStyle name="Normal 11 10 4 4" xfId="17167"/>
    <cellStyle name="Normal 11 10 4 4 2" xfId="17168"/>
    <cellStyle name="Normal 11 10 4 5" xfId="17169"/>
    <cellStyle name="Normal 11 10 4 5 2" xfId="17170"/>
    <cellStyle name="Normal 11 10 4 6" xfId="17171"/>
    <cellStyle name="Normal 11 10 4 6 2" xfId="17172"/>
    <cellStyle name="Normal 11 10 4 7" xfId="17173"/>
    <cellStyle name="Normal 11 10 4 7 2" xfId="17174"/>
    <cellStyle name="Normal 11 10 4 8" xfId="17175"/>
    <cellStyle name="Normal 11 10 4 9" xfId="17176"/>
    <cellStyle name="Normal 11 10 5" xfId="1045"/>
    <cellStyle name="Normal 11 10 5 10" xfId="17177"/>
    <cellStyle name="Normal 11 10 5 11" xfId="17178"/>
    <cellStyle name="Normal 11 10 5 12" xfId="17179"/>
    <cellStyle name="Normal 11 10 5 13" xfId="17180"/>
    <cellStyle name="Normal 11 10 5 14" xfId="17181"/>
    <cellStyle name="Normal 11 10 5 15" xfId="17182"/>
    <cellStyle name="Normal 11 10 5 16" xfId="17183"/>
    <cellStyle name="Normal 11 10 5 17" xfId="17184"/>
    <cellStyle name="Normal 11 10 5 18" xfId="17185"/>
    <cellStyle name="Normal 11 10 5 19" xfId="17186"/>
    <cellStyle name="Normal 11 10 5 2" xfId="17187"/>
    <cellStyle name="Normal 11 10 5 2 10" xfId="17188"/>
    <cellStyle name="Normal 11 10 5 2 11" xfId="17189"/>
    <cellStyle name="Normal 11 10 5 2 12" xfId="17190"/>
    <cellStyle name="Normal 11 10 5 2 13" xfId="17191"/>
    <cellStyle name="Normal 11 10 5 2 2" xfId="17192"/>
    <cellStyle name="Normal 11 10 5 2 2 2" xfId="17193"/>
    <cellStyle name="Normal 11 10 5 2 2 2 2" xfId="17194"/>
    <cellStyle name="Normal 11 10 5 2 2 3" xfId="17195"/>
    <cellStyle name="Normal 11 10 5 2 2 4" xfId="17196"/>
    <cellStyle name="Normal 11 10 5 2 2 5" xfId="17197"/>
    <cellStyle name="Normal 11 10 5 2 3" xfId="17198"/>
    <cellStyle name="Normal 11 10 5 2 3 2" xfId="17199"/>
    <cellStyle name="Normal 11 10 5 2 4" xfId="17200"/>
    <cellStyle name="Normal 11 10 5 2 4 2" xfId="17201"/>
    <cellStyle name="Normal 11 10 5 2 5" xfId="17202"/>
    <cellStyle name="Normal 11 10 5 2 5 2" xfId="17203"/>
    <cellStyle name="Normal 11 10 5 2 6" xfId="17204"/>
    <cellStyle name="Normal 11 10 5 2 6 2" xfId="17205"/>
    <cellStyle name="Normal 11 10 5 2 7" xfId="17206"/>
    <cellStyle name="Normal 11 10 5 2 8" xfId="17207"/>
    <cellStyle name="Normal 11 10 5 2 9" xfId="17208"/>
    <cellStyle name="Normal 11 10 5 3" xfId="17209"/>
    <cellStyle name="Normal 11 10 5 3 2" xfId="17210"/>
    <cellStyle name="Normal 11 10 5 3 2 2" xfId="17211"/>
    <cellStyle name="Normal 11 10 5 3 3" xfId="17212"/>
    <cellStyle name="Normal 11 10 5 3 4" xfId="17213"/>
    <cellStyle name="Normal 11 10 5 3 5" xfId="17214"/>
    <cellStyle name="Normal 11 10 5 4" xfId="17215"/>
    <cellStyle name="Normal 11 10 5 4 2" xfId="17216"/>
    <cellStyle name="Normal 11 10 5 5" xfId="17217"/>
    <cellStyle name="Normal 11 10 5 5 2" xfId="17218"/>
    <cellStyle name="Normal 11 10 5 6" xfId="17219"/>
    <cellStyle name="Normal 11 10 5 6 2" xfId="17220"/>
    <cellStyle name="Normal 11 10 5 7" xfId="17221"/>
    <cellStyle name="Normal 11 10 5 7 2" xfId="17222"/>
    <cellStyle name="Normal 11 10 5 8" xfId="17223"/>
    <cellStyle name="Normal 11 10 5 9" xfId="17224"/>
    <cellStyle name="Normal 11 10 6" xfId="1046"/>
    <cellStyle name="Normal 11 10 6 10" xfId="17225"/>
    <cellStyle name="Normal 11 10 6 11" xfId="17226"/>
    <cellStyle name="Normal 11 10 6 12" xfId="17227"/>
    <cellStyle name="Normal 11 10 6 13" xfId="17228"/>
    <cellStyle name="Normal 11 10 6 14" xfId="17229"/>
    <cellStyle name="Normal 11 10 6 15" xfId="17230"/>
    <cellStyle name="Normal 11 10 6 16" xfId="17231"/>
    <cellStyle name="Normal 11 10 6 17" xfId="17232"/>
    <cellStyle name="Normal 11 10 6 18" xfId="17233"/>
    <cellStyle name="Normal 11 10 6 19" xfId="17234"/>
    <cellStyle name="Normal 11 10 6 2" xfId="17235"/>
    <cellStyle name="Normal 11 10 6 2 10" xfId="17236"/>
    <cellStyle name="Normal 11 10 6 2 11" xfId="17237"/>
    <cellStyle name="Normal 11 10 6 2 12" xfId="17238"/>
    <cellStyle name="Normal 11 10 6 2 13" xfId="17239"/>
    <cellStyle name="Normal 11 10 6 2 2" xfId="17240"/>
    <cellStyle name="Normal 11 10 6 2 2 2" xfId="17241"/>
    <cellStyle name="Normal 11 10 6 2 2 2 2" xfId="17242"/>
    <cellStyle name="Normal 11 10 6 2 2 3" xfId="17243"/>
    <cellStyle name="Normal 11 10 6 2 2 4" xfId="17244"/>
    <cellStyle name="Normal 11 10 6 2 2 5" xfId="17245"/>
    <cellStyle name="Normal 11 10 6 2 3" xfId="17246"/>
    <cellStyle name="Normal 11 10 6 2 3 2" xfId="17247"/>
    <cellStyle name="Normal 11 10 6 2 4" xfId="17248"/>
    <cellStyle name="Normal 11 10 6 2 4 2" xfId="17249"/>
    <cellStyle name="Normal 11 10 6 2 5" xfId="17250"/>
    <cellStyle name="Normal 11 10 6 2 5 2" xfId="17251"/>
    <cellStyle name="Normal 11 10 6 2 6" xfId="17252"/>
    <cellStyle name="Normal 11 10 6 2 6 2" xfId="17253"/>
    <cellStyle name="Normal 11 10 6 2 7" xfId="17254"/>
    <cellStyle name="Normal 11 10 6 2 8" xfId="17255"/>
    <cellStyle name="Normal 11 10 6 2 9" xfId="17256"/>
    <cellStyle name="Normal 11 10 6 3" xfId="17257"/>
    <cellStyle name="Normal 11 10 6 3 2" xfId="17258"/>
    <cellStyle name="Normal 11 10 6 3 2 2" xfId="17259"/>
    <cellStyle name="Normal 11 10 6 3 3" xfId="17260"/>
    <cellStyle name="Normal 11 10 6 3 4" xfId="17261"/>
    <cellStyle name="Normal 11 10 6 3 5" xfId="17262"/>
    <cellStyle name="Normal 11 10 6 4" xfId="17263"/>
    <cellStyle name="Normal 11 10 6 4 2" xfId="17264"/>
    <cellStyle name="Normal 11 10 6 5" xfId="17265"/>
    <cellStyle name="Normal 11 10 6 5 2" xfId="17266"/>
    <cellStyle name="Normal 11 10 6 6" xfId="17267"/>
    <cellStyle name="Normal 11 10 6 6 2" xfId="17268"/>
    <cellStyle name="Normal 11 10 6 7" xfId="17269"/>
    <cellStyle name="Normal 11 10 6 7 2" xfId="17270"/>
    <cellStyle name="Normal 11 10 6 8" xfId="17271"/>
    <cellStyle name="Normal 11 10 6 9" xfId="17272"/>
    <cellStyle name="Normal 11 10 7" xfId="1047"/>
    <cellStyle name="Normal 11 10 7 10" xfId="17273"/>
    <cellStyle name="Normal 11 10 7 11" xfId="17274"/>
    <cellStyle name="Normal 11 10 7 12" xfId="17275"/>
    <cellStyle name="Normal 11 10 7 13" xfId="17276"/>
    <cellStyle name="Normal 11 10 7 14" xfId="17277"/>
    <cellStyle name="Normal 11 10 7 15" xfId="17278"/>
    <cellStyle name="Normal 11 10 7 16" xfId="17279"/>
    <cellStyle name="Normal 11 10 7 17" xfId="17280"/>
    <cellStyle name="Normal 11 10 7 18" xfId="17281"/>
    <cellStyle name="Normal 11 10 7 2" xfId="17282"/>
    <cellStyle name="Normal 11 10 7 2 10" xfId="17283"/>
    <cellStyle name="Normal 11 10 7 2 11" xfId="17284"/>
    <cellStyle name="Normal 11 10 7 2 12" xfId="17285"/>
    <cellStyle name="Normal 11 10 7 2 13" xfId="17286"/>
    <cellStyle name="Normal 11 10 7 2 2" xfId="17287"/>
    <cellStyle name="Normal 11 10 7 2 2 2" xfId="17288"/>
    <cellStyle name="Normal 11 10 7 2 2 2 2" xfId="17289"/>
    <cellStyle name="Normal 11 10 7 2 2 3" xfId="17290"/>
    <cellStyle name="Normal 11 10 7 2 2 4" xfId="17291"/>
    <cellStyle name="Normal 11 10 7 2 2 5" xfId="17292"/>
    <cellStyle name="Normal 11 10 7 2 3" xfId="17293"/>
    <cellStyle name="Normal 11 10 7 2 3 2" xfId="17294"/>
    <cellStyle name="Normal 11 10 7 2 4" xfId="17295"/>
    <cellStyle name="Normal 11 10 7 2 4 2" xfId="17296"/>
    <cellStyle name="Normal 11 10 7 2 5" xfId="17297"/>
    <cellStyle name="Normal 11 10 7 2 5 2" xfId="17298"/>
    <cellStyle name="Normal 11 10 7 2 6" xfId="17299"/>
    <cellStyle name="Normal 11 10 7 2 6 2" xfId="17300"/>
    <cellStyle name="Normal 11 10 7 2 7" xfId="17301"/>
    <cellStyle name="Normal 11 10 7 2 8" xfId="17302"/>
    <cellStyle name="Normal 11 10 7 2 9" xfId="17303"/>
    <cellStyle name="Normal 11 10 7 3" xfId="17304"/>
    <cellStyle name="Normal 11 10 7 3 2" xfId="17305"/>
    <cellStyle name="Normal 11 10 7 3 2 2" xfId="17306"/>
    <cellStyle name="Normal 11 10 7 3 3" xfId="17307"/>
    <cellStyle name="Normal 11 10 7 3 4" xfId="17308"/>
    <cellStyle name="Normal 11 10 7 3 5" xfId="17309"/>
    <cellStyle name="Normal 11 10 7 4" xfId="17310"/>
    <cellStyle name="Normal 11 10 7 4 2" xfId="17311"/>
    <cellStyle name="Normal 11 10 7 5" xfId="17312"/>
    <cellStyle name="Normal 11 10 7 5 2" xfId="17313"/>
    <cellStyle name="Normal 11 10 7 6" xfId="17314"/>
    <cellStyle name="Normal 11 10 7 6 2" xfId="17315"/>
    <cellStyle name="Normal 11 10 7 7" xfId="17316"/>
    <cellStyle name="Normal 11 10 7 7 2" xfId="17317"/>
    <cellStyle name="Normal 11 10 7 8" xfId="17318"/>
    <cellStyle name="Normal 11 10 7 9" xfId="17319"/>
    <cellStyle name="Normal 11 10 8" xfId="1048"/>
    <cellStyle name="Normal 11 10 8 10" xfId="17320"/>
    <cellStyle name="Normal 11 10 8 11" xfId="17321"/>
    <cellStyle name="Normal 11 10 8 12" xfId="17322"/>
    <cellStyle name="Normal 11 10 8 13" xfId="17323"/>
    <cellStyle name="Normal 11 10 8 14" xfId="17324"/>
    <cellStyle name="Normal 11 10 8 15" xfId="17325"/>
    <cellStyle name="Normal 11 10 8 16" xfId="17326"/>
    <cellStyle name="Normal 11 10 8 2" xfId="17327"/>
    <cellStyle name="Normal 11 10 8 2 2" xfId="17328"/>
    <cellStyle name="Normal 11 10 8 2 2 2" xfId="17329"/>
    <cellStyle name="Normal 11 10 8 2 3" xfId="17330"/>
    <cellStyle name="Normal 11 10 8 2 3 2" xfId="17331"/>
    <cellStyle name="Normal 11 10 8 2 4" xfId="17332"/>
    <cellStyle name="Normal 11 10 8 2 4 2" xfId="17333"/>
    <cellStyle name="Normal 11 10 8 2 5" xfId="17334"/>
    <cellStyle name="Normal 11 10 8 2 5 2" xfId="17335"/>
    <cellStyle name="Normal 11 10 8 2 6" xfId="17336"/>
    <cellStyle name="Normal 11 10 8 2 7" xfId="17337"/>
    <cellStyle name="Normal 11 10 8 2 8" xfId="17338"/>
    <cellStyle name="Normal 11 10 8 2 9" xfId="17339"/>
    <cellStyle name="Normal 11 10 8 3" xfId="17340"/>
    <cellStyle name="Normal 11 10 8 3 2" xfId="17341"/>
    <cellStyle name="Normal 11 10 8 3 2 2" xfId="17342"/>
    <cellStyle name="Normal 11 10 8 3 3" xfId="17343"/>
    <cellStyle name="Normal 11 10 8 3 4" xfId="17344"/>
    <cellStyle name="Normal 11 10 8 3 5" xfId="17345"/>
    <cellStyle name="Normal 11 10 8 4" xfId="17346"/>
    <cellStyle name="Normal 11 10 8 4 2" xfId="17347"/>
    <cellStyle name="Normal 11 10 8 5" xfId="17348"/>
    <cellStyle name="Normal 11 10 8 5 2" xfId="17349"/>
    <cellStyle name="Normal 11 10 8 6" xfId="17350"/>
    <cellStyle name="Normal 11 10 8 6 2" xfId="17351"/>
    <cellStyle name="Normal 11 10 8 7" xfId="17352"/>
    <cellStyle name="Normal 11 10 8 7 2" xfId="17353"/>
    <cellStyle name="Normal 11 10 8 8" xfId="17354"/>
    <cellStyle name="Normal 11 10 8 9" xfId="17355"/>
    <cellStyle name="Normal 11 10 9" xfId="1049"/>
    <cellStyle name="Normal 11 10 9 10" xfId="17356"/>
    <cellStyle name="Normal 11 10 9 11" xfId="17357"/>
    <cellStyle name="Normal 11 10 9 12" xfId="17358"/>
    <cellStyle name="Normal 11 10 9 13" xfId="17359"/>
    <cellStyle name="Normal 11 10 9 14" xfId="17360"/>
    <cellStyle name="Normal 11 10 9 15" xfId="17361"/>
    <cellStyle name="Normal 11 10 9 16" xfId="17362"/>
    <cellStyle name="Normal 11 10 9 2" xfId="17363"/>
    <cellStyle name="Normal 11 10 9 2 2" xfId="17364"/>
    <cellStyle name="Normal 11 10 9 2 2 2" xfId="17365"/>
    <cellStyle name="Normal 11 10 9 2 3" xfId="17366"/>
    <cellStyle name="Normal 11 10 9 2 3 2" xfId="17367"/>
    <cellStyle name="Normal 11 10 9 2 4" xfId="17368"/>
    <cellStyle name="Normal 11 10 9 2 4 2" xfId="17369"/>
    <cellStyle name="Normal 11 10 9 2 5" xfId="17370"/>
    <cellStyle name="Normal 11 10 9 2 5 2" xfId="17371"/>
    <cellStyle name="Normal 11 10 9 2 6" xfId="17372"/>
    <cellStyle name="Normal 11 10 9 2 7" xfId="17373"/>
    <cellStyle name="Normal 11 10 9 2 8" xfId="17374"/>
    <cellStyle name="Normal 11 10 9 2 9" xfId="17375"/>
    <cellStyle name="Normal 11 10 9 3" xfId="17376"/>
    <cellStyle name="Normal 11 10 9 3 2" xfId="17377"/>
    <cellStyle name="Normal 11 10 9 3 2 2" xfId="17378"/>
    <cellStyle name="Normal 11 10 9 3 3" xfId="17379"/>
    <cellStyle name="Normal 11 10 9 3 4" xfId="17380"/>
    <cellStyle name="Normal 11 10 9 3 5" xfId="17381"/>
    <cellStyle name="Normal 11 10 9 4" xfId="17382"/>
    <cellStyle name="Normal 11 10 9 4 2" xfId="17383"/>
    <cellStyle name="Normal 11 10 9 5" xfId="17384"/>
    <cellStyle name="Normal 11 10 9 5 2" xfId="17385"/>
    <cellStyle name="Normal 11 10 9 6" xfId="17386"/>
    <cellStyle name="Normal 11 10 9 6 2" xfId="17387"/>
    <cellStyle name="Normal 11 10 9 7" xfId="17388"/>
    <cellStyle name="Normal 11 10 9 7 2" xfId="17389"/>
    <cellStyle name="Normal 11 10 9 8" xfId="17390"/>
    <cellStyle name="Normal 11 10 9 9" xfId="17391"/>
    <cellStyle name="Normal 11 11" xfId="4"/>
    <cellStyle name="Normal 11 11 10" xfId="1051"/>
    <cellStyle name="Normal 11 11 10 2" xfId="17393"/>
    <cellStyle name="Normal 11 11 11" xfId="1052"/>
    <cellStyle name="Normal 11 11 12" xfId="1053"/>
    <cellStyle name="Normal 11 11 13" xfId="1054"/>
    <cellStyle name="Normal 11 11 14" xfId="1055"/>
    <cellStyle name="Normal 11 11 15" xfId="11850"/>
    <cellStyle name="Normal 11 11 16" xfId="17392"/>
    <cellStyle name="Normal 11 11 17" xfId="17394"/>
    <cellStyle name="Normal 11 11 18" xfId="17395"/>
    <cellStyle name="Normal 11 11 19" xfId="17396"/>
    <cellStyle name="Normal 11 11 2" xfId="1050"/>
    <cellStyle name="Normal 11 11 2 10" xfId="17397"/>
    <cellStyle name="Normal 11 11 2 11" xfId="17398"/>
    <cellStyle name="Normal 11 11 2 12" xfId="17399"/>
    <cellStyle name="Normal 11 11 2 13" xfId="17400"/>
    <cellStyle name="Normal 11 11 2 14" xfId="17401"/>
    <cellStyle name="Normal 11 11 2 15" xfId="17402"/>
    <cellStyle name="Normal 11 11 2 2" xfId="17403"/>
    <cellStyle name="Normal 11 11 2 2 2" xfId="17404"/>
    <cellStyle name="Normal 11 11 2 2 2 2" xfId="17405"/>
    <cellStyle name="Normal 11 11 2 2 3" xfId="17406"/>
    <cellStyle name="Normal 11 11 2 2 4" xfId="17407"/>
    <cellStyle name="Normal 11 11 2 2 5" xfId="17408"/>
    <cellStyle name="Normal 11 11 2 2 6" xfId="17409"/>
    <cellStyle name="Normal 11 11 2 2 7" xfId="17410"/>
    <cellStyle name="Normal 11 11 2 3" xfId="17411"/>
    <cellStyle name="Normal 11 11 2 3 2" xfId="17412"/>
    <cellStyle name="Normal 11 11 2 3 3" xfId="17413"/>
    <cellStyle name="Normal 11 11 2 3 4" xfId="17414"/>
    <cellStyle name="Normal 11 11 2 4" xfId="17415"/>
    <cellStyle name="Normal 11 11 2 4 2" xfId="17416"/>
    <cellStyle name="Normal 11 11 2 4 3" xfId="17417"/>
    <cellStyle name="Normal 11 11 2 4 4" xfId="17418"/>
    <cellStyle name="Normal 11 11 2 5" xfId="17419"/>
    <cellStyle name="Normal 11 11 2 5 2" xfId="17420"/>
    <cellStyle name="Normal 11 11 2 5 3" xfId="17421"/>
    <cellStyle name="Normal 11 11 2 5 4" xfId="17422"/>
    <cellStyle name="Normal 11 11 2 6" xfId="17423"/>
    <cellStyle name="Normal 11 11 2 6 2" xfId="17424"/>
    <cellStyle name="Normal 11 11 2 6 3" xfId="17425"/>
    <cellStyle name="Normal 11 11 2 7" xfId="17426"/>
    <cellStyle name="Normal 11 11 2 7 2" xfId="17427"/>
    <cellStyle name="Normal 11 11 2 8" xfId="17428"/>
    <cellStyle name="Normal 11 11 2 8 2" xfId="17429"/>
    <cellStyle name="Normal 11 11 2 9" xfId="17430"/>
    <cellStyle name="Normal 11 11 2 9 2" xfId="17431"/>
    <cellStyle name="Normal 11 11 20" xfId="17432"/>
    <cellStyle name="Normal 11 11 3" xfId="1057"/>
    <cellStyle name="Normal 11 11 3 2" xfId="17433"/>
    <cellStyle name="Normal 11 11 3 2 2" xfId="17434"/>
    <cellStyle name="Normal 11 11 3 2 3" xfId="17435"/>
    <cellStyle name="Normal 11 11 3 2 4" xfId="17436"/>
    <cellStyle name="Normal 11 11 3 3" xfId="17437"/>
    <cellStyle name="Normal 11 11 3 3 2" xfId="17438"/>
    <cellStyle name="Normal 11 11 3 3 3" xfId="17439"/>
    <cellStyle name="Normal 11 11 3 4" xfId="17440"/>
    <cellStyle name="Normal 11 11 3 4 2" xfId="17441"/>
    <cellStyle name="Normal 11 11 3 5" xfId="17442"/>
    <cellStyle name="Normal 11 11 3 5 2" xfId="17443"/>
    <cellStyle name="Normal 11 11 3 6" xfId="17444"/>
    <cellStyle name="Normal 11 11 3 6 2" xfId="17445"/>
    <cellStyle name="Normal 11 11 3 7" xfId="17446"/>
    <cellStyle name="Normal 11 11 4" xfId="1058"/>
    <cellStyle name="Normal 11 11 4 2" xfId="17447"/>
    <cellStyle name="Normal 11 11 4 3" xfId="17448"/>
    <cellStyle name="Normal 11 11 4 4" xfId="17449"/>
    <cellStyle name="Normal 11 11 5" xfId="1059"/>
    <cellStyle name="Normal 11 11 5 2" xfId="17450"/>
    <cellStyle name="Normal 11 11 5 3" xfId="17451"/>
    <cellStyle name="Normal 11 11 5 4" xfId="17452"/>
    <cellStyle name="Normal 11 11 6" xfId="1060"/>
    <cellStyle name="Normal 11 11 6 2" xfId="17453"/>
    <cellStyle name="Normal 11 11 6 3" xfId="17454"/>
    <cellStyle name="Normal 11 11 6 4" xfId="17455"/>
    <cellStyle name="Normal 11 11 7" xfId="1061"/>
    <cellStyle name="Normal 11 11 7 2" xfId="17456"/>
    <cellStyle name="Normal 11 11 7 3" xfId="17457"/>
    <cellStyle name="Normal 11 11 8" xfId="1062"/>
    <cellStyle name="Normal 11 11 8 2" xfId="17458"/>
    <cellStyle name="Normal 11 11 9" xfId="1063"/>
    <cellStyle name="Normal 11 11 9 2" xfId="17459"/>
    <cellStyle name="Normal 11 12" xfId="5"/>
    <cellStyle name="Normal 11 12 10" xfId="1065"/>
    <cellStyle name="Normal 11 12 10 2" xfId="17461"/>
    <cellStyle name="Normal 11 12 11" xfId="1066"/>
    <cellStyle name="Normal 11 12 12" xfId="1067"/>
    <cellStyle name="Normal 11 12 13" xfId="1068"/>
    <cellStyle name="Normal 11 12 14" xfId="1069"/>
    <cellStyle name="Normal 11 12 15" xfId="11836"/>
    <cellStyle name="Normal 11 12 16" xfId="17460"/>
    <cellStyle name="Normal 11 12 17" xfId="17462"/>
    <cellStyle name="Normal 11 12 18" xfId="17463"/>
    <cellStyle name="Normal 11 12 19" xfId="17464"/>
    <cellStyle name="Normal 11 12 2" xfId="1064"/>
    <cellStyle name="Normal 11 12 2 10" xfId="17465"/>
    <cellStyle name="Normal 11 12 2 11" xfId="17466"/>
    <cellStyle name="Normal 11 12 2 12" xfId="17467"/>
    <cellStyle name="Normal 11 12 2 13" xfId="17468"/>
    <cellStyle name="Normal 11 12 2 14" xfId="17469"/>
    <cellStyle name="Normal 11 12 2 15" xfId="17470"/>
    <cellStyle name="Normal 11 12 2 2" xfId="17471"/>
    <cellStyle name="Normal 11 12 2 2 2" xfId="17472"/>
    <cellStyle name="Normal 11 12 2 2 2 2" xfId="17473"/>
    <cellStyle name="Normal 11 12 2 2 3" xfId="17474"/>
    <cellStyle name="Normal 11 12 2 2 4" xfId="17475"/>
    <cellStyle name="Normal 11 12 2 2 5" xfId="17476"/>
    <cellStyle name="Normal 11 12 2 2 6" xfId="17477"/>
    <cellStyle name="Normal 11 12 2 2 7" xfId="17478"/>
    <cellStyle name="Normal 11 12 2 3" xfId="17479"/>
    <cellStyle name="Normal 11 12 2 3 2" xfId="17480"/>
    <cellStyle name="Normal 11 12 2 3 3" xfId="17481"/>
    <cellStyle name="Normal 11 12 2 3 4" xfId="17482"/>
    <cellStyle name="Normal 11 12 2 4" xfId="17483"/>
    <cellStyle name="Normal 11 12 2 4 2" xfId="17484"/>
    <cellStyle name="Normal 11 12 2 4 3" xfId="17485"/>
    <cellStyle name="Normal 11 12 2 4 4" xfId="17486"/>
    <cellStyle name="Normal 11 12 2 5" xfId="17487"/>
    <cellStyle name="Normal 11 12 2 5 2" xfId="17488"/>
    <cellStyle name="Normal 11 12 2 5 3" xfId="17489"/>
    <cellStyle name="Normal 11 12 2 5 4" xfId="17490"/>
    <cellStyle name="Normal 11 12 2 6" xfId="17491"/>
    <cellStyle name="Normal 11 12 2 6 2" xfId="17492"/>
    <cellStyle name="Normal 11 12 2 6 3" xfId="17493"/>
    <cellStyle name="Normal 11 12 2 7" xfId="17494"/>
    <cellStyle name="Normal 11 12 2 7 2" xfId="17495"/>
    <cellStyle name="Normal 11 12 2 8" xfId="17496"/>
    <cellStyle name="Normal 11 12 2 8 2" xfId="17497"/>
    <cellStyle name="Normal 11 12 2 9" xfId="17498"/>
    <cellStyle name="Normal 11 12 2 9 2" xfId="17499"/>
    <cellStyle name="Normal 11 12 20" xfId="17500"/>
    <cellStyle name="Normal 11 12 3" xfId="1071"/>
    <cellStyle name="Normal 11 12 3 2" xfId="17501"/>
    <cellStyle name="Normal 11 12 3 2 2" xfId="17502"/>
    <cellStyle name="Normal 11 12 3 2 3" xfId="17503"/>
    <cellStyle name="Normal 11 12 3 2 4" xfId="17504"/>
    <cellStyle name="Normal 11 12 3 3" xfId="17505"/>
    <cellStyle name="Normal 11 12 3 3 2" xfId="17506"/>
    <cellStyle name="Normal 11 12 3 3 3" xfId="17507"/>
    <cellStyle name="Normal 11 12 3 4" xfId="17508"/>
    <cellStyle name="Normal 11 12 3 4 2" xfId="17509"/>
    <cellStyle name="Normal 11 12 3 5" xfId="17510"/>
    <cellStyle name="Normal 11 12 3 5 2" xfId="17511"/>
    <cellStyle name="Normal 11 12 3 6" xfId="17512"/>
    <cellStyle name="Normal 11 12 3 6 2" xfId="17513"/>
    <cellStyle name="Normal 11 12 3 7" xfId="17514"/>
    <cellStyle name="Normal 11 12 4" xfId="1072"/>
    <cellStyle name="Normal 11 12 4 2" xfId="17515"/>
    <cellStyle name="Normal 11 12 4 3" xfId="17516"/>
    <cellStyle name="Normal 11 12 4 4" xfId="17517"/>
    <cellStyle name="Normal 11 12 5" xfId="1073"/>
    <cellStyle name="Normal 11 12 5 2" xfId="17518"/>
    <cellStyle name="Normal 11 12 5 3" xfId="17519"/>
    <cellStyle name="Normal 11 12 5 4" xfId="17520"/>
    <cellStyle name="Normal 11 12 6" xfId="1074"/>
    <cellStyle name="Normal 11 12 6 2" xfId="17521"/>
    <cellStyle name="Normal 11 12 6 3" xfId="17522"/>
    <cellStyle name="Normal 11 12 6 4" xfId="17523"/>
    <cellStyle name="Normal 11 12 7" xfId="1075"/>
    <cellStyle name="Normal 11 12 7 2" xfId="17524"/>
    <cellStyle name="Normal 11 12 7 3" xfId="17525"/>
    <cellStyle name="Normal 11 12 8" xfId="1076"/>
    <cellStyle name="Normal 11 12 8 2" xfId="17526"/>
    <cellStyle name="Normal 11 12 9" xfId="1077"/>
    <cellStyle name="Normal 11 12 9 2" xfId="17527"/>
    <cellStyle name="Normal 11 13" xfId="6"/>
    <cellStyle name="Normal 11 13 10" xfId="1079"/>
    <cellStyle name="Normal 11 13 10 2" xfId="17529"/>
    <cellStyle name="Normal 11 13 11" xfId="1080"/>
    <cellStyle name="Normal 11 13 12" xfId="1081"/>
    <cellStyle name="Normal 11 13 13" xfId="1082"/>
    <cellStyle name="Normal 11 13 14" xfId="1083"/>
    <cellStyle name="Normal 11 13 15" xfId="11822"/>
    <cellStyle name="Normal 11 13 16" xfId="17528"/>
    <cellStyle name="Normal 11 13 17" xfId="17530"/>
    <cellStyle name="Normal 11 13 18" xfId="17531"/>
    <cellStyle name="Normal 11 13 19" xfId="17532"/>
    <cellStyle name="Normal 11 13 2" xfId="1078"/>
    <cellStyle name="Normal 11 13 2 10" xfId="17533"/>
    <cellStyle name="Normal 11 13 2 11" xfId="17534"/>
    <cellStyle name="Normal 11 13 2 12" xfId="17535"/>
    <cellStyle name="Normal 11 13 2 13" xfId="17536"/>
    <cellStyle name="Normal 11 13 2 14" xfId="17537"/>
    <cellStyle name="Normal 11 13 2 15" xfId="17538"/>
    <cellStyle name="Normal 11 13 2 2" xfId="17539"/>
    <cellStyle name="Normal 11 13 2 2 2" xfId="17540"/>
    <cellStyle name="Normal 11 13 2 2 2 2" xfId="17541"/>
    <cellStyle name="Normal 11 13 2 2 3" xfId="17542"/>
    <cellStyle name="Normal 11 13 2 2 4" xfId="17543"/>
    <cellStyle name="Normal 11 13 2 2 5" xfId="17544"/>
    <cellStyle name="Normal 11 13 2 2 6" xfId="17545"/>
    <cellStyle name="Normal 11 13 2 2 7" xfId="17546"/>
    <cellStyle name="Normal 11 13 2 3" xfId="17547"/>
    <cellStyle name="Normal 11 13 2 3 2" xfId="17548"/>
    <cellStyle name="Normal 11 13 2 3 3" xfId="17549"/>
    <cellStyle name="Normal 11 13 2 3 4" xfId="17550"/>
    <cellStyle name="Normal 11 13 2 4" xfId="17551"/>
    <cellStyle name="Normal 11 13 2 4 2" xfId="17552"/>
    <cellStyle name="Normal 11 13 2 4 3" xfId="17553"/>
    <cellStyle name="Normal 11 13 2 4 4" xfId="17554"/>
    <cellStyle name="Normal 11 13 2 5" xfId="17555"/>
    <cellStyle name="Normal 11 13 2 5 2" xfId="17556"/>
    <cellStyle name="Normal 11 13 2 5 3" xfId="17557"/>
    <cellStyle name="Normal 11 13 2 5 4" xfId="17558"/>
    <cellStyle name="Normal 11 13 2 6" xfId="17559"/>
    <cellStyle name="Normal 11 13 2 6 2" xfId="17560"/>
    <cellStyle name="Normal 11 13 2 6 3" xfId="17561"/>
    <cellStyle name="Normal 11 13 2 7" xfId="17562"/>
    <cellStyle name="Normal 11 13 2 7 2" xfId="17563"/>
    <cellStyle name="Normal 11 13 2 8" xfId="17564"/>
    <cellStyle name="Normal 11 13 2 8 2" xfId="17565"/>
    <cellStyle name="Normal 11 13 2 9" xfId="17566"/>
    <cellStyle name="Normal 11 13 2 9 2" xfId="17567"/>
    <cellStyle name="Normal 11 13 20" xfId="17568"/>
    <cellStyle name="Normal 11 13 3" xfId="1085"/>
    <cellStyle name="Normal 11 13 3 2" xfId="17569"/>
    <cellStyle name="Normal 11 13 3 2 2" xfId="17570"/>
    <cellStyle name="Normal 11 13 3 2 3" xfId="17571"/>
    <cellStyle name="Normal 11 13 3 2 4" xfId="17572"/>
    <cellStyle name="Normal 11 13 3 3" xfId="17573"/>
    <cellStyle name="Normal 11 13 3 3 2" xfId="17574"/>
    <cellStyle name="Normal 11 13 3 3 3" xfId="17575"/>
    <cellStyle name="Normal 11 13 3 4" xfId="17576"/>
    <cellStyle name="Normal 11 13 3 4 2" xfId="17577"/>
    <cellStyle name="Normal 11 13 3 5" xfId="17578"/>
    <cellStyle name="Normal 11 13 3 5 2" xfId="17579"/>
    <cellStyle name="Normal 11 13 3 6" xfId="17580"/>
    <cellStyle name="Normal 11 13 3 6 2" xfId="17581"/>
    <cellStyle name="Normal 11 13 3 7" xfId="17582"/>
    <cellStyle name="Normal 11 13 4" xfId="1086"/>
    <cellStyle name="Normal 11 13 4 2" xfId="17583"/>
    <cellStyle name="Normal 11 13 4 3" xfId="17584"/>
    <cellStyle name="Normal 11 13 4 4" xfId="17585"/>
    <cellStyle name="Normal 11 13 5" xfId="1087"/>
    <cellStyle name="Normal 11 13 5 2" xfId="17586"/>
    <cellStyle name="Normal 11 13 5 3" xfId="17587"/>
    <cellStyle name="Normal 11 13 5 4" xfId="17588"/>
    <cellStyle name="Normal 11 13 6" xfId="1088"/>
    <cellStyle name="Normal 11 13 6 2" xfId="17589"/>
    <cellStyle name="Normal 11 13 6 3" xfId="17590"/>
    <cellStyle name="Normal 11 13 6 4" xfId="17591"/>
    <cellStyle name="Normal 11 13 7" xfId="1089"/>
    <cellStyle name="Normal 11 13 7 2" xfId="17592"/>
    <cellStyle name="Normal 11 13 7 3" xfId="17593"/>
    <cellStyle name="Normal 11 13 8" xfId="1090"/>
    <cellStyle name="Normal 11 13 8 2" xfId="17594"/>
    <cellStyle name="Normal 11 13 9" xfId="1091"/>
    <cellStyle name="Normal 11 13 9 2" xfId="17595"/>
    <cellStyle name="Normal 11 14" xfId="7"/>
    <cellStyle name="Normal 11 14 10" xfId="17597"/>
    <cellStyle name="Normal 11 14 10 2" xfId="17598"/>
    <cellStyle name="Normal 11 14 11" xfId="17599"/>
    <cellStyle name="Normal 11 14 12" xfId="17600"/>
    <cellStyle name="Normal 11 14 13" xfId="17601"/>
    <cellStyle name="Normal 11 14 14" xfId="17602"/>
    <cellStyle name="Normal 11 14 15" xfId="17603"/>
    <cellStyle name="Normal 11 14 16" xfId="17604"/>
    <cellStyle name="Normal 11 14 17" xfId="17605"/>
    <cellStyle name="Normal 11 14 18" xfId="17606"/>
    <cellStyle name="Normal 11 14 19" xfId="17607"/>
    <cellStyle name="Normal 11 14 2" xfId="1092"/>
    <cellStyle name="Normal 11 14 2 10" xfId="17608"/>
    <cellStyle name="Normal 11 14 2 11" xfId="17609"/>
    <cellStyle name="Normal 11 14 2 12" xfId="17610"/>
    <cellStyle name="Normal 11 14 2 13" xfId="17611"/>
    <cellStyle name="Normal 11 14 2 14" xfId="17612"/>
    <cellStyle name="Normal 11 14 2 15" xfId="17613"/>
    <cellStyle name="Normal 11 14 2 2" xfId="17614"/>
    <cellStyle name="Normal 11 14 2 2 2" xfId="17615"/>
    <cellStyle name="Normal 11 14 2 2 2 2" xfId="17616"/>
    <cellStyle name="Normal 11 14 2 2 3" xfId="17617"/>
    <cellStyle name="Normal 11 14 2 2 4" xfId="17618"/>
    <cellStyle name="Normal 11 14 2 2 5" xfId="17619"/>
    <cellStyle name="Normal 11 14 2 2 6" xfId="17620"/>
    <cellStyle name="Normal 11 14 2 2 7" xfId="17621"/>
    <cellStyle name="Normal 11 14 2 3" xfId="17622"/>
    <cellStyle name="Normal 11 14 2 3 2" xfId="17623"/>
    <cellStyle name="Normal 11 14 2 3 3" xfId="17624"/>
    <cellStyle name="Normal 11 14 2 3 4" xfId="17625"/>
    <cellStyle name="Normal 11 14 2 4" xfId="17626"/>
    <cellStyle name="Normal 11 14 2 4 2" xfId="17627"/>
    <cellStyle name="Normal 11 14 2 4 3" xfId="17628"/>
    <cellStyle name="Normal 11 14 2 4 4" xfId="17629"/>
    <cellStyle name="Normal 11 14 2 5" xfId="17630"/>
    <cellStyle name="Normal 11 14 2 5 2" xfId="17631"/>
    <cellStyle name="Normal 11 14 2 5 3" xfId="17632"/>
    <cellStyle name="Normal 11 14 2 5 4" xfId="17633"/>
    <cellStyle name="Normal 11 14 2 6" xfId="17634"/>
    <cellStyle name="Normal 11 14 2 6 2" xfId="17635"/>
    <cellStyle name="Normal 11 14 2 6 3" xfId="17636"/>
    <cellStyle name="Normal 11 14 2 7" xfId="17637"/>
    <cellStyle name="Normal 11 14 2 7 2" xfId="17638"/>
    <cellStyle name="Normal 11 14 2 8" xfId="17639"/>
    <cellStyle name="Normal 11 14 2 8 2" xfId="17640"/>
    <cellStyle name="Normal 11 14 2 9" xfId="17641"/>
    <cellStyle name="Normal 11 14 2 9 2" xfId="17642"/>
    <cellStyle name="Normal 11 14 20" xfId="17643"/>
    <cellStyle name="Normal 11 14 3" xfId="11808"/>
    <cellStyle name="Normal 11 14 3 2" xfId="17644"/>
    <cellStyle name="Normal 11 14 3 2 2" xfId="17645"/>
    <cellStyle name="Normal 11 14 3 2 3" xfId="17646"/>
    <cellStyle name="Normal 11 14 3 2 4" xfId="17647"/>
    <cellStyle name="Normal 11 14 3 3" xfId="17648"/>
    <cellStyle name="Normal 11 14 3 3 2" xfId="17649"/>
    <cellStyle name="Normal 11 14 3 3 3" xfId="17650"/>
    <cellStyle name="Normal 11 14 3 4" xfId="17651"/>
    <cellStyle name="Normal 11 14 3 4 2" xfId="17652"/>
    <cellStyle name="Normal 11 14 3 5" xfId="17653"/>
    <cellStyle name="Normal 11 14 3 5 2" xfId="17654"/>
    <cellStyle name="Normal 11 14 3 6" xfId="17655"/>
    <cellStyle name="Normal 11 14 3 6 2" xfId="17656"/>
    <cellStyle name="Normal 11 14 3 7" xfId="17657"/>
    <cellStyle name="Normal 11 14 4" xfId="17596"/>
    <cellStyle name="Normal 11 14 4 2" xfId="17658"/>
    <cellStyle name="Normal 11 14 4 3" xfId="17659"/>
    <cellStyle name="Normal 11 14 4 4" xfId="17660"/>
    <cellStyle name="Normal 11 14 5" xfId="17661"/>
    <cellStyle name="Normal 11 14 5 2" xfId="17662"/>
    <cellStyle name="Normal 11 14 5 3" xfId="17663"/>
    <cellStyle name="Normal 11 14 5 4" xfId="17664"/>
    <cellStyle name="Normal 11 14 6" xfId="17665"/>
    <cellStyle name="Normal 11 14 6 2" xfId="17666"/>
    <cellStyle name="Normal 11 14 6 3" xfId="17667"/>
    <cellStyle name="Normal 11 14 6 4" xfId="17668"/>
    <cellStyle name="Normal 11 14 7" xfId="17669"/>
    <cellStyle name="Normal 11 14 7 2" xfId="17670"/>
    <cellStyle name="Normal 11 14 7 3" xfId="17671"/>
    <cellStyle name="Normal 11 14 8" xfId="17672"/>
    <cellStyle name="Normal 11 14 8 2" xfId="17673"/>
    <cellStyle name="Normal 11 14 9" xfId="17674"/>
    <cellStyle name="Normal 11 14 9 2" xfId="17675"/>
    <cellStyle name="Normal 11 15" xfId="8"/>
    <cellStyle name="Normal 11 15 10" xfId="17677"/>
    <cellStyle name="Normal 11 15 10 2" xfId="17678"/>
    <cellStyle name="Normal 11 15 11" xfId="17679"/>
    <cellStyle name="Normal 11 15 12" xfId="17680"/>
    <cellStyle name="Normal 11 15 13" xfId="17681"/>
    <cellStyle name="Normal 11 15 14" xfId="17682"/>
    <cellStyle name="Normal 11 15 15" xfId="17683"/>
    <cellStyle name="Normal 11 15 16" xfId="17684"/>
    <cellStyle name="Normal 11 15 17" xfId="17685"/>
    <cellStyle name="Normal 11 15 18" xfId="17686"/>
    <cellStyle name="Normal 11 15 19" xfId="17687"/>
    <cellStyle name="Normal 11 15 2" xfId="1093"/>
    <cellStyle name="Normal 11 15 2 10" xfId="17688"/>
    <cellStyle name="Normal 11 15 2 11" xfId="17689"/>
    <cellStyle name="Normal 11 15 2 12" xfId="17690"/>
    <cellStyle name="Normal 11 15 2 13" xfId="17691"/>
    <cellStyle name="Normal 11 15 2 14" xfId="17692"/>
    <cellStyle name="Normal 11 15 2 15" xfId="17693"/>
    <cellStyle name="Normal 11 15 2 2" xfId="17694"/>
    <cellStyle name="Normal 11 15 2 2 2" xfId="17695"/>
    <cellStyle name="Normal 11 15 2 2 2 2" xfId="17696"/>
    <cellStyle name="Normal 11 15 2 2 3" xfId="17697"/>
    <cellStyle name="Normal 11 15 2 2 4" xfId="17698"/>
    <cellStyle name="Normal 11 15 2 2 5" xfId="17699"/>
    <cellStyle name="Normal 11 15 2 2 6" xfId="17700"/>
    <cellStyle name="Normal 11 15 2 2 7" xfId="17701"/>
    <cellStyle name="Normal 11 15 2 3" xfId="17702"/>
    <cellStyle name="Normal 11 15 2 3 2" xfId="17703"/>
    <cellStyle name="Normal 11 15 2 3 3" xfId="17704"/>
    <cellStyle name="Normal 11 15 2 3 4" xfId="17705"/>
    <cellStyle name="Normal 11 15 2 4" xfId="17706"/>
    <cellStyle name="Normal 11 15 2 4 2" xfId="17707"/>
    <cellStyle name="Normal 11 15 2 4 3" xfId="17708"/>
    <cellStyle name="Normal 11 15 2 4 4" xfId="17709"/>
    <cellStyle name="Normal 11 15 2 5" xfId="17710"/>
    <cellStyle name="Normal 11 15 2 5 2" xfId="17711"/>
    <cellStyle name="Normal 11 15 2 5 3" xfId="17712"/>
    <cellStyle name="Normal 11 15 2 5 4" xfId="17713"/>
    <cellStyle name="Normal 11 15 2 6" xfId="17714"/>
    <cellStyle name="Normal 11 15 2 6 2" xfId="17715"/>
    <cellStyle name="Normal 11 15 2 6 3" xfId="17716"/>
    <cellStyle name="Normal 11 15 2 7" xfId="17717"/>
    <cellStyle name="Normal 11 15 2 7 2" xfId="17718"/>
    <cellStyle name="Normal 11 15 2 8" xfId="17719"/>
    <cellStyle name="Normal 11 15 2 8 2" xfId="17720"/>
    <cellStyle name="Normal 11 15 2 9" xfId="17721"/>
    <cellStyle name="Normal 11 15 2 9 2" xfId="17722"/>
    <cellStyle name="Normal 11 15 20" xfId="17723"/>
    <cellStyle name="Normal 11 15 3" xfId="11794"/>
    <cellStyle name="Normal 11 15 3 2" xfId="17724"/>
    <cellStyle name="Normal 11 15 3 2 2" xfId="17725"/>
    <cellStyle name="Normal 11 15 3 2 3" xfId="17726"/>
    <cellStyle name="Normal 11 15 3 2 4" xfId="17727"/>
    <cellStyle name="Normal 11 15 3 3" xfId="17728"/>
    <cellStyle name="Normal 11 15 3 3 2" xfId="17729"/>
    <cellStyle name="Normal 11 15 3 3 3" xfId="17730"/>
    <cellStyle name="Normal 11 15 3 4" xfId="17731"/>
    <cellStyle name="Normal 11 15 3 4 2" xfId="17732"/>
    <cellStyle name="Normal 11 15 3 5" xfId="17733"/>
    <cellStyle name="Normal 11 15 3 5 2" xfId="17734"/>
    <cellStyle name="Normal 11 15 3 6" xfId="17735"/>
    <cellStyle name="Normal 11 15 3 6 2" xfId="17736"/>
    <cellStyle name="Normal 11 15 3 7" xfId="17737"/>
    <cellStyle name="Normal 11 15 4" xfId="17676"/>
    <cellStyle name="Normal 11 15 4 2" xfId="17738"/>
    <cellStyle name="Normal 11 15 4 3" xfId="17739"/>
    <cellStyle name="Normal 11 15 4 4" xfId="17740"/>
    <cellStyle name="Normal 11 15 5" xfId="17741"/>
    <cellStyle name="Normal 11 15 5 2" xfId="17742"/>
    <cellStyle name="Normal 11 15 5 3" xfId="17743"/>
    <cellStyle name="Normal 11 15 5 4" xfId="17744"/>
    <cellStyle name="Normal 11 15 6" xfId="17745"/>
    <cellStyle name="Normal 11 15 6 2" xfId="17746"/>
    <cellStyle name="Normal 11 15 6 3" xfId="17747"/>
    <cellStyle name="Normal 11 15 6 4" xfId="17748"/>
    <cellStyle name="Normal 11 15 7" xfId="17749"/>
    <cellStyle name="Normal 11 15 7 2" xfId="17750"/>
    <cellStyle name="Normal 11 15 7 3" xfId="17751"/>
    <cellStyle name="Normal 11 15 8" xfId="17752"/>
    <cellStyle name="Normal 11 15 8 2" xfId="17753"/>
    <cellStyle name="Normal 11 15 9" xfId="17754"/>
    <cellStyle name="Normal 11 15 9 2" xfId="17755"/>
    <cellStyle name="Normal 11 16" xfId="988"/>
    <cellStyle name="Normal 11 16 10" xfId="17757"/>
    <cellStyle name="Normal 11 16 10 2" xfId="17758"/>
    <cellStyle name="Normal 11 16 11" xfId="17759"/>
    <cellStyle name="Normal 11 16 12" xfId="17760"/>
    <cellStyle name="Normal 11 16 13" xfId="17761"/>
    <cellStyle name="Normal 11 16 14" xfId="17762"/>
    <cellStyle name="Normal 11 16 15" xfId="17763"/>
    <cellStyle name="Normal 11 16 16" xfId="17764"/>
    <cellStyle name="Normal 11 16 17" xfId="17765"/>
    <cellStyle name="Normal 11 16 18" xfId="17766"/>
    <cellStyle name="Normal 11 16 19" xfId="17767"/>
    <cellStyle name="Normal 11 16 2" xfId="1094"/>
    <cellStyle name="Normal 11 16 2 10" xfId="17768"/>
    <cellStyle name="Normal 11 16 2 11" xfId="17769"/>
    <cellStyle name="Normal 11 16 2 12" xfId="17770"/>
    <cellStyle name="Normal 11 16 2 13" xfId="17771"/>
    <cellStyle name="Normal 11 16 2 14" xfId="17772"/>
    <cellStyle name="Normal 11 16 2 15" xfId="17773"/>
    <cellStyle name="Normal 11 16 2 2" xfId="17774"/>
    <cellStyle name="Normal 11 16 2 2 2" xfId="17775"/>
    <cellStyle name="Normal 11 16 2 2 2 2" xfId="17776"/>
    <cellStyle name="Normal 11 16 2 2 3" xfId="17777"/>
    <cellStyle name="Normal 11 16 2 2 4" xfId="17778"/>
    <cellStyle name="Normal 11 16 2 2 5" xfId="17779"/>
    <cellStyle name="Normal 11 16 2 2 6" xfId="17780"/>
    <cellStyle name="Normal 11 16 2 2 7" xfId="17781"/>
    <cellStyle name="Normal 11 16 2 3" xfId="17782"/>
    <cellStyle name="Normal 11 16 2 3 2" xfId="17783"/>
    <cellStyle name="Normal 11 16 2 3 3" xfId="17784"/>
    <cellStyle name="Normal 11 16 2 3 4" xfId="17785"/>
    <cellStyle name="Normal 11 16 2 4" xfId="17786"/>
    <cellStyle name="Normal 11 16 2 4 2" xfId="17787"/>
    <cellStyle name="Normal 11 16 2 4 3" xfId="17788"/>
    <cellStyle name="Normal 11 16 2 4 4" xfId="17789"/>
    <cellStyle name="Normal 11 16 2 5" xfId="17790"/>
    <cellStyle name="Normal 11 16 2 5 2" xfId="17791"/>
    <cellStyle name="Normal 11 16 2 5 3" xfId="17792"/>
    <cellStyle name="Normal 11 16 2 5 4" xfId="17793"/>
    <cellStyle name="Normal 11 16 2 6" xfId="17794"/>
    <cellStyle name="Normal 11 16 2 6 2" xfId="17795"/>
    <cellStyle name="Normal 11 16 2 6 3" xfId="17796"/>
    <cellStyle name="Normal 11 16 2 7" xfId="17797"/>
    <cellStyle name="Normal 11 16 2 7 2" xfId="17798"/>
    <cellStyle name="Normal 11 16 2 8" xfId="17799"/>
    <cellStyle name="Normal 11 16 2 8 2" xfId="17800"/>
    <cellStyle name="Normal 11 16 2 9" xfId="17801"/>
    <cellStyle name="Normal 11 16 2 9 2" xfId="17802"/>
    <cellStyle name="Normal 11 16 3" xfId="17756"/>
    <cellStyle name="Normal 11 16 3 2" xfId="17803"/>
    <cellStyle name="Normal 11 16 3 2 2" xfId="17804"/>
    <cellStyle name="Normal 11 16 3 2 3" xfId="17805"/>
    <cellStyle name="Normal 11 16 3 2 4" xfId="17806"/>
    <cellStyle name="Normal 11 16 3 3" xfId="17807"/>
    <cellStyle name="Normal 11 16 3 3 2" xfId="17808"/>
    <cellStyle name="Normal 11 16 3 3 3" xfId="17809"/>
    <cellStyle name="Normal 11 16 3 4" xfId="17810"/>
    <cellStyle name="Normal 11 16 3 4 2" xfId="17811"/>
    <cellStyle name="Normal 11 16 3 5" xfId="17812"/>
    <cellStyle name="Normal 11 16 3 5 2" xfId="17813"/>
    <cellStyle name="Normal 11 16 3 6" xfId="17814"/>
    <cellStyle name="Normal 11 16 3 6 2" xfId="17815"/>
    <cellStyle name="Normal 11 16 3 7" xfId="17816"/>
    <cellStyle name="Normal 11 16 4" xfId="17817"/>
    <cellStyle name="Normal 11 16 4 2" xfId="17818"/>
    <cellStyle name="Normal 11 16 4 3" xfId="17819"/>
    <cellStyle name="Normal 11 16 4 4" xfId="17820"/>
    <cellStyle name="Normal 11 16 5" xfId="17821"/>
    <cellStyle name="Normal 11 16 5 2" xfId="17822"/>
    <cellStyle name="Normal 11 16 5 3" xfId="17823"/>
    <cellStyle name="Normal 11 16 5 4" xfId="17824"/>
    <cellStyle name="Normal 11 16 6" xfId="17825"/>
    <cellStyle name="Normal 11 16 6 2" xfId="17826"/>
    <cellStyle name="Normal 11 16 6 3" xfId="17827"/>
    <cellStyle name="Normal 11 16 6 4" xfId="17828"/>
    <cellStyle name="Normal 11 16 7" xfId="17829"/>
    <cellStyle name="Normal 11 16 7 2" xfId="17830"/>
    <cellStyle name="Normal 11 16 7 3" xfId="17831"/>
    <cellStyle name="Normal 11 16 8" xfId="17832"/>
    <cellStyle name="Normal 11 16 8 2" xfId="17833"/>
    <cellStyle name="Normal 11 16 9" xfId="17834"/>
    <cellStyle name="Normal 11 16 9 2" xfId="17835"/>
    <cellStyle name="Normal 11 17" xfId="1010"/>
    <cellStyle name="Normal 11 17 10" xfId="17837"/>
    <cellStyle name="Normal 11 17 10 2" xfId="17838"/>
    <cellStyle name="Normal 11 17 11" xfId="17839"/>
    <cellStyle name="Normal 11 17 12" xfId="17840"/>
    <cellStyle name="Normal 11 17 13" xfId="17841"/>
    <cellStyle name="Normal 11 17 14" xfId="17842"/>
    <cellStyle name="Normal 11 17 15" xfId="17843"/>
    <cellStyle name="Normal 11 17 16" xfId="17844"/>
    <cellStyle name="Normal 11 17 17" xfId="17845"/>
    <cellStyle name="Normal 11 17 2" xfId="1095"/>
    <cellStyle name="Normal 11 17 2 10" xfId="17846"/>
    <cellStyle name="Normal 11 17 2 11" xfId="17847"/>
    <cellStyle name="Normal 11 17 2 2" xfId="17848"/>
    <cellStyle name="Normal 11 17 2 2 2" xfId="17849"/>
    <cellStyle name="Normal 11 17 2 2 3" xfId="17850"/>
    <cellStyle name="Normal 11 17 2 2 4" xfId="17851"/>
    <cellStyle name="Normal 11 17 2 3" xfId="17852"/>
    <cellStyle name="Normal 11 17 2 3 2" xfId="17853"/>
    <cellStyle name="Normal 11 17 2 3 3" xfId="17854"/>
    <cellStyle name="Normal 11 17 2 3 4" xfId="17855"/>
    <cellStyle name="Normal 11 17 2 4" xfId="17856"/>
    <cellStyle name="Normal 11 17 2 4 2" xfId="17857"/>
    <cellStyle name="Normal 11 17 2 4 3" xfId="17858"/>
    <cellStyle name="Normal 11 17 2 4 4" xfId="17859"/>
    <cellStyle name="Normal 11 17 2 5" xfId="17860"/>
    <cellStyle name="Normal 11 17 2 5 2" xfId="17861"/>
    <cellStyle name="Normal 11 17 2 5 3" xfId="17862"/>
    <cellStyle name="Normal 11 17 2 5 4" xfId="17863"/>
    <cellStyle name="Normal 11 17 2 6" xfId="17864"/>
    <cellStyle name="Normal 11 17 2 6 2" xfId="17865"/>
    <cellStyle name="Normal 11 17 2 7" xfId="17866"/>
    <cellStyle name="Normal 11 17 2 7 2" xfId="17867"/>
    <cellStyle name="Normal 11 17 2 8" xfId="17868"/>
    <cellStyle name="Normal 11 17 2 8 2" xfId="17869"/>
    <cellStyle name="Normal 11 17 2 9" xfId="17870"/>
    <cellStyle name="Normal 11 17 2 9 2" xfId="17871"/>
    <cellStyle name="Normal 11 17 3" xfId="17836"/>
    <cellStyle name="Normal 11 17 3 2" xfId="17872"/>
    <cellStyle name="Normal 11 17 3 2 2" xfId="17873"/>
    <cellStyle name="Normal 11 17 3 2 3" xfId="17874"/>
    <cellStyle name="Normal 11 17 3 2 4" xfId="17875"/>
    <cellStyle name="Normal 11 17 3 3" xfId="17876"/>
    <cellStyle name="Normal 11 17 3 3 2" xfId="17877"/>
    <cellStyle name="Normal 11 17 3 3 3" xfId="17878"/>
    <cellStyle name="Normal 11 17 3 4" xfId="17879"/>
    <cellStyle name="Normal 11 17 3 4 2" xfId="17880"/>
    <cellStyle name="Normal 11 17 3 5" xfId="17881"/>
    <cellStyle name="Normal 11 17 3 5 2" xfId="17882"/>
    <cellStyle name="Normal 11 17 3 6" xfId="17883"/>
    <cellStyle name="Normal 11 17 3 6 2" xfId="17884"/>
    <cellStyle name="Normal 11 17 3 7" xfId="17885"/>
    <cellStyle name="Normal 11 17 4" xfId="17886"/>
    <cellStyle name="Normal 11 17 4 2" xfId="17887"/>
    <cellStyle name="Normal 11 17 4 3" xfId="17888"/>
    <cellStyle name="Normal 11 17 4 4" xfId="17889"/>
    <cellStyle name="Normal 11 17 5" xfId="17890"/>
    <cellStyle name="Normal 11 17 5 2" xfId="17891"/>
    <cellStyle name="Normal 11 17 5 3" xfId="17892"/>
    <cellStyle name="Normal 11 17 5 4" xfId="17893"/>
    <cellStyle name="Normal 11 17 6" xfId="17894"/>
    <cellStyle name="Normal 11 17 6 2" xfId="17895"/>
    <cellStyle name="Normal 11 17 6 3" xfId="17896"/>
    <cellStyle name="Normal 11 17 6 4" xfId="17897"/>
    <cellStyle name="Normal 11 17 7" xfId="17898"/>
    <cellStyle name="Normal 11 17 7 2" xfId="17899"/>
    <cellStyle name="Normal 11 17 7 3" xfId="17900"/>
    <cellStyle name="Normal 11 17 8" xfId="17901"/>
    <cellStyle name="Normal 11 17 8 2" xfId="17902"/>
    <cellStyle name="Normal 11 17 9" xfId="17903"/>
    <cellStyle name="Normal 11 17 9 2" xfId="17904"/>
    <cellStyle name="Normal 11 18" xfId="1024"/>
    <cellStyle name="Normal 11 18 10" xfId="17905"/>
    <cellStyle name="Normal 11 18 10 2" xfId="17906"/>
    <cellStyle name="Normal 11 18 11" xfId="17907"/>
    <cellStyle name="Normal 11 18 12" xfId="17908"/>
    <cellStyle name="Normal 11 18 13" xfId="17909"/>
    <cellStyle name="Normal 11 18 14" xfId="17910"/>
    <cellStyle name="Normal 11 18 15" xfId="17911"/>
    <cellStyle name="Normal 11 18 16" xfId="17912"/>
    <cellStyle name="Normal 11 18 17" xfId="17913"/>
    <cellStyle name="Normal 11 18 2" xfId="17914"/>
    <cellStyle name="Normal 11 18 2 10" xfId="17915"/>
    <cellStyle name="Normal 11 18 2 11" xfId="17916"/>
    <cellStyle name="Normal 11 18 2 2" xfId="17917"/>
    <cellStyle name="Normal 11 18 2 2 2" xfId="17918"/>
    <cellStyle name="Normal 11 18 2 2 3" xfId="17919"/>
    <cellStyle name="Normal 11 18 2 2 4" xfId="17920"/>
    <cellStyle name="Normal 11 18 2 3" xfId="17921"/>
    <cellStyle name="Normal 11 18 2 3 2" xfId="17922"/>
    <cellStyle name="Normal 11 18 2 3 3" xfId="17923"/>
    <cellStyle name="Normal 11 18 2 3 4" xfId="17924"/>
    <cellStyle name="Normal 11 18 2 4" xfId="17925"/>
    <cellStyle name="Normal 11 18 2 4 2" xfId="17926"/>
    <cellStyle name="Normal 11 18 2 4 3" xfId="17927"/>
    <cellStyle name="Normal 11 18 2 4 4" xfId="17928"/>
    <cellStyle name="Normal 11 18 2 5" xfId="17929"/>
    <cellStyle name="Normal 11 18 2 5 2" xfId="17930"/>
    <cellStyle name="Normal 11 18 2 5 3" xfId="17931"/>
    <cellStyle name="Normal 11 18 2 5 4" xfId="17932"/>
    <cellStyle name="Normal 11 18 2 6" xfId="17933"/>
    <cellStyle name="Normal 11 18 2 6 2" xfId="17934"/>
    <cellStyle name="Normal 11 18 2 7" xfId="17935"/>
    <cellStyle name="Normal 11 18 2 7 2" xfId="17936"/>
    <cellStyle name="Normal 11 18 2 8" xfId="17937"/>
    <cellStyle name="Normal 11 18 2 8 2" xfId="17938"/>
    <cellStyle name="Normal 11 18 2 9" xfId="17939"/>
    <cellStyle name="Normal 11 18 2 9 2" xfId="17940"/>
    <cellStyle name="Normal 11 18 3" xfId="17941"/>
    <cellStyle name="Normal 11 18 3 2" xfId="17942"/>
    <cellStyle name="Normal 11 18 3 2 2" xfId="17943"/>
    <cellStyle name="Normal 11 18 3 2 3" xfId="17944"/>
    <cellStyle name="Normal 11 18 3 2 4" xfId="17945"/>
    <cellStyle name="Normal 11 18 3 3" xfId="17946"/>
    <cellStyle name="Normal 11 18 3 3 2" xfId="17947"/>
    <cellStyle name="Normal 11 18 3 3 3" xfId="17948"/>
    <cellStyle name="Normal 11 18 3 4" xfId="17949"/>
    <cellStyle name="Normal 11 18 3 4 2" xfId="17950"/>
    <cellStyle name="Normal 11 18 3 5" xfId="17951"/>
    <cellStyle name="Normal 11 18 3 5 2" xfId="17952"/>
    <cellStyle name="Normal 11 18 3 6" xfId="17953"/>
    <cellStyle name="Normal 11 18 3 6 2" xfId="17954"/>
    <cellStyle name="Normal 11 18 3 7" xfId="17955"/>
    <cellStyle name="Normal 11 18 4" xfId="17956"/>
    <cellStyle name="Normal 11 18 4 2" xfId="17957"/>
    <cellStyle name="Normal 11 18 4 3" xfId="17958"/>
    <cellStyle name="Normal 11 18 4 4" xfId="17959"/>
    <cellStyle name="Normal 11 18 5" xfId="17960"/>
    <cellStyle name="Normal 11 18 5 2" xfId="17961"/>
    <cellStyle name="Normal 11 18 5 3" xfId="17962"/>
    <cellStyle name="Normal 11 18 5 4" xfId="17963"/>
    <cellStyle name="Normal 11 18 6" xfId="17964"/>
    <cellStyle name="Normal 11 18 6 2" xfId="17965"/>
    <cellStyle name="Normal 11 18 6 3" xfId="17966"/>
    <cellStyle name="Normal 11 18 6 4" xfId="17967"/>
    <cellStyle name="Normal 11 18 7" xfId="17968"/>
    <cellStyle name="Normal 11 18 7 2" xfId="17969"/>
    <cellStyle name="Normal 11 18 7 3" xfId="17970"/>
    <cellStyle name="Normal 11 18 8" xfId="17971"/>
    <cellStyle name="Normal 11 18 8 2" xfId="17972"/>
    <cellStyle name="Normal 11 18 9" xfId="17973"/>
    <cellStyle name="Normal 11 18 9 2" xfId="17974"/>
    <cellStyle name="Normal 11 19" xfId="1035"/>
    <cellStyle name="Normal 11 19 10" xfId="17975"/>
    <cellStyle name="Normal 11 19 11" xfId="17976"/>
    <cellStyle name="Normal 11 19 12" xfId="17977"/>
    <cellStyle name="Normal 11 19 13" xfId="17978"/>
    <cellStyle name="Normal 11 19 14" xfId="17979"/>
    <cellStyle name="Normal 11 19 15" xfId="17980"/>
    <cellStyle name="Normal 11 19 16" xfId="17981"/>
    <cellStyle name="Normal 11 19 2" xfId="17982"/>
    <cellStyle name="Normal 11 19 2 10" xfId="17983"/>
    <cellStyle name="Normal 11 19 2 11" xfId="17984"/>
    <cellStyle name="Normal 11 19 2 2" xfId="17985"/>
    <cellStyle name="Normal 11 19 2 2 2" xfId="17986"/>
    <cellStyle name="Normal 11 19 2 3" xfId="17987"/>
    <cellStyle name="Normal 11 19 2 3 2" xfId="17988"/>
    <cellStyle name="Normal 11 19 2 4" xfId="17989"/>
    <cellStyle name="Normal 11 19 2 4 2" xfId="17990"/>
    <cellStyle name="Normal 11 19 2 5" xfId="17991"/>
    <cellStyle name="Normal 11 19 2 5 2" xfId="17992"/>
    <cellStyle name="Normal 11 19 2 6" xfId="17993"/>
    <cellStyle name="Normal 11 19 2 7" xfId="17994"/>
    <cellStyle name="Normal 11 19 2 8" xfId="17995"/>
    <cellStyle name="Normal 11 19 2 9" xfId="17996"/>
    <cellStyle name="Normal 11 19 3" xfId="17997"/>
    <cellStyle name="Normal 11 19 3 2" xfId="17998"/>
    <cellStyle name="Normal 11 19 3 2 2" xfId="17999"/>
    <cellStyle name="Normal 11 19 3 3" xfId="18000"/>
    <cellStyle name="Normal 11 19 3 4" xfId="18001"/>
    <cellStyle name="Normal 11 19 3 5" xfId="18002"/>
    <cellStyle name="Normal 11 19 3 6" xfId="18003"/>
    <cellStyle name="Normal 11 19 3 7" xfId="18004"/>
    <cellStyle name="Normal 11 19 4" xfId="18005"/>
    <cellStyle name="Normal 11 19 4 2" xfId="18006"/>
    <cellStyle name="Normal 11 19 4 3" xfId="18007"/>
    <cellStyle name="Normal 11 19 4 4" xfId="18008"/>
    <cellStyle name="Normal 11 19 5" xfId="18009"/>
    <cellStyle name="Normal 11 19 5 2" xfId="18010"/>
    <cellStyle name="Normal 11 19 5 3" xfId="18011"/>
    <cellStyle name="Normal 11 19 5 4" xfId="18012"/>
    <cellStyle name="Normal 11 19 6" xfId="18013"/>
    <cellStyle name="Normal 11 19 6 2" xfId="18014"/>
    <cellStyle name="Normal 11 19 6 3" xfId="18015"/>
    <cellStyle name="Normal 11 19 7" xfId="18016"/>
    <cellStyle name="Normal 11 19 7 2" xfId="18017"/>
    <cellStyle name="Normal 11 19 7 3" xfId="18018"/>
    <cellStyle name="Normal 11 19 8" xfId="18019"/>
    <cellStyle name="Normal 11 19 8 2" xfId="18020"/>
    <cellStyle name="Normal 11 19 9" xfId="18021"/>
    <cellStyle name="Normal 11 19 9 2" xfId="18022"/>
    <cellStyle name="Normal 11 2" xfId="9"/>
    <cellStyle name="Normal 11 2 10" xfId="10"/>
    <cellStyle name="Normal 11 2 10 10" xfId="18025"/>
    <cellStyle name="Normal 11 2 10 10 2" xfId="18026"/>
    <cellStyle name="Normal 11 2 10 11" xfId="18027"/>
    <cellStyle name="Normal 11 2 10 12" xfId="18028"/>
    <cellStyle name="Normal 11 2 10 13" xfId="18029"/>
    <cellStyle name="Normal 11 2 10 14" xfId="18030"/>
    <cellStyle name="Normal 11 2 10 15" xfId="18031"/>
    <cellStyle name="Normal 11 2 10 16" xfId="18032"/>
    <cellStyle name="Normal 11 2 10 17" xfId="18033"/>
    <cellStyle name="Normal 11 2 10 2" xfId="1099"/>
    <cellStyle name="Normal 11 2 10 2 10" xfId="18034"/>
    <cellStyle name="Normal 11 2 10 2 11" xfId="18035"/>
    <cellStyle name="Normal 11 2 10 2 2" xfId="18036"/>
    <cellStyle name="Normal 11 2 10 2 2 2" xfId="18037"/>
    <cellStyle name="Normal 11 2 10 2 2 3" xfId="18038"/>
    <cellStyle name="Normal 11 2 10 2 2 4" xfId="18039"/>
    <cellStyle name="Normal 11 2 10 2 3" xfId="18040"/>
    <cellStyle name="Normal 11 2 10 2 3 2" xfId="18041"/>
    <cellStyle name="Normal 11 2 10 2 3 3" xfId="18042"/>
    <cellStyle name="Normal 11 2 10 2 3 4" xfId="18043"/>
    <cellStyle name="Normal 11 2 10 2 4" xfId="18044"/>
    <cellStyle name="Normal 11 2 10 2 4 2" xfId="18045"/>
    <cellStyle name="Normal 11 2 10 2 4 3" xfId="18046"/>
    <cellStyle name="Normal 11 2 10 2 4 4" xfId="18047"/>
    <cellStyle name="Normal 11 2 10 2 5" xfId="18048"/>
    <cellStyle name="Normal 11 2 10 2 5 2" xfId="18049"/>
    <cellStyle name="Normal 11 2 10 2 5 3" xfId="18050"/>
    <cellStyle name="Normal 11 2 10 2 5 4" xfId="18051"/>
    <cellStyle name="Normal 11 2 10 2 6" xfId="18052"/>
    <cellStyle name="Normal 11 2 10 2 6 2" xfId="18053"/>
    <cellStyle name="Normal 11 2 10 2 7" xfId="18054"/>
    <cellStyle name="Normal 11 2 10 2 7 2" xfId="18055"/>
    <cellStyle name="Normal 11 2 10 2 8" xfId="18056"/>
    <cellStyle name="Normal 11 2 10 2 8 2" xfId="18057"/>
    <cellStyle name="Normal 11 2 10 2 9" xfId="18058"/>
    <cellStyle name="Normal 11 2 10 2 9 2" xfId="18059"/>
    <cellStyle name="Normal 11 2 10 3" xfId="11762"/>
    <cellStyle name="Normal 11 2 10 3 2" xfId="18060"/>
    <cellStyle name="Normal 11 2 10 3 2 2" xfId="18061"/>
    <cellStyle name="Normal 11 2 10 3 2 3" xfId="18062"/>
    <cellStyle name="Normal 11 2 10 3 2 4" xfId="18063"/>
    <cellStyle name="Normal 11 2 10 3 3" xfId="18064"/>
    <cellStyle name="Normal 11 2 10 3 3 2" xfId="18065"/>
    <cellStyle name="Normal 11 2 10 3 3 3" xfId="18066"/>
    <cellStyle name="Normal 11 2 10 3 4" xfId="18067"/>
    <cellStyle name="Normal 11 2 10 3 4 2" xfId="18068"/>
    <cellStyle name="Normal 11 2 10 3 5" xfId="18069"/>
    <cellStyle name="Normal 11 2 10 3 5 2" xfId="18070"/>
    <cellStyle name="Normal 11 2 10 3 6" xfId="18071"/>
    <cellStyle name="Normal 11 2 10 3 6 2" xfId="18072"/>
    <cellStyle name="Normal 11 2 10 3 7" xfId="18073"/>
    <cellStyle name="Normal 11 2 10 4" xfId="18024"/>
    <cellStyle name="Normal 11 2 10 4 2" xfId="18074"/>
    <cellStyle name="Normal 11 2 10 4 3" xfId="18075"/>
    <cellStyle name="Normal 11 2 10 4 4" xfId="18076"/>
    <cellStyle name="Normal 11 2 10 5" xfId="18077"/>
    <cellStyle name="Normal 11 2 10 5 2" xfId="18078"/>
    <cellStyle name="Normal 11 2 10 5 3" xfId="18079"/>
    <cellStyle name="Normal 11 2 10 5 4" xfId="18080"/>
    <cellStyle name="Normal 11 2 10 6" xfId="18081"/>
    <cellStyle name="Normal 11 2 10 6 2" xfId="18082"/>
    <cellStyle name="Normal 11 2 10 6 3" xfId="18083"/>
    <cellStyle name="Normal 11 2 10 6 4" xfId="18084"/>
    <cellStyle name="Normal 11 2 10 7" xfId="18085"/>
    <cellStyle name="Normal 11 2 10 7 2" xfId="18086"/>
    <cellStyle name="Normal 11 2 10 7 3" xfId="18087"/>
    <cellStyle name="Normal 11 2 10 8" xfId="18088"/>
    <cellStyle name="Normal 11 2 10 8 2" xfId="18089"/>
    <cellStyle name="Normal 11 2 10 9" xfId="18090"/>
    <cellStyle name="Normal 11 2 10 9 2" xfId="18091"/>
    <cellStyle name="Normal 11 2 11" xfId="1098"/>
    <cellStyle name="Normal 11 2 11 10" xfId="18092"/>
    <cellStyle name="Normal 11 2 11 10 2" xfId="18093"/>
    <cellStyle name="Normal 11 2 11 11" xfId="18094"/>
    <cellStyle name="Normal 11 2 11 2" xfId="18095"/>
    <cellStyle name="Normal 11 2 11 2 2" xfId="18096"/>
    <cellStyle name="Normal 11 2 11 2 2 2" xfId="18097"/>
    <cellStyle name="Normal 11 2 11 2 2 3" xfId="18098"/>
    <cellStyle name="Normal 11 2 11 2 3" xfId="18099"/>
    <cellStyle name="Normal 11 2 11 2 3 2" xfId="18100"/>
    <cellStyle name="Normal 11 2 11 2 4" xfId="18101"/>
    <cellStyle name="Normal 11 2 11 2 4 2" xfId="18102"/>
    <cellStyle name="Normal 11 2 11 2 5" xfId="18103"/>
    <cellStyle name="Normal 11 2 11 2 5 2" xfId="18104"/>
    <cellStyle name="Normal 11 2 11 2 6" xfId="18105"/>
    <cellStyle name="Normal 11 2 11 2 7" xfId="18106"/>
    <cellStyle name="Normal 11 2 11 2 8" xfId="18107"/>
    <cellStyle name="Normal 11 2 11 2 9" xfId="18108"/>
    <cellStyle name="Normal 11 2 11 3" xfId="18109"/>
    <cellStyle name="Normal 11 2 11 3 2" xfId="18110"/>
    <cellStyle name="Normal 11 2 11 3 2 2" xfId="18111"/>
    <cellStyle name="Normal 11 2 11 3 2 3" xfId="18112"/>
    <cellStyle name="Normal 11 2 11 3 3" xfId="18113"/>
    <cellStyle name="Normal 11 2 11 3 3 2" xfId="18114"/>
    <cellStyle name="Normal 11 2 11 3 4" xfId="18115"/>
    <cellStyle name="Normal 11 2 11 3 5" xfId="18116"/>
    <cellStyle name="Normal 11 2 11 3 6" xfId="18117"/>
    <cellStyle name="Normal 11 2 11 3 7" xfId="18118"/>
    <cellStyle name="Normal 11 2 11 4" xfId="18119"/>
    <cellStyle name="Normal 11 2 11 4 2" xfId="18120"/>
    <cellStyle name="Normal 11 2 11 4 3" xfId="18121"/>
    <cellStyle name="Normal 11 2 11 4 4" xfId="18122"/>
    <cellStyle name="Normal 11 2 11 5" xfId="18123"/>
    <cellStyle name="Normal 11 2 11 5 2" xfId="18124"/>
    <cellStyle name="Normal 11 2 11 5 3" xfId="18125"/>
    <cellStyle name="Normal 11 2 11 5 4" xfId="18126"/>
    <cellStyle name="Normal 11 2 11 6" xfId="18127"/>
    <cellStyle name="Normal 11 2 11 6 2" xfId="18128"/>
    <cellStyle name="Normal 11 2 11 6 3" xfId="18129"/>
    <cellStyle name="Normal 11 2 11 7" xfId="18130"/>
    <cellStyle name="Normal 11 2 11 7 2" xfId="18131"/>
    <cellStyle name="Normal 11 2 11 8" xfId="18132"/>
    <cellStyle name="Normal 11 2 11 8 2" xfId="18133"/>
    <cellStyle name="Normal 11 2 11 9" xfId="18134"/>
    <cellStyle name="Normal 11 2 11 9 2" xfId="18135"/>
    <cellStyle name="Normal 11 2 12" xfId="1101"/>
    <cellStyle name="Normal 11 2 12 2" xfId="18136"/>
    <cellStyle name="Normal 11 2 12 2 2" xfId="18137"/>
    <cellStyle name="Normal 11 2 12 2 3" xfId="18138"/>
    <cellStyle name="Normal 11 2 12 2 4" xfId="18139"/>
    <cellStyle name="Normal 11 2 12 3" xfId="18140"/>
    <cellStyle name="Normal 11 2 12 3 2" xfId="18141"/>
    <cellStyle name="Normal 11 2 12 3 3" xfId="18142"/>
    <cellStyle name="Normal 11 2 12 4" xfId="18143"/>
    <cellStyle name="Normal 11 2 12 4 2" xfId="18144"/>
    <cellStyle name="Normal 11 2 12 4 3" xfId="18145"/>
    <cellStyle name="Normal 11 2 12 5" xfId="18146"/>
    <cellStyle name="Normal 11 2 12 5 2" xfId="18147"/>
    <cellStyle name="Normal 11 2 12 5 3" xfId="18148"/>
    <cellStyle name="Normal 11 2 12 6" xfId="18149"/>
    <cellStyle name="Normal 11 2 12 6 2" xfId="18150"/>
    <cellStyle name="Normal 11 2 12 7" xfId="18151"/>
    <cellStyle name="Normal 11 2 12 8" xfId="18152"/>
    <cellStyle name="Normal 11 2 12 9" xfId="18153"/>
    <cellStyle name="Normal 11 2 13" xfId="1102"/>
    <cellStyle name="Normal 11 2 13 2" xfId="18154"/>
    <cellStyle name="Normal 11 2 13 2 2" xfId="18155"/>
    <cellStyle name="Normal 11 2 13 2 3" xfId="18156"/>
    <cellStyle name="Normal 11 2 13 3" xfId="18157"/>
    <cellStyle name="Normal 11 2 13 3 2" xfId="18158"/>
    <cellStyle name="Normal 11 2 13 4" xfId="18159"/>
    <cellStyle name="Normal 11 2 13 5" xfId="18160"/>
    <cellStyle name="Normal 11 2 13 6" xfId="18161"/>
    <cellStyle name="Normal 11 2 13 7" xfId="18162"/>
    <cellStyle name="Normal 11 2 14" xfId="1103"/>
    <cellStyle name="Normal 11 2 14 2" xfId="18163"/>
    <cellStyle name="Normal 11 2 14 3" xfId="18164"/>
    <cellStyle name="Normal 11 2 14 4" xfId="18165"/>
    <cellStyle name="Normal 11 2 15" xfId="1104"/>
    <cellStyle name="Normal 11 2 15 2" xfId="18166"/>
    <cellStyle name="Normal 11 2 15 3" xfId="18167"/>
    <cellStyle name="Normal 11 2 15 4" xfId="18168"/>
    <cellStyle name="Normal 11 2 16" xfId="1105"/>
    <cellStyle name="Normal 11 2 16 2" xfId="18169"/>
    <cellStyle name="Normal 11 2 16 3" xfId="18170"/>
    <cellStyle name="Normal 11 2 16 4" xfId="18171"/>
    <cellStyle name="Normal 11 2 17" xfId="1106"/>
    <cellStyle name="Normal 11 2 17 2" xfId="18172"/>
    <cellStyle name="Normal 11 2 18" xfId="1107"/>
    <cellStyle name="Normal 11 2 18 2" xfId="18173"/>
    <cellStyle name="Normal 11 2 19" xfId="1108"/>
    <cellStyle name="Normal 11 2 19 2" xfId="18174"/>
    <cellStyle name="Normal 11 2 2" xfId="11"/>
    <cellStyle name="Normal 11 2 2 10" xfId="1110"/>
    <cellStyle name="Normal 11 2 2 10 2" xfId="18176"/>
    <cellStyle name="Normal 11 2 2 10 3" xfId="18177"/>
    <cellStyle name="Normal 11 2 2 11" xfId="1111"/>
    <cellStyle name="Normal 11 2 2 11 2" xfId="18178"/>
    <cellStyle name="Normal 11 2 2 12" xfId="1112"/>
    <cellStyle name="Normal 11 2 2 13" xfId="1113"/>
    <cellStyle name="Normal 11 2 2 14" xfId="1114"/>
    <cellStyle name="Normal 11 2 2 15" xfId="11751"/>
    <cellStyle name="Normal 11 2 2 16" xfId="18175"/>
    <cellStyle name="Normal 11 2 2 17" xfId="18179"/>
    <cellStyle name="Normal 11 2 2 18" xfId="18180"/>
    <cellStyle name="Normal 11 2 2 19" xfId="18181"/>
    <cellStyle name="Normal 11 2 2 2" xfId="1109"/>
    <cellStyle name="Normal 11 2 2 2 10" xfId="18182"/>
    <cellStyle name="Normal 11 2 2 2 11" xfId="18183"/>
    <cellStyle name="Normal 11 2 2 2 12" xfId="18184"/>
    <cellStyle name="Normal 11 2 2 2 13" xfId="18185"/>
    <cellStyle name="Normal 11 2 2 2 14" xfId="18186"/>
    <cellStyle name="Normal 11 2 2 2 15" xfId="18187"/>
    <cellStyle name="Normal 11 2 2 2 16" xfId="18188"/>
    <cellStyle name="Normal 11 2 2 2 17" xfId="18189"/>
    <cellStyle name="Normal 11 2 2 2 18" xfId="18190"/>
    <cellStyle name="Normal 11 2 2 2 2" xfId="18191"/>
    <cellStyle name="Normal 11 2 2 2 2 10" xfId="18192"/>
    <cellStyle name="Normal 11 2 2 2 2 11" xfId="18193"/>
    <cellStyle name="Normal 11 2 2 2 2 2" xfId="18194"/>
    <cellStyle name="Normal 11 2 2 2 2 2 2" xfId="18195"/>
    <cellStyle name="Normal 11 2 2 2 2 3" xfId="18196"/>
    <cellStyle name="Normal 11 2 2 2 2 3 2" xfId="18197"/>
    <cellStyle name="Normal 11 2 2 2 2 4" xfId="18198"/>
    <cellStyle name="Normal 11 2 2 2 2 4 2" xfId="18199"/>
    <cellStyle name="Normal 11 2 2 2 2 5" xfId="18200"/>
    <cellStyle name="Normal 11 2 2 2 2 5 2" xfId="18201"/>
    <cellStyle name="Normal 11 2 2 2 2 6" xfId="18202"/>
    <cellStyle name="Normal 11 2 2 2 2 7" xfId="18203"/>
    <cellStyle name="Normal 11 2 2 2 2 8" xfId="18204"/>
    <cellStyle name="Normal 11 2 2 2 2 9" xfId="18205"/>
    <cellStyle name="Normal 11 2 2 2 3" xfId="18206"/>
    <cellStyle name="Normal 11 2 2 2 3 2" xfId="18207"/>
    <cellStyle name="Normal 11 2 2 2 3 2 2" xfId="18208"/>
    <cellStyle name="Normal 11 2 2 2 3 3" xfId="18209"/>
    <cellStyle name="Normal 11 2 2 2 3 4" xfId="18210"/>
    <cellStyle name="Normal 11 2 2 2 3 5" xfId="18211"/>
    <cellStyle name="Normal 11 2 2 2 3 6" xfId="18212"/>
    <cellStyle name="Normal 11 2 2 2 3 7" xfId="18213"/>
    <cellStyle name="Normal 11 2 2 2 4" xfId="18214"/>
    <cellStyle name="Normal 11 2 2 2 4 2" xfId="18215"/>
    <cellStyle name="Normal 11 2 2 2 4 3" xfId="18216"/>
    <cellStyle name="Normal 11 2 2 2 4 4" xfId="18217"/>
    <cellStyle name="Normal 11 2 2 2 5" xfId="18218"/>
    <cellStyle name="Normal 11 2 2 2 5 2" xfId="18219"/>
    <cellStyle name="Normal 11 2 2 2 5 3" xfId="18220"/>
    <cellStyle name="Normal 11 2 2 2 5 4" xfId="18221"/>
    <cellStyle name="Normal 11 2 2 2 6" xfId="18222"/>
    <cellStyle name="Normal 11 2 2 2 6 2" xfId="18223"/>
    <cellStyle name="Normal 11 2 2 2 6 3" xfId="18224"/>
    <cellStyle name="Normal 11 2 2 2 7" xfId="18225"/>
    <cellStyle name="Normal 11 2 2 2 7 2" xfId="18226"/>
    <cellStyle name="Normal 11 2 2 2 7 3" xfId="18227"/>
    <cellStyle name="Normal 11 2 2 2 8" xfId="18228"/>
    <cellStyle name="Normal 11 2 2 2 8 2" xfId="18229"/>
    <cellStyle name="Normal 11 2 2 2 9" xfId="18230"/>
    <cellStyle name="Normal 11 2 2 2 9 2" xfId="18231"/>
    <cellStyle name="Normal 11 2 2 20" xfId="18232"/>
    <cellStyle name="Normal 11 2 2 21" xfId="18233"/>
    <cellStyle name="Normal 11 2 2 22" xfId="18234"/>
    <cellStyle name="Normal 11 2 2 3" xfId="1116"/>
    <cellStyle name="Normal 11 2 2 3 10" xfId="18235"/>
    <cellStyle name="Normal 11 2 2 3 11" xfId="18236"/>
    <cellStyle name="Normal 11 2 2 3 12" xfId="18237"/>
    <cellStyle name="Normal 11 2 2 3 13" xfId="18238"/>
    <cellStyle name="Normal 11 2 2 3 14" xfId="18239"/>
    <cellStyle name="Normal 11 2 2 3 15" xfId="18240"/>
    <cellStyle name="Normal 11 2 2 3 16" xfId="18241"/>
    <cellStyle name="Normal 11 2 2 3 17" xfId="18242"/>
    <cellStyle name="Normal 11 2 2 3 18" xfId="18243"/>
    <cellStyle name="Normal 11 2 2 3 2" xfId="18244"/>
    <cellStyle name="Normal 11 2 2 3 2 10" xfId="18245"/>
    <cellStyle name="Normal 11 2 2 3 2 11" xfId="18246"/>
    <cellStyle name="Normal 11 2 2 3 2 2" xfId="18247"/>
    <cellStyle name="Normal 11 2 2 3 2 2 2" xfId="18248"/>
    <cellStyle name="Normal 11 2 2 3 2 3" xfId="18249"/>
    <cellStyle name="Normal 11 2 2 3 2 3 2" xfId="18250"/>
    <cellStyle name="Normal 11 2 2 3 2 4" xfId="18251"/>
    <cellStyle name="Normal 11 2 2 3 2 4 2" xfId="18252"/>
    <cellStyle name="Normal 11 2 2 3 2 5" xfId="18253"/>
    <cellStyle name="Normal 11 2 2 3 2 5 2" xfId="18254"/>
    <cellStyle name="Normal 11 2 2 3 2 6" xfId="18255"/>
    <cellStyle name="Normal 11 2 2 3 2 7" xfId="18256"/>
    <cellStyle name="Normal 11 2 2 3 2 8" xfId="18257"/>
    <cellStyle name="Normal 11 2 2 3 2 9" xfId="18258"/>
    <cellStyle name="Normal 11 2 2 3 3" xfId="18259"/>
    <cellStyle name="Normal 11 2 2 3 3 2" xfId="18260"/>
    <cellStyle name="Normal 11 2 2 3 3 2 2" xfId="18261"/>
    <cellStyle name="Normal 11 2 2 3 3 3" xfId="18262"/>
    <cellStyle name="Normal 11 2 2 3 3 4" xfId="18263"/>
    <cellStyle name="Normal 11 2 2 3 3 5" xfId="18264"/>
    <cellStyle name="Normal 11 2 2 3 3 6" xfId="18265"/>
    <cellStyle name="Normal 11 2 2 3 3 7" xfId="18266"/>
    <cellStyle name="Normal 11 2 2 3 4" xfId="18267"/>
    <cellStyle name="Normal 11 2 2 3 4 2" xfId="18268"/>
    <cellStyle name="Normal 11 2 2 3 4 3" xfId="18269"/>
    <cellStyle name="Normal 11 2 2 3 5" xfId="18270"/>
    <cellStyle name="Normal 11 2 2 3 5 2" xfId="18271"/>
    <cellStyle name="Normal 11 2 2 3 5 3" xfId="18272"/>
    <cellStyle name="Normal 11 2 2 3 6" xfId="18273"/>
    <cellStyle name="Normal 11 2 2 3 6 2" xfId="18274"/>
    <cellStyle name="Normal 11 2 2 3 6 3" xfId="18275"/>
    <cellStyle name="Normal 11 2 2 3 7" xfId="18276"/>
    <cellStyle name="Normal 11 2 2 3 7 2" xfId="18277"/>
    <cellStyle name="Normal 11 2 2 3 7 3" xfId="18278"/>
    <cellStyle name="Normal 11 2 2 3 8" xfId="18279"/>
    <cellStyle name="Normal 11 2 2 3 9" xfId="18280"/>
    <cellStyle name="Normal 11 2 2 4" xfId="1117"/>
    <cellStyle name="Normal 11 2 2 4 10" xfId="18281"/>
    <cellStyle name="Normal 11 2 2 4 11" xfId="18282"/>
    <cellStyle name="Normal 11 2 2 4 12" xfId="18283"/>
    <cellStyle name="Normal 11 2 2 4 13" xfId="18284"/>
    <cellStyle name="Normal 11 2 2 4 14" xfId="18285"/>
    <cellStyle name="Normal 11 2 2 4 15" xfId="18286"/>
    <cellStyle name="Normal 11 2 2 4 16" xfId="18287"/>
    <cellStyle name="Normal 11 2 2 4 17" xfId="18288"/>
    <cellStyle name="Normal 11 2 2 4 2" xfId="18289"/>
    <cellStyle name="Normal 11 2 2 4 2 2" xfId="18290"/>
    <cellStyle name="Normal 11 2 2 4 2 2 2" xfId="18291"/>
    <cellStyle name="Normal 11 2 2 4 2 3" xfId="18292"/>
    <cellStyle name="Normal 11 2 2 4 2 3 2" xfId="18293"/>
    <cellStyle name="Normal 11 2 2 4 2 4" xfId="18294"/>
    <cellStyle name="Normal 11 2 2 4 2 4 2" xfId="18295"/>
    <cellStyle name="Normal 11 2 2 4 2 5" xfId="18296"/>
    <cellStyle name="Normal 11 2 2 4 2 5 2" xfId="18297"/>
    <cellStyle name="Normal 11 2 2 4 2 6" xfId="18298"/>
    <cellStyle name="Normal 11 2 2 4 2 7" xfId="18299"/>
    <cellStyle name="Normal 11 2 2 4 2 8" xfId="18300"/>
    <cellStyle name="Normal 11 2 2 4 2 9" xfId="18301"/>
    <cellStyle name="Normal 11 2 2 4 3" xfId="18302"/>
    <cellStyle name="Normal 11 2 2 4 3 2" xfId="18303"/>
    <cellStyle name="Normal 11 2 2 4 3 2 2" xfId="18304"/>
    <cellStyle name="Normal 11 2 2 4 3 3" xfId="18305"/>
    <cellStyle name="Normal 11 2 2 4 3 4" xfId="18306"/>
    <cellStyle name="Normal 11 2 2 4 3 5" xfId="18307"/>
    <cellStyle name="Normal 11 2 2 4 4" xfId="18308"/>
    <cellStyle name="Normal 11 2 2 4 4 2" xfId="18309"/>
    <cellStyle name="Normal 11 2 2 4 5" xfId="18310"/>
    <cellStyle name="Normal 11 2 2 4 5 2" xfId="18311"/>
    <cellStyle name="Normal 11 2 2 4 6" xfId="18312"/>
    <cellStyle name="Normal 11 2 2 4 6 2" xfId="18313"/>
    <cellStyle name="Normal 11 2 2 4 7" xfId="18314"/>
    <cellStyle name="Normal 11 2 2 4 7 2" xfId="18315"/>
    <cellStyle name="Normal 11 2 2 4 8" xfId="18316"/>
    <cellStyle name="Normal 11 2 2 4 9" xfId="18317"/>
    <cellStyle name="Normal 11 2 2 5" xfId="1118"/>
    <cellStyle name="Normal 11 2 2 5 10" xfId="18318"/>
    <cellStyle name="Normal 11 2 2 5 11" xfId="18319"/>
    <cellStyle name="Normal 11 2 2 5 12" xfId="18320"/>
    <cellStyle name="Normal 11 2 2 5 13" xfId="18321"/>
    <cellStyle name="Normal 11 2 2 5 14" xfId="18322"/>
    <cellStyle name="Normal 11 2 2 5 15" xfId="18323"/>
    <cellStyle name="Normal 11 2 2 5 16" xfId="18324"/>
    <cellStyle name="Normal 11 2 2 5 2" xfId="18325"/>
    <cellStyle name="Normal 11 2 2 5 2 2" xfId="18326"/>
    <cellStyle name="Normal 11 2 2 5 2 2 2" xfId="18327"/>
    <cellStyle name="Normal 11 2 2 5 2 3" xfId="18328"/>
    <cellStyle name="Normal 11 2 2 5 2 3 2" xfId="18329"/>
    <cellStyle name="Normal 11 2 2 5 2 4" xfId="18330"/>
    <cellStyle name="Normal 11 2 2 5 2 4 2" xfId="18331"/>
    <cellStyle name="Normal 11 2 2 5 2 5" xfId="18332"/>
    <cellStyle name="Normal 11 2 2 5 2 5 2" xfId="18333"/>
    <cellStyle name="Normal 11 2 2 5 2 6" xfId="18334"/>
    <cellStyle name="Normal 11 2 2 5 2 7" xfId="18335"/>
    <cellStyle name="Normal 11 2 2 5 2 8" xfId="18336"/>
    <cellStyle name="Normal 11 2 2 5 2 9" xfId="18337"/>
    <cellStyle name="Normal 11 2 2 5 3" xfId="18338"/>
    <cellStyle name="Normal 11 2 2 5 3 2" xfId="18339"/>
    <cellStyle name="Normal 11 2 2 5 3 2 2" xfId="18340"/>
    <cellStyle name="Normal 11 2 2 5 3 3" xfId="18341"/>
    <cellStyle name="Normal 11 2 2 5 3 4" xfId="18342"/>
    <cellStyle name="Normal 11 2 2 5 3 5" xfId="18343"/>
    <cellStyle name="Normal 11 2 2 5 4" xfId="18344"/>
    <cellStyle name="Normal 11 2 2 5 4 2" xfId="18345"/>
    <cellStyle name="Normal 11 2 2 5 5" xfId="18346"/>
    <cellStyle name="Normal 11 2 2 5 5 2" xfId="18347"/>
    <cellStyle name="Normal 11 2 2 5 6" xfId="18348"/>
    <cellStyle name="Normal 11 2 2 5 6 2" xfId="18349"/>
    <cellStyle name="Normal 11 2 2 5 7" xfId="18350"/>
    <cellStyle name="Normal 11 2 2 5 7 2" xfId="18351"/>
    <cellStyle name="Normal 11 2 2 5 8" xfId="18352"/>
    <cellStyle name="Normal 11 2 2 5 9" xfId="18353"/>
    <cellStyle name="Normal 11 2 2 6" xfId="1119"/>
    <cellStyle name="Normal 11 2 2 6 10" xfId="18354"/>
    <cellStyle name="Normal 11 2 2 6 11" xfId="18355"/>
    <cellStyle name="Normal 11 2 2 6 2" xfId="18356"/>
    <cellStyle name="Normal 11 2 2 6 2 2" xfId="18357"/>
    <cellStyle name="Normal 11 2 2 6 3" xfId="18358"/>
    <cellStyle name="Normal 11 2 2 6 3 2" xfId="18359"/>
    <cellStyle name="Normal 11 2 2 6 4" xfId="18360"/>
    <cellStyle name="Normal 11 2 2 6 4 2" xfId="18361"/>
    <cellStyle name="Normal 11 2 2 6 5" xfId="18362"/>
    <cellStyle name="Normal 11 2 2 6 5 2" xfId="18363"/>
    <cellStyle name="Normal 11 2 2 6 6" xfId="18364"/>
    <cellStyle name="Normal 11 2 2 6 7" xfId="18365"/>
    <cellStyle name="Normal 11 2 2 6 8" xfId="18366"/>
    <cellStyle name="Normal 11 2 2 6 9" xfId="18367"/>
    <cellStyle name="Normal 11 2 2 7" xfId="1120"/>
    <cellStyle name="Normal 11 2 2 7 2" xfId="18368"/>
    <cellStyle name="Normal 11 2 2 7 2 2" xfId="18369"/>
    <cellStyle name="Normal 11 2 2 7 3" xfId="18370"/>
    <cellStyle name="Normal 11 2 2 7 4" xfId="18371"/>
    <cellStyle name="Normal 11 2 2 7 5" xfId="18372"/>
    <cellStyle name="Normal 11 2 2 7 6" xfId="18373"/>
    <cellStyle name="Normal 11 2 2 8" xfId="1121"/>
    <cellStyle name="Normal 11 2 2 8 2" xfId="18374"/>
    <cellStyle name="Normal 11 2 2 8 3" xfId="18375"/>
    <cellStyle name="Normal 11 2 2 9" xfId="1122"/>
    <cellStyle name="Normal 11 2 2 9 2" xfId="18376"/>
    <cellStyle name="Normal 11 2 2 9 3" xfId="18377"/>
    <cellStyle name="Normal 11 2 20" xfId="1123"/>
    <cellStyle name="Normal 11 2 20 2" xfId="18378"/>
    <cellStyle name="Normal 11 2 21" xfId="1124"/>
    <cellStyle name="Normal 11 2 22" xfId="1125"/>
    <cellStyle name="Normal 11 2 23" xfId="11777"/>
    <cellStyle name="Normal 11 2 24" xfId="18023"/>
    <cellStyle name="Normal 11 2 25" xfId="18379"/>
    <cellStyle name="Normal 11 2 26" xfId="18380"/>
    <cellStyle name="Normal 11 2 27" xfId="18381"/>
    <cellStyle name="Normal 11 2 28" xfId="18382"/>
    <cellStyle name="Normal 11 2 29" xfId="18383"/>
    <cellStyle name="Normal 11 2 3" xfId="12"/>
    <cellStyle name="Normal 11 2 3 10" xfId="1127"/>
    <cellStyle name="Normal 11 2 3 10 2" xfId="18385"/>
    <cellStyle name="Normal 11 2 3 11" xfId="1128"/>
    <cellStyle name="Normal 11 2 3 12" xfId="1129"/>
    <cellStyle name="Normal 11 2 3 13" xfId="1130"/>
    <cellStyle name="Normal 11 2 3 14" xfId="1131"/>
    <cellStyle name="Normal 11 2 3 15" xfId="11737"/>
    <cellStyle name="Normal 11 2 3 16" xfId="18384"/>
    <cellStyle name="Normal 11 2 3 17" xfId="18386"/>
    <cellStyle name="Normal 11 2 3 18" xfId="18387"/>
    <cellStyle name="Normal 11 2 3 19" xfId="18388"/>
    <cellStyle name="Normal 11 2 3 2" xfId="1126"/>
    <cellStyle name="Normal 11 2 3 2 10" xfId="18389"/>
    <cellStyle name="Normal 11 2 3 2 11" xfId="18390"/>
    <cellStyle name="Normal 11 2 3 2 12" xfId="18391"/>
    <cellStyle name="Normal 11 2 3 2 13" xfId="18392"/>
    <cellStyle name="Normal 11 2 3 2 14" xfId="18393"/>
    <cellStyle name="Normal 11 2 3 2 15" xfId="18394"/>
    <cellStyle name="Normal 11 2 3 2 2" xfId="18395"/>
    <cellStyle name="Normal 11 2 3 2 2 2" xfId="18396"/>
    <cellStyle name="Normal 11 2 3 2 2 2 2" xfId="18397"/>
    <cellStyle name="Normal 11 2 3 2 2 3" xfId="18398"/>
    <cellStyle name="Normal 11 2 3 2 2 4" xfId="18399"/>
    <cellStyle name="Normal 11 2 3 2 2 5" xfId="18400"/>
    <cellStyle name="Normal 11 2 3 2 2 6" xfId="18401"/>
    <cellStyle name="Normal 11 2 3 2 2 7" xfId="18402"/>
    <cellStyle name="Normal 11 2 3 2 3" xfId="18403"/>
    <cellStyle name="Normal 11 2 3 2 3 2" xfId="18404"/>
    <cellStyle name="Normal 11 2 3 2 3 3" xfId="18405"/>
    <cellStyle name="Normal 11 2 3 2 3 4" xfId="18406"/>
    <cellStyle name="Normal 11 2 3 2 4" xfId="18407"/>
    <cellStyle name="Normal 11 2 3 2 4 2" xfId="18408"/>
    <cellStyle name="Normal 11 2 3 2 4 3" xfId="18409"/>
    <cellStyle name="Normal 11 2 3 2 4 4" xfId="18410"/>
    <cellStyle name="Normal 11 2 3 2 5" xfId="18411"/>
    <cellStyle name="Normal 11 2 3 2 5 2" xfId="18412"/>
    <cellStyle name="Normal 11 2 3 2 5 3" xfId="18413"/>
    <cellStyle name="Normal 11 2 3 2 5 4" xfId="18414"/>
    <cellStyle name="Normal 11 2 3 2 6" xfId="18415"/>
    <cellStyle name="Normal 11 2 3 2 6 2" xfId="18416"/>
    <cellStyle name="Normal 11 2 3 2 6 3" xfId="18417"/>
    <cellStyle name="Normal 11 2 3 2 7" xfId="18418"/>
    <cellStyle name="Normal 11 2 3 2 7 2" xfId="18419"/>
    <cellStyle name="Normal 11 2 3 2 8" xfId="18420"/>
    <cellStyle name="Normal 11 2 3 2 8 2" xfId="18421"/>
    <cellStyle name="Normal 11 2 3 2 9" xfId="18422"/>
    <cellStyle name="Normal 11 2 3 2 9 2" xfId="18423"/>
    <cellStyle name="Normal 11 2 3 20" xfId="18424"/>
    <cellStyle name="Normal 11 2 3 3" xfId="1133"/>
    <cellStyle name="Normal 11 2 3 3 2" xfId="18425"/>
    <cellStyle name="Normal 11 2 3 3 2 2" xfId="18426"/>
    <cellStyle name="Normal 11 2 3 3 2 3" xfId="18427"/>
    <cellStyle name="Normal 11 2 3 3 2 4" xfId="18428"/>
    <cellStyle name="Normal 11 2 3 3 3" xfId="18429"/>
    <cellStyle name="Normal 11 2 3 3 3 2" xfId="18430"/>
    <cellStyle name="Normal 11 2 3 3 3 3" xfId="18431"/>
    <cellStyle name="Normal 11 2 3 3 4" xfId="18432"/>
    <cellStyle name="Normal 11 2 3 3 4 2" xfId="18433"/>
    <cellStyle name="Normal 11 2 3 3 5" xfId="18434"/>
    <cellStyle name="Normal 11 2 3 3 5 2" xfId="18435"/>
    <cellStyle name="Normal 11 2 3 3 6" xfId="18436"/>
    <cellStyle name="Normal 11 2 3 3 6 2" xfId="18437"/>
    <cellStyle name="Normal 11 2 3 3 7" xfId="18438"/>
    <cellStyle name="Normal 11 2 3 4" xfId="1134"/>
    <cellStyle name="Normal 11 2 3 4 2" xfId="18439"/>
    <cellStyle name="Normal 11 2 3 4 3" xfId="18440"/>
    <cellStyle name="Normal 11 2 3 4 4" xfId="18441"/>
    <cellStyle name="Normal 11 2 3 5" xfId="1135"/>
    <cellStyle name="Normal 11 2 3 5 2" xfId="18442"/>
    <cellStyle name="Normal 11 2 3 5 3" xfId="18443"/>
    <cellStyle name="Normal 11 2 3 5 4" xfId="18444"/>
    <cellStyle name="Normal 11 2 3 6" xfId="1136"/>
    <cellStyle name="Normal 11 2 3 6 2" xfId="18445"/>
    <cellStyle name="Normal 11 2 3 6 3" xfId="18446"/>
    <cellStyle name="Normal 11 2 3 6 4" xfId="18447"/>
    <cellStyle name="Normal 11 2 3 7" xfId="1137"/>
    <cellStyle name="Normal 11 2 3 7 2" xfId="18448"/>
    <cellStyle name="Normal 11 2 3 7 3" xfId="18449"/>
    <cellStyle name="Normal 11 2 3 8" xfId="1138"/>
    <cellStyle name="Normal 11 2 3 8 2" xfId="18450"/>
    <cellStyle name="Normal 11 2 3 9" xfId="1139"/>
    <cellStyle name="Normal 11 2 3 9 2" xfId="18451"/>
    <cellStyle name="Normal 11 2 30" xfId="18452"/>
    <cellStyle name="Normal 11 2 31" xfId="18453"/>
    <cellStyle name="Normal 11 2 4" xfId="13"/>
    <cellStyle name="Normal 11 2 4 10" xfId="1141"/>
    <cellStyle name="Normal 11 2 4 10 2" xfId="18455"/>
    <cellStyle name="Normal 11 2 4 11" xfId="1142"/>
    <cellStyle name="Normal 11 2 4 12" xfId="1143"/>
    <cellStyle name="Normal 11 2 4 13" xfId="1144"/>
    <cellStyle name="Normal 11 2 4 14" xfId="1145"/>
    <cellStyle name="Normal 11 2 4 15" xfId="11723"/>
    <cellStyle name="Normal 11 2 4 16" xfId="18454"/>
    <cellStyle name="Normal 11 2 4 17" xfId="18456"/>
    <cellStyle name="Normal 11 2 4 18" xfId="18457"/>
    <cellStyle name="Normal 11 2 4 19" xfId="18458"/>
    <cellStyle name="Normal 11 2 4 2" xfId="1140"/>
    <cellStyle name="Normal 11 2 4 2 10" xfId="18459"/>
    <cellStyle name="Normal 11 2 4 2 11" xfId="18460"/>
    <cellStyle name="Normal 11 2 4 2 12" xfId="18461"/>
    <cellStyle name="Normal 11 2 4 2 13" xfId="18462"/>
    <cellStyle name="Normal 11 2 4 2 14" xfId="18463"/>
    <cellStyle name="Normal 11 2 4 2 15" xfId="18464"/>
    <cellStyle name="Normal 11 2 4 2 2" xfId="18465"/>
    <cellStyle name="Normal 11 2 4 2 2 2" xfId="18466"/>
    <cellStyle name="Normal 11 2 4 2 2 2 2" xfId="18467"/>
    <cellStyle name="Normal 11 2 4 2 2 3" xfId="18468"/>
    <cellStyle name="Normal 11 2 4 2 2 4" xfId="18469"/>
    <cellStyle name="Normal 11 2 4 2 2 5" xfId="18470"/>
    <cellStyle name="Normal 11 2 4 2 2 6" xfId="18471"/>
    <cellStyle name="Normal 11 2 4 2 2 7" xfId="18472"/>
    <cellStyle name="Normal 11 2 4 2 3" xfId="18473"/>
    <cellStyle name="Normal 11 2 4 2 3 2" xfId="18474"/>
    <cellStyle name="Normal 11 2 4 2 3 3" xfId="18475"/>
    <cellStyle name="Normal 11 2 4 2 3 4" xfId="18476"/>
    <cellStyle name="Normal 11 2 4 2 4" xfId="18477"/>
    <cellStyle name="Normal 11 2 4 2 4 2" xfId="18478"/>
    <cellStyle name="Normal 11 2 4 2 4 3" xfId="18479"/>
    <cellStyle name="Normal 11 2 4 2 4 4" xfId="18480"/>
    <cellStyle name="Normal 11 2 4 2 5" xfId="18481"/>
    <cellStyle name="Normal 11 2 4 2 5 2" xfId="18482"/>
    <cellStyle name="Normal 11 2 4 2 5 3" xfId="18483"/>
    <cellStyle name="Normal 11 2 4 2 5 4" xfId="18484"/>
    <cellStyle name="Normal 11 2 4 2 6" xfId="18485"/>
    <cellStyle name="Normal 11 2 4 2 6 2" xfId="18486"/>
    <cellStyle name="Normal 11 2 4 2 6 3" xfId="18487"/>
    <cellStyle name="Normal 11 2 4 2 7" xfId="18488"/>
    <cellStyle name="Normal 11 2 4 2 7 2" xfId="18489"/>
    <cellStyle name="Normal 11 2 4 2 8" xfId="18490"/>
    <cellStyle name="Normal 11 2 4 2 8 2" xfId="18491"/>
    <cellStyle name="Normal 11 2 4 2 9" xfId="18492"/>
    <cellStyle name="Normal 11 2 4 2 9 2" xfId="18493"/>
    <cellStyle name="Normal 11 2 4 20" xfId="18494"/>
    <cellStyle name="Normal 11 2 4 3" xfId="1147"/>
    <cellStyle name="Normal 11 2 4 3 2" xfId="18495"/>
    <cellStyle name="Normal 11 2 4 3 2 2" xfId="18496"/>
    <cellStyle name="Normal 11 2 4 3 2 3" xfId="18497"/>
    <cellStyle name="Normal 11 2 4 3 2 4" xfId="18498"/>
    <cellStyle name="Normal 11 2 4 3 3" xfId="18499"/>
    <cellStyle name="Normal 11 2 4 3 3 2" xfId="18500"/>
    <cellStyle name="Normal 11 2 4 3 3 3" xfId="18501"/>
    <cellStyle name="Normal 11 2 4 3 4" xfId="18502"/>
    <cellStyle name="Normal 11 2 4 3 4 2" xfId="18503"/>
    <cellStyle name="Normal 11 2 4 3 5" xfId="18504"/>
    <cellStyle name="Normal 11 2 4 3 5 2" xfId="18505"/>
    <cellStyle name="Normal 11 2 4 3 6" xfId="18506"/>
    <cellStyle name="Normal 11 2 4 3 6 2" xfId="18507"/>
    <cellStyle name="Normal 11 2 4 3 7" xfId="18508"/>
    <cellStyle name="Normal 11 2 4 4" xfId="1148"/>
    <cellStyle name="Normal 11 2 4 4 2" xfId="18509"/>
    <cellStyle name="Normal 11 2 4 4 3" xfId="18510"/>
    <cellStyle name="Normal 11 2 4 4 4" xfId="18511"/>
    <cellStyle name="Normal 11 2 4 5" xfId="1149"/>
    <cellStyle name="Normal 11 2 4 5 2" xfId="18512"/>
    <cellStyle name="Normal 11 2 4 5 3" xfId="18513"/>
    <cellStyle name="Normal 11 2 4 5 4" xfId="18514"/>
    <cellStyle name="Normal 11 2 4 6" xfId="1150"/>
    <cellStyle name="Normal 11 2 4 6 2" xfId="18515"/>
    <cellStyle name="Normal 11 2 4 6 3" xfId="18516"/>
    <cellStyle name="Normal 11 2 4 6 4" xfId="18517"/>
    <cellStyle name="Normal 11 2 4 7" xfId="1151"/>
    <cellStyle name="Normal 11 2 4 7 2" xfId="18518"/>
    <cellStyle name="Normal 11 2 4 7 3" xfId="18519"/>
    <cellStyle name="Normal 11 2 4 8" xfId="1152"/>
    <cellStyle name="Normal 11 2 4 8 2" xfId="18520"/>
    <cellStyle name="Normal 11 2 4 9" xfId="1153"/>
    <cellStyle name="Normal 11 2 4 9 2" xfId="18521"/>
    <cellStyle name="Normal 11 2 5" xfId="14"/>
    <cellStyle name="Normal 11 2 5 10" xfId="1155"/>
    <cellStyle name="Normal 11 2 5 10 2" xfId="18523"/>
    <cellStyle name="Normal 11 2 5 11" xfId="1156"/>
    <cellStyle name="Normal 11 2 5 12" xfId="1157"/>
    <cellStyle name="Normal 11 2 5 13" xfId="1158"/>
    <cellStyle name="Normal 11 2 5 14" xfId="1159"/>
    <cellStyle name="Normal 11 2 5 15" xfId="11709"/>
    <cellStyle name="Normal 11 2 5 16" xfId="18522"/>
    <cellStyle name="Normal 11 2 5 17" xfId="18524"/>
    <cellStyle name="Normal 11 2 5 18" xfId="18525"/>
    <cellStyle name="Normal 11 2 5 19" xfId="18526"/>
    <cellStyle name="Normal 11 2 5 2" xfId="1154"/>
    <cellStyle name="Normal 11 2 5 2 10" xfId="18527"/>
    <cellStyle name="Normal 11 2 5 2 11" xfId="18528"/>
    <cellStyle name="Normal 11 2 5 2 12" xfId="18529"/>
    <cellStyle name="Normal 11 2 5 2 13" xfId="18530"/>
    <cellStyle name="Normal 11 2 5 2 14" xfId="18531"/>
    <cellStyle name="Normal 11 2 5 2 15" xfId="18532"/>
    <cellStyle name="Normal 11 2 5 2 2" xfId="18533"/>
    <cellStyle name="Normal 11 2 5 2 2 2" xfId="18534"/>
    <cellStyle name="Normal 11 2 5 2 2 2 2" xfId="18535"/>
    <cellStyle name="Normal 11 2 5 2 2 3" xfId="18536"/>
    <cellStyle name="Normal 11 2 5 2 2 4" xfId="18537"/>
    <cellStyle name="Normal 11 2 5 2 2 5" xfId="18538"/>
    <cellStyle name="Normal 11 2 5 2 2 6" xfId="18539"/>
    <cellStyle name="Normal 11 2 5 2 2 7" xfId="18540"/>
    <cellStyle name="Normal 11 2 5 2 3" xfId="18541"/>
    <cellStyle name="Normal 11 2 5 2 3 2" xfId="18542"/>
    <cellStyle name="Normal 11 2 5 2 3 3" xfId="18543"/>
    <cellStyle name="Normal 11 2 5 2 3 4" xfId="18544"/>
    <cellStyle name="Normal 11 2 5 2 4" xfId="18545"/>
    <cellStyle name="Normal 11 2 5 2 4 2" xfId="18546"/>
    <cellStyle name="Normal 11 2 5 2 4 3" xfId="18547"/>
    <cellStyle name="Normal 11 2 5 2 4 4" xfId="18548"/>
    <cellStyle name="Normal 11 2 5 2 5" xfId="18549"/>
    <cellStyle name="Normal 11 2 5 2 5 2" xfId="18550"/>
    <cellStyle name="Normal 11 2 5 2 5 3" xfId="18551"/>
    <cellStyle name="Normal 11 2 5 2 5 4" xfId="18552"/>
    <cellStyle name="Normal 11 2 5 2 6" xfId="18553"/>
    <cellStyle name="Normal 11 2 5 2 6 2" xfId="18554"/>
    <cellStyle name="Normal 11 2 5 2 6 3" xfId="18555"/>
    <cellStyle name="Normal 11 2 5 2 7" xfId="18556"/>
    <cellStyle name="Normal 11 2 5 2 7 2" xfId="18557"/>
    <cellStyle name="Normal 11 2 5 2 8" xfId="18558"/>
    <cellStyle name="Normal 11 2 5 2 8 2" xfId="18559"/>
    <cellStyle name="Normal 11 2 5 2 9" xfId="18560"/>
    <cellStyle name="Normal 11 2 5 2 9 2" xfId="18561"/>
    <cellStyle name="Normal 11 2 5 20" xfId="18562"/>
    <cellStyle name="Normal 11 2 5 3" xfId="1161"/>
    <cellStyle name="Normal 11 2 5 3 2" xfId="18563"/>
    <cellStyle name="Normal 11 2 5 3 2 2" xfId="18564"/>
    <cellStyle name="Normal 11 2 5 3 2 3" xfId="18565"/>
    <cellStyle name="Normal 11 2 5 3 2 4" xfId="18566"/>
    <cellStyle name="Normal 11 2 5 3 3" xfId="18567"/>
    <cellStyle name="Normal 11 2 5 3 3 2" xfId="18568"/>
    <cellStyle name="Normal 11 2 5 3 3 3" xfId="18569"/>
    <cellStyle name="Normal 11 2 5 3 4" xfId="18570"/>
    <cellStyle name="Normal 11 2 5 3 4 2" xfId="18571"/>
    <cellStyle name="Normal 11 2 5 3 5" xfId="18572"/>
    <cellStyle name="Normal 11 2 5 3 5 2" xfId="18573"/>
    <cellStyle name="Normal 11 2 5 3 6" xfId="18574"/>
    <cellStyle name="Normal 11 2 5 3 6 2" xfId="18575"/>
    <cellStyle name="Normal 11 2 5 3 7" xfId="18576"/>
    <cellStyle name="Normal 11 2 5 4" xfId="1162"/>
    <cellStyle name="Normal 11 2 5 4 2" xfId="18577"/>
    <cellStyle name="Normal 11 2 5 4 3" xfId="18578"/>
    <cellStyle name="Normal 11 2 5 4 4" xfId="18579"/>
    <cellStyle name="Normal 11 2 5 5" xfId="1163"/>
    <cellStyle name="Normal 11 2 5 5 2" xfId="18580"/>
    <cellStyle name="Normal 11 2 5 5 3" xfId="18581"/>
    <cellStyle name="Normal 11 2 5 5 4" xfId="18582"/>
    <cellStyle name="Normal 11 2 5 6" xfId="1164"/>
    <cellStyle name="Normal 11 2 5 6 2" xfId="18583"/>
    <cellStyle name="Normal 11 2 5 6 3" xfId="18584"/>
    <cellStyle name="Normal 11 2 5 6 4" xfId="18585"/>
    <cellStyle name="Normal 11 2 5 7" xfId="1165"/>
    <cellStyle name="Normal 11 2 5 7 2" xfId="18586"/>
    <cellStyle name="Normal 11 2 5 7 3" xfId="18587"/>
    <cellStyle name="Normal 11 2 5 8" xfId="1166"/>
    <cellStyle name="Normal 11 2 5 8 2" xfId="18588"/>
    <cellStyle name="Normal 11 2 5 9" xfId="1167"/>
    <cellStyle name="Normal 11 2 5 9 2" xfId="18589"/>
    <cellStyle name="Normal 11 2 6" xfId="15"/>
    <cellStyle name="Normal 11 2 6 10" xfId="1169"/>
    <cellStyle name="Normal 11 2 6 10 2" xfId="18591"/>
    <cellStyle name="Normal 11 2 6 11" xfId="1170"/>
    <cellStyle name="Normal 11 2 6 12" xfId="1171"/>
    <cellStyle name="Normal 11 2 6 13" xfId="1172"/>
    <cellStyle name="Normal 11 2 6 14" xfId="1173"/>
    <cellStyle name="Normal 11 2 6 15" xfId="11695"/>
    <cellStyle name="Normal 11 2 6 16" xfId="18590"/>
    <cellStyle name="Normal 11 2 6 17" xfId="18592"/>
    <cellStyle name="Normal 11 2 6 18" xfId="18593"/>
    <cellStyle name="Normal 11 2 6 19" xfId="18594"/>
    <cellStyle name="Normal 11 2 6 2" xfId="1168"/>
    <cellStyle name="Normal 11 2 6 2 10" xfId="18595"/>
    <cellStyle name="Normal 11 2 6 2 11" xfId="18596"/>
    <cellStyle name="Normal 11 2 6 2 12" xfId="18597"/>
    <cellStyle name="Normal 11 2 6 2 13" xfId="18598"/>
    <cellStyle name="Normal 11 2 6 2 14" xfId="18599"/>
    <cellStyle name="Normal 11 2 6 2 15" xfId="18600"/>
    <cellStyle name="Normal 11 2 6 2 2" xfId="18601"/>
    <cellStyle name="Normal 11 2 6 2 2 2" xfId="18602"/>
    <cellStyle name="Normal 11 2 6 2 2 2 2" xfId="18603"/>
    <cellStyle name="Normal 11 2 6 2 2 3" xfId="18604"/>
    <cellStyle name="Normal 11 2 6 2 2 4" xfId="18605"/>
    <cellStyle name="Normal 11 2 6 2 2 5" xfId="18606"/>
    <cellStyle name="Normal 11 2 6 2 2 6" xfId="18607"/>
    <cellStyle name="Normal 11 2 6 2 2 7" xfId="18608"/>
    <cellStyle name="Normal 11 2 6 2 3" xfId="18609"/>
    <cellStyle name="Normal 11 2 6 2 3 2" xfId="18610"/>
    <cellStyle name="Normal 11 2 6 2 3 3" xfId="18611"/>
    <cellStyle name="Normal 11 2 6 2 3 4" xfId="18612"/>
    <cellStyle name="Normal 11 2 6 2 4" xfId="18613"/>
    <cellStyle name="Normal 11 2 6 2 4 2" xfId="18614"/>
    <cellStyle name="Normal 11 2 6 2 4 3" xfId="18615"/>
    <cellStyle name="Normal 11 2 6 2 4 4" xfId="18616"/>
    <cellStyle name="Normal 11 2 6 2 5" xfId="18617"/>
    <cellStyle name="Normal 11 2 6 2 5 2" xfId="18618"/>
    <cellStyle name="Normal 11 2 6 2 5 3" xfId="18619"/>
    <cellStyle name="Normal 11 2 6 2 5 4" xfId="18620"/>
    <cellStyle name="Normal 11 2 6 2 6" xfId="18621"/>
    <cellStyle name="Normal 11 2 6 2 6 2" xfId="18622"/>
    <cellStyle name="Normal 11 2 6 2 6 3" xfId="18623"/>
    <cellStyle name="Normal 11 2 6 2 7" xfId="18624"/>
    <cellStyle name="Normal 11 2 6 2 7 2" xfId="18625"/>
    <cellStyle name="Normal 11 2 6 2 8" xfId="18626"/>
    <cellStyle name="Normal 11 2 6 2 8 2" xfId="18627"/>
    <cellStyle name="Normal 11 2 6 2 9" xfId="18628"/>
    <cellStyle name="Normal 11 2 6 2 9 2" xfId="18629"/>
    <cellStyle name="Normal 11 2 6 20" xfId="18630"/>
    <cellStyle name="Normal 11 2 6 3" xfId="1175"/>
    <cellStyle name="Normal 11 2 6 3 2" xfId="18631"/>
    <cellStyle name="Normal 11 2 6 3 2 2" xfId="18632"/>
    <cellStyle name="Normal 11 2 6 3 2 3" xfId="18633"/>
    <cellStyle name="Normal 11 2 6 3 2 4" xfId="18634"/>
    <cellStyle name="Normal 11 2 6 3 3" xfId="18635"/>
    <cellStyle name="Normal 11 2 6 3 3 2" xfId="18636"/>
    <cellStyle name="Normal 11 2 6 3 3 3" xfId="18637"/>
    <cellStyle name="Normal 11 2 6 3 4" xfId="18638"/>
    <cellStyle name="Normal 11 2 6 3 4 2" xfId="18639"/>
    <cellStyle name="Normal 11 2 6 3 5" xfId="18640"/>
    <cellStyle name="Normal 11 2 6 3 5 2" xfId="18641"/>
    <cellStyle name="Normal 11 2 6 3 6" xfId="18642"/>
    <cellStyle name="Normal 11 2 6 3 6 2" xfId="18643"/>
    <cellStyle name="Normal 11 2 6 3 7" xfId="18644"/>
    <cellStyle name="Normal 11 2 6 4" xfId="1176"/>
    <cellStyle name="Normal 11 2 6 4 2" xfId="18645"/>
    <cellStyle name="Normal 11 2 6 4 3" xfId="18646"/>
    <cellStyle name="Normal 11 2 6 4 4" xfId="18647"/>
    <cellStyle name="Normal 11 2 6 5" xfId="1177"/>
    <cellStyle name="Normal 11 2 6 5 2" xfId="18648"/>
    <cellStyle name="Normal 11 2 6 5 3" xfId="18649"/>
    <cellStyle name="Normal 11 2 6 5 4" xfId="18650"/>
    <cellStyle name="Normal 11 2 6 6" xfId="1178"/>
    <cellStyle name="Normal 11 2 6 6 2" xfId="18651"/>
    <cellStyle name="Normal 11 2 6 6 3" xfId="18652"/>
    <cellStyle name="Normal 11 2 6 6 4" xfId="18653"/>
    <cellStyle name="Normal 11 2 6 7" xfId="1179"/>
    <cellStyle name="Normal 11 2 6 7 2" xfId="18654"/>
    <cellStyle name="Normal 11 2 6 7 3" xfId="18655"/>
    <cellStyle name="Normal 11 2 6 8" xfId="1180"/>
    <cellStyle name="Normal 11 2 6 8 2" xfId="18656"/>
    <cellStyle name="Normal 11 2 6 9" xfId="1181"/>
    <cellStyle name="Normal 11 2 6 9 2" xfId="18657"/>
    <cellStyle name="Normal 11 2 7" xfId="16"/>
    <cellStyle name="Normal 11 2 7 10" xfId="1183"/>
    <cellStyle name="Normal 11 2 7 10 2" xfId="18659"/>
    <cellStyle name="Normal 11 2 7 11" xfId="1184"/>
    <cellStyle name="Normal 11 2 7 12" xfId="1185"/>
    <cellStyle name="Normal 11 2 7 13" xfId="1186"/>
    <cellStyle name="Normal 11 2 7 14" xfId="1187"/>
    <cellStyle name="Normal 11 2 7 15" xfId="11681"/>
    <cellStyle name="Normal 11 2 7 16" xfId="18658"/>
    <cellStyle name="Normal 11 2 7 17" xfId="18660"/>
    <cellStyle name="Normal 11 2 7 18" xfId="18661"/>
    <cellStyle name="Normal 11 2 7 19" xfId="18662"/>
    <cellStyle name="Normal 11 2 7 2" xfId="1182"/>
    <cellStyle name="Normal 11 2 7 2 10" xfId="18663"/>
    <cellStyle name="Normal 11 2 7 2 11" xfId="18664"/>
    <cellStyle name="Normal 11 2 7 2 12" xfId="18665"/>
    <cellStyle name="Normal 11 2 7 2 13" xfId="18666"/>
    <cellStyle name="Normal 11 2 7 2 14" xfId="18667"/>
    <cellStyle name="Normal 11 2 7 2 15" xfId="18668"/>
    <cellStyle name="Normal 11 2 7 2 2" xfId="18669"/>
    <cellStyle name="Normal 11 2 7 2 2 2" xfId="18670"/>
    <cellStyle name="Normal 11 2 7 2 2 2 2" xfId="18671"/>
    <cellStyle name="Normal 11 2 7 2 2 3" xfId="18672"/>
    <cellStyle name="Normal 11 2 7 2 2 4" xfId="18673"/>
    <cellStyle name="Normal 11 2 7 2 2 5" xfId="18674"/>
    <cellStyle name="Normal 11 2 7 2 2 6" xfId="18675"/>
    <cellStyle name="Normal 11 2 7 2 2 7" xfId="18676"/>
    <cellStyle name="Normal 11 2 7 2 3" xfId="18677"/>
    <cellStyle name="Normal 11 2 7 2 3 2" xfId="18678"/>
    <cellStyle name="Normal 11 2 7 2 3 3" xfId="18679"/>
    <cellStyle name="Normal 11 2 7 2 3 4" xfId="18680"/>
    <cellStyle name="Normal 11 2 7 2 4" xfId="18681"/>
    <cellStyle name="Normal 11 2 7 2 4 2" xfId="18682"/>
    <cellStyle name="Normal 11 2 7 2 4 3" xfId="18683"/>
    <cellStyle name="Normal 11 2 7 2 4 4" xfId="18684"/>
    <cellStyle name="Normal 11 2 7 2 5" xfId="18685"/>
    <cellStyle name="Normal 11 2 7 2 5 2" xfId="18686"/>
    <cellStyle name="Normal 11 2 7 2 5 3" xfId="18687"/>
    <cellStyle name="Normal 11 2 7 2 5 4" xfId="18688"/>
    <cellStyle name="Normal 11 2 7 2 6" xfId="18689"/>
    <cellStyle name="Normal 11 2 7 2 6 2" xfId="18690"/>
    <cellStyle name="Normal 11 2 7 2 6 3" xfId="18691"/>
    <cellStyle name="Normal 11 2 7 2 7" xfId="18692"/>
    <cellStyle name="Normal 11 2 7 2 7 2" xfId="18693"/>
    <cellStyle name="Normal 11 2 7 2 8" xfId="18694"/>
    <cellStyle name="Normal 11 2 7 2 8 2" xfId="18695"/>
    <cellStyle name="Normal 11 2 7 2 9" xfId="18696"/>
    <cellStyle name="Normal 11 2 7 2 9 2" xfId="18697"/>
    <cellStyle name="Normal 11 2 7 20" xfId="18698"/>
    <cellStyle name="Normal 11 2 7 3" xfId="1189"/>
    <cellStyle name="Normal 11 2 7 3 2" xfId="18699"/>
    <cellStyle name="Normal 11 2 7 3 2 2" xfId="18700"/>
    <cellStyle name="Normal 11 2 7 3 2 3" xfId="18701"/>
    <cellStyle name="Normal 11 2 7 3 2 4" xfId="18702"/>
    <cellStyle name="Normal 11 2 7 3 3" xfId="18703"/>
    <cellStyle name="Normal 11 2 7 3 3 2" xfId="18704"/>
    <cellStyle name="Normal 11 2 7 3 3 3" xfId="18705"/>
    <cellStyle name="Normal 11 2 7 3 4" xfId="18706"/>
    <cellStyle name="Normal 11 2 7 3 4 2" xfId="18707"/>
    <cellStyle name="Normal 11 2 7 3 5" xfId="18708"/>
    <cellStyle name="Normal 11 2 7 3 5 2" xfId="18709"/>
    <cellStyle name="Normal 11 2 7 3 6" xfId="18710"/>
    <cellStyle name="Normal 11 2 7 3 6 2" xfId="18711"/>
    <cellStyle name="Normal 11 2 7 3 7" xfId="18712"/>
    <cellStyle name="Normal 11 2 7 4" xfId="1190"/>
    <cellStyle name="Normal 11 2 7 4 2" xfId="18713"/>
    <cellStyle name="Normal 11 2 7 4 3" xfId="18714"/>
    <cellStyle name="Normal 11 2 7 4 4" xfId="18715"/>
    <cellStyle name="Normal 11 2 7 5" xfId="1191"/>
    <cellStyle name="Normal 11 2 7 5 2" xfId="18716"/>
    <cellStyle name="Normal 11 2 7 5 3" xfId="18717"/>
    <cellStyle name="Normal 11 2 7 5 4" xfId="18718"/>
    <cellStyle name="Normal 11 2 7 6" xfId="1192"/>
    <cellStyle name="Normal 11 2 7 6 2" xfId="18719"/>
    <cellStyle name="Normal 11 2 7 6 3" xfId="18720"/>
    <cellStyle name="Normal 11 2 7 6 4" xfId="18721"/>
    <cellStyle name="Normal 11 2 7 7" xfId="1193"/>
    <cellStyle name="Normal 11 2 7 7 2" xfId="18722"/>
    <cellStyle name="Normal 11 2 7 7 3" xfId="18723"/>
    <cellStyle name="Normal 11 2 7 8" xfId="1194"/>
    <cellStyle name="Normal 11 2 7 8 2" xfId="18724"/>
    <cellStyle name="Normal 11 2 7 9" xfId="1195"/>
    <cellStyle name="Normal 11 2 7 9 2" xfId="18725"/>
    <cellStyle name="Normal 11 2 8" xfId="17"/>
    <cellStyle name="Normal 11 2 8 10" xfId="1197"/>
    <cellStyle name="Normal 11 2 8 10 2" xfId="18727"/>
    <cellStyle name="Normal 11 2 8 11" xfId="1198"/>
    <cellStyle name="Normal 11 2 8 12" xfId="1199"/>
    <cellStyle name="Normal 11 2 8 13" xfId="1200"/>
    <cellStyle name="Normal 11 2 8 14" xfId="1201"/>
    <cellStyle name="Normal 11 2 8 15" xfId="11664"/>
    <cellStyle name="Normal 11 2 8 16" xfId="18726"/>
    <cellStyle name="Normal 11 2 8 17" xfId="18728"/>
    <cellStyle name="Normal 11 2 8 18" xfId="18729"/>
    <cellStyle name="Normal 11 2 8 2" xfId="1196"/>
    <cellStyle name="Normal 11 2 8 2 10" xfId="18730"/>
    <cellStyle name="Normal 11 2 8 2 11" xfId="18731"/>
    <cellStyle name="Normal 11 2 8 2 2" xfId="18732"/>
    <cellStyle name="Normal 11 2 8 2 2 2" xfId="18733"/>
    <cellStyle name="Normal 11 2 8 2 2 3" xfId="18734"/>
    <cellStyle name="Normal 11 2 8 2 2 4" xfId="18735"/>
    <cellStyle name="Normal 11 2 8 2 3" xfId="18736"/>
    <cellStyle name="Normal 11 2 8 2 3 2" xfId="18737"/>
    <cellStyle name="Normal 11 2 8 2 3 3" xfId="18738"/>
    <cellStyle name="Normal 11 2 8 2 3 4" xfId="18739"/>
    <cellStyle name="Normal 11 2 8 2 4" xfId="18740"/>
    <cellStyle name="Normal 11 2 8 2 4 2" xfId="18741"/>
    <cellStyle name="Normal 11 2 8 2 4 3" xfId="18742"/>
    <cellStyle name="Normal 11 2 8 2 4 4" xfId="18743"/>
    <cellStyle name="Normal 11 2 8 2 5" xfId="18744"/>
    <cellStyle name="Normal 11 2 8 2 5 2" xfId="18745"/>
    <cellStyle name="Normal 11 2 8 2 5 3" xfId="18746"/>
    <cellStyle name="Normal 11 2 8 2 5 4" xfId="18747"/>
    <cellStyle name="Normal 11 2 8 2 6" xfId="18748"/>
    <cellStyle name="Normal 11 2 8 2 6 2" xfId="18749"/>
    <cellStyle name="Normal 11 2 8 2 7" xfId="18750"/>
    <cellStyle name="Normal 11 2 8 2 7 2" xfId="18751"/>
    <cellStyle name="Normal 11 2 8 2 8" xfId="18752"/>
    <cellStyle name="Normal 11 2 8 2 8 2" xfId="18753"/>
    <cellStyle name="Normal 11 2 8 2 9" xfId="18754"/>
    <cellStyle name="Normal 11 2 8 2 9 2" xfId="18755"/>
    <cellStyle name="Normal 11 2 8 3" xfId="1203"/>
    <cellStyle name="Normal 11 2 8 3 2" xfId="18756"/>
    <cellStyle name="Normal 11 2 8 3 2 2" xfId="18757"/>
    <cellStyle name="Normal 11 2 8 3 2 3" xfId="18758"/>
    <cellStyle name="Normal 11 2 8 3 2 4" xfId="18759"/>
    <cellStyle name="Normal 11 2 8 3 3" xfId="18760"/>
    <cellStyle name="Normal 11 2 8 3 3 2" xfId="18761"/>
    <cellStyle name="Normal 11 2 8 3 3 3" xfId="18762"/>
    <cellStyle name="Normal 11 2 8 3 4" xfId="18763"/>
    <cellStyle name="Normal 11 2 8 3 4 2" xfId="18764"/>
    <cellStyle name="Normal 11 2 8 3 5" xfId="18765"/>
    <cellStyle name="Normal 11 2 8 3 5 2" xfId="18766"/>
    <cellStyle name="Normal 11 2 8 3 6" xfId="18767"/>
    <cellStyle name="Normal 11 2 8 3 6 2" xfId="18768"/>
    <cellStyle name="Normal 11 2 8 3 7" xfId="18769"/>
    <cellStyle name="Normal 11 2 8 4" xfId="1204"/>
    <cellStyle name="Normal 11 2 8 4 2" xfId="18770"/>
    <cellStyle name="Normal 11 2 8 4 3" xfId="18771"/>
    <cellStyle name="Normal 11 2 8 4 4" xfId="18772"/>
    <cellStyle name="Normal 11 2 8 5" xfId="1205"/>
    <cellStyle name="Normal 11 2 8 5 2" xfId="18773"/>
    <cellStyle name="Normal 11 2 8 5 3" xfId="18774"/>
    <cellStyle name="Normal 11 2 8 5 4" xfId="18775"/>
    <cellStyle name="Normal 11 2 8 6" xfId="1206"/>
    <cellStyle name="Normal 11 2 8 6 2" xfId="18776"/>
    <cellStyle name="Normal 11 2 8 6 3" xfId="18777"/>
    <cellStyle name="Normal 11 2 8 6 4" xfId="18778"/>
    <cellStyle name="Normal 11 2 8 7" xfId="1207"/>
    <cellStyle name="Normal 11 2 8 7 2" xfId="18779"/>
    <cellStyle name="Normal 11 2 8 7 3" xfId="18780"/>
    <cellStyle name="Normal 11 2 8 8" xfId="1208"/>
    <cellStyle name="Normal 11 2 8 8 2" xfId="18781"/>
    <cellStyle name="Normal 11 2 8 9" xfId="1209"/>
    <cellStyle name="Normal 11 2 8 9 2" xfId="18782"/>
    <cellStyle name="Normal 11 2 9" xfId="18"/>
    <cellStyle name="Normal 11 2 9 10" xfId="18784"/>
    <cellStyle name="Normal 11 2 9 10 2" xfId="18785"/>
    <cellStyle name="Normal 11 2 9 11" xfId="18786"/>
    <cellStyle name="Normal 11 2 9 12" xfId="18787"/>
    <cellStyle name="Normal 11 2 9 13" xfId="18788"/>
    <cellStyle name="Normal 11 2 9 14" xfId="18789"/>
    <cellStyle name="Normal 11 2 9 15" xfId="18790"/>
    <cellStyle name="Normal 11 2 9 16" xfId="18791"/>
    <cellStyle name="Normal 11 2 9 17" xfId="18792"/>
    <cellStyle name="Normal 11 2 9 18" xfId="18793"/>
    <cellStyle name="Normal 11 2 9 2" xfId="1210"/>
    <cellStyle name="Normal 11 2 9 2 10" xfId="18794"/>
    <cellStyle name="Normal 11 2 9 2 11" xfId="18795"/>
    <cellStyle name="Normal 11 2 9 2 2" xfId="18796"/>
    <cellStyle name="Normal 11 2 9 2 2 2" xfId="18797"/>
    <cellStyle name="Normal 11 2 9 2 2 3" xfId="18798"/>
    <cellStyle name="Normal 11 2 9 2 2 4" xfId="18799"/>
    <cellStyle name="Normal 11 2 9 2 3" xfId="18800"/>
    <cellStyle name="Normal 11 2 9 2 3 2" xfId="18801"/>
    <cellStyle name="Normal 11 2 9 2 3 3" xfId="18802"/>
    <cellStyle name="Normal 11 2 9 2 3 4" xfId="18803"/>
    <cellStyle name="Normal 11 2 9 2 4" xfId="18804"/>
    <cellStyle name="Normal 11 2 9 2 4 2" xfId="18805"/>
    <cellStyle name="Normal 11 2 9 2 4 3" xfId="18806"/>
    <cellStyle name="Normal 11 2 9 2 4 4" xfId="18807"/>
    <cellStyle name="Normal 11 2 9 2 5" xfId="18808"/>
    <cellStyle name="Normal 11 2 9 2 5 2" xfId="18809"/>
    <cellStyle name="Normal 11 2 9 2 5 3" xfId="18810"/>
    <cellStyle name="Normal 11 2 9 2 5 4" xfId="18811"/>
    <cellStyle name="Normal 11 2 9 2 6" xfId="18812"/>
    <cellStyle name="Normal 11 2 9 2 6 2" xfId="18813"/>
    <cellStyle name="Normal 11 2 9 2 7" xfId="18814"/>
    <cellStyle name="Normal 11 2 9 2 7 2" xfId="18815"/>
    <cellStyle name="Normal 11 2 9 2 8" xfId="18816"/>
    <cellStyle name="Normal 11 2 9 2 8 2" xfId="18817"/>
    <cellStyle name="Normal 11 2 9 2 9" xfId="18818"/>
    <cellStyle name="Normal 11 2 9 2 9 2" xfId="18819"/>
    <cellStyle name="Normal 11 2 9 3" xfId="11649"/>
    <cellStyle name="Normal 11 2 9 3 2" xfId="18820"/>
    <cellStyle name="Normal 11 2 9 3 2 2" xfId="18821"/>
    <cellStyle name="Normal 11 2 9 3 2 3" xfId="18822"/>
    <cellStyle name="Normal 11 2 9 3 2 4" xfId="18823"/>
    <cellStyle name="Normal 11 2 9 3 3" xfId="18824"/>
    <cellStyle name="Normal 11 2 9 3 3 2" xfId="18825"/>
    <cellStyle name="Normal 11 2 9 3 3 3" xfId="18826"/>
    <cellStyle name="Normal 11 2 9 3 4" xfId="18827"/>
    <cellStyle name="Normal 11 2 9 3 4 2" xfId="18828"/>
    <cellStyle name="Normal 11 2 9 3 5" xfId="18829"/>
    <cellStyle name="Normal 11 2 9 3 5 2" xfId="18830"/>
    <cellStyle name="Normal 11 2 9 3 6" xfId="18831"/>
    <cellStyle name="Normal 11 2 9 3 6 2" xfId="18832"/>
    <cellStyle name="Normal 11 2 9 3 7" xfId="18833"/>
    <cellStyle name="Normal 11 2 9 4" xfId="18783"/>
    <cellStyle name="Normal 11 2 9 4 2" xfId="18834"/>
    <cellStyle name="Normal 11 2 9 4 3" xfId="18835"/>
    <cellStyle name="Normal 11 2 9 4 4" xfId="18836"/>
    <cellStyle name="Normal 11 2 9 5" xfId="18837"/>
    <cellStyle name="Normal 11 2 9 5 2" xfId="18838"/>
    <cellStyle name="Normal 11 2 9 5 3" xfId="18839"/>
    <cellStyle name="Normal 11 2 9 5 4" xfId="18840"/>
    <cellStyle name="Normal 11 2 9 6" xfId="18841"/>
    <cellStyle name="Normal 11 2 9 6 2" xfId="18842"/>
    <cellStyle name="Normal 11 2 9 6 3" xfId="18843"/>
    <cellStyle name="Normal 11 2 9 6 4" xfId="18844"/>
    <cellStyle name="Normal 11 2 9 7" xfId="18845"/>
    <cellStyle name="Normal 11 2 9 7 2" xfId="18846"/>
    <cellStyle name="Normal 11 2 9 7 3" xfId="18847"/>
    <cellStyle name="Normal 11 2 9 8" xfId="18848"/>
    <cellStyle name="Normal 11 2 9 8 2" xfId="18849"/>
    <cellStyle name="Normal 11 2 9 9" xfId="18850"/>
    <cellStyle name="Normal 11 2 9 9 2" xfId="18851"/>
    <cellStyle name="Normal 11 20" xfId="1211"/>
    <cellStyle name="Normal 11 20 10" xfId="18852"/>
    <cellStyle name="Normal 11 20 11" xfId="18853"/>
    <cellStyle name="Normal 11 20 2" xfId="18854"/>
    <cellStyle name="Normal 11 20 2 2" xfId="18855"/>
    <cellStyle name="Normal 11 20 2 3" xfId="18856"/>
    <cellStyle name="Normal 11 20 2 4" xfId="18857"/>
    <cellStyle name="Normal 11 20 3" xfId="18858"/>
    <cellStyle name="Normal 11 20 3 2" xfId="18859"/>
    <cellStyle name="Normal 11 20 3 3" xfId="18860"/>
    <cellStyle name="Normal 11 20 3 4" xfId="18861"/>
    <cellStyle name="Normal 11 20 4" xfId="18862"/>
    <cellStyle name="Normal 11 20 4 2" xfId="18863"/>
    <cellStyle name="Normal 11 20 4 3" xfId="18864"/>
    <cellStyle name="Normal 11 20 5" xfId="18865"/>
    <cellStyle name="Normal 11 20 5 2" xfId="18866"/>
    <cellStyle name="Normal 11 20 5 3" xfId="18867"/>
    <cellStyle name="Normal 11 20 6" xfId="18868"/>
    <cellStyle name="Normal 11 20 6 2" xfId="18869"/>
    <cellStyle name="Normal 11 20 7" xfId="18870"/>
    <cellStyle name="Normal 11 20 7 2" xfId="18871"/>
    <cellStyle name="Normal 11 20 8" xfId="18872"/>
    <cellStyle name="Normal 11 20 9" xfId="18873"/>
    <cellStyle name="Normal 11 21" xfId="1212"/>
    <cellStyle name="Normal 11 21 2" xfId="18874"/>
    <cellStyle name="Normal 11 21 2 2" xfId="18875"/>
    <cellStyle name="Normal 11 21 3" xfId="18876"/>
    <cellStyle name="Normal 11 21 4" xfId="18877"/>
    <cellStyle name="Normal 11 21 5" xfId="18878"/>
    <cellStyle name="Normal 11 21 6" xfId="18879"/>
    <cellStyle name="Normal 11 21 7" xfId="18880"/>
    <cellStyle name="Normal 11 22" xfId="1213"/>
    <cellStyle name="Normal 11 22 2" xfId="18881"/>
    <cellStyle name="Normal 11 22 3" xfId="18882"/>
    <cellStyle name="Normal 11 22 4" xfId="18883"/>
    <cellStyle name="Normal 11 23" xfId="1214"/>
    <cellStyle name="Normal 11 23 2" xfId="18884"/>
    <cellStyle name="Normal 11 23 3" xfId="18885"/>
    <cellStyle name="Normal 11 23 4" xfId="18886"/>
    <cellStyle name="Normal 11 24" xfId="1215"/>
    <cellStyle name="Normal 11 24 2" xfId="18887"/>
    <cellStyle name="Normal 11 24 3" xfId="18888"/>
    <cellStyle name="Normal 11 25" xfId="1216"/>
    <cellStyle name="Normal 11 25 2" xfId="18889"/>
    <cellStyle name="Normal 11 25 3" xfId="18890"/>
    <cellStyle name="Normal 11 26" xfId="1217"/>
    <cellStyle name="Normal 11 26 2" xfId="18891"/>
    <cellStyle name="Normal 11 27" xfId="1218"/>
    <cellStyle name="Normal 11 27 2" xfId="18892"/>
    <cellStyle name="Normal 11 28" xfId="11879"/>
    <cellStyle name="Normal 11 29" xfId="16941"/>
    <cellStyle name="Normal 11 3" xfId="19"/>
    <cellStyle name="Normal 11 3 10" xfId="20"/>
    <cellStyle name="Normal 11 3 10 10" xfId="18895"/>
    <cellStyle name="Normal 11 3 10 10 2" xfId="18896"/>
    <cellStyle name="Normal 11 3 10 11" xfId="18897"/>
    <cellStyle name="Normal 11 3 10 12" xfId="18898"/>
    <cellStyle name="Normal 11 3 10 13" xfId="18899"/>
    <cellStyle name="Normal 11 3 10 14" xfId="18900"/>
    <cellStyle name="Normal 11 3 10 15" xfId="18901"/>
    <cellStyle name="Normal 11 3 10 16" xfId="18902"/>
    <cellStyle name="Normal 11 3 10 2" xfId="1220"/>
    <cellStyle name="Normal 11 3 10 2 10" xfId="18903"/>
    <cellStyle name="Normal 11 3 10 2 11" xfId="18904"/>
    <cellStyle name="Normal 11 3 10 2 2" xfId="18905"/>
    <cellStyle name="Normal 11 3 10 2 2 2" xfId="18906"/>
    <cellStyle name="Normal 11 3 10 2 2 3" xfId="18907"/>
    <cellStyle name="Normal 11 3 10 2 2 4" xfId="18908"/>
    <cellStyle name="Normal 11 3 10 2 3" xfId="18909"/>
    <cellStyle name="Normal 11 3 10 2 3 2" xfId="18910"/>
    <cellStyle name="Normal 11 3 10 2 3 3" xfId="18911"/>
    <cellStyle name="Normal 11 3 10 2 3 4" xfId="18912"/>
    <cellStyle name="Normal 11 3 10 2 4" xfId="18913"/>
    <cellStyle name="Normal 11 3 10 2 4 2" xfId="18914"/>
    <cellStyle name="Normal 11 3 10 2 4 3" xfId="18915"/>
    <cellStyle name="Normal 11 3 10 2 4 4" xfId="18916"/>
    <cellStyle name="Normal 11 3 10 2 5" xfId="18917"/>
    <cellStyle name="Normal 11 3 10 2 5 2" xfId="18918"/>
    <cellStyle name="Normal 11 3 10 2 5 3" xfId="18919"/>
    <cellStyle name="Normal 11 3 10 2 5 4" xfId="18920"/>
    <cellStyle name="Normal 11 3 10 2 6" xfId="18921"/>
    <cellStyle name="Normal 11 3 10 2 6 2" xfId="18922"/>
    <cellStyle name="Normal 11 3 10 2 7" xfId="18923"/>
    <cellStyle name="Normal 11 3 10 2 7 2" xfId="18924"/>
    <cellStyle name="Normal 11 3 10 2 8" xfId="18925"/>
    <cellStyle name="Normal 11 3 10 2 8 2" xfId="18926"/>
    <cellStyle name="Normal 11 3 10 2 9" xfId="18927"/>
    <cellStyle name="Normal 11 3 10 2 9 2" xfId="18928"/>
    <cellStyle name="Normal 11 3 10 3" xfId="11624"/>
    <cellStyle name="Normal 11 3 10 3 2" xfId="18929"/>
    <cellStyle name="Normal 11 3 10 3 2 2" xfId="18930"/>
    <cellStyle name="Normal 11 3 10 3 2 3" xfId="18931"/>
    <cellStyle name="Normal 11 3 10 3 2 4" xfId="18932"/>
    <cellStyle name="Normal 11 3 10 3 3" xfId="18933"/>
    <cellStyle name="Normal 11 3 10 3 3 2" xfId="18934"/>
    <cellStyle name="Normal 11 3 10 3 3 3" xfId="18935"/>
    <cellStyle name="Normal 11 3 10 3 4" xfId="18936"/>
    <cellStyle name="Normal 11 3 10 3 4 2" xfId="18937"/>
    <cellStyle name="Normal 11 3 10 3 5" xfId="18938"/>
    <cellStyle name="Normal 11 3 10 3 5 2" xfId="18939"/>
    <cellStyle name="Normal 11 3 10 3 6" xfId="18940"/>
    <cellStyle name="Normal 11 3 10 3 6 2" xfId="18941"/>
    <cellStyle name="Normal 11 3 10 3 7" xfId="18942"/>
    <cellStyle name="Normal 11 3 10 4" xfId="18894"/>
    <cellStyle name="Normal 11 3 10 4 2" xfId="18943"/>
    <cellStyle name="Normal 11 3 10 4 3" xfId="18944"/>
    <cellStyle name="Normal 11 3 10 4 4" xfId="18945"/>
    <cellStyle name="Normal 11 3 10 5" xfId="18946"/>
    <cellStyle name="Normal 11 3 10 5 2" xfId="18947"/>
    <cellStyle name="Normal 11 3 10 5 3" xfId="18948"/>
    <cellStyle name="Normal 11 3 10 5 4" xfId="18949"/>
    <cellStyle name="Normal 11 3 10 6" xfId="18950"/>
    <cellStyle name="Normal 11 3 10 6 2" xfId="18951"/>
    <cellStyle name="Normal 11 3 10 6 3" xfId="18952"/>
    <cellStyle name="Normal 11 3 10 6 4" xfId="18953"/>
    <cellStyle name="Normal 11 3 10 7" xfId="18954"/>
    <cellStyle name="Normal 11 3 10 7 2" xfId="18955"/>
    <cellStyle name="Normal 11 3 10 7 3" xfId="18956"/>
    <cellStyle name="Normal 11 3 10 8" xfId="18957"/>
    <cellStyle name="Normal 11 3 10 8 2" xfId="18958"/>
    <cellStyle name="Normal 11 3 10 9" xfId="18959"/>
    <cellStyle name="Normal 11 3 10 9 2" xfId="18960"/>
    <cellStyle name="Normal 11 3 11" xfId="1219"/>
    <cellStyle name="Normal 11 3 11 10" xfId="18961"/>
    <cellStyle name="Normal 11 3 11 10 2" xfId="18962"/>
    <cellStyle name="Normal 11 3 11 11" xfId="18963"/>
    <cellStyle name="Normal 11 3 11 2" xfId="18964"/>
    <cellStyle name="Normal 11 3 11 2 2" xfId="18965"/>
    <cellStyle name="Normal 11 3 11 2 2 2" xfId="18966"/>
    <cellStyle name="Normal 11 3 11 2 2 3" xfId="18967"/>
    <cellStyle name="Normal 11 3 11 2 3" xfId="18968"/>
    <cellStyle name="Normal 11 3 11 2 3 2" xfId="18969"/>
    <cellStyle name="Normal 11 3 11 2 4" xfId="18970"/>
    <cellStyle name="Normal 11 3 11 2 4 2" xfId="18971"/>
    <cellStyle name="Normal 11 3 11 2 5" xfId="18972"/>
    <cellStyle name="Normal 11 3 11 2 5 2" xfId="18973"/>
    <cellStyle name="Normal 11 3 11 2 6" xfId="18974"/>
    <cellStyle name="Normal 11 3 11 2 7" xfId="18975"/>
    <cellStyle name="Normal 11 3 11 2 8" xfId="18976"/>
    <cellStyle name="Normal 11 3 11 2 9" xfId="18977"/>
    <cellStyle name="Normal 11 3 11 3" xfId="18978"/>
    <cellStyle name="Normal 11 3 11 3 2" xfId="18979"/>
    <cellStyle name="Normal 11 3 11 3 2 2" xfId="18980"/>
    <cellStyle name="Normal 11 3 11 3 2 3" xfId="18981"/>
    <cellStyle name="Normal 11 3 11 3 3" xfId="18982"/>
    <cellStyle name="Normal 11 3 11 3 3 2" xfId="18983"/>
    <cellStyle name="Normal 11 3 11 3 4" xfId="18984"/>
    <cellStyle name="Normal 11 3 11 3 5" xfId="18985"/>
    <cellStyle name="Normal 11 3 11 3 6" xfId="18986"/>
    <cellStyle name="Normal 11 3 11 3 7" xfId="18987"/>
    <cellStyle name="Normal 11 3 11 4" xfId="18988"/>
    <cellStyle name="Normal 11 3 11 4 2" xfId="18989"/>
    <cellStyle name="Normal 11 3 11 4 3" xfId="18990"/>
    <cellStyle name="Normal 11 3 11 4 4" xfId="18991"/>
    <cellStyle name="Normal 11 3 11 5" xfId="18992"/>
    <cellStyle name="Normal 11 3 11 5 2" xfId="18993"/>
    <cellStyle name="Normal 11 3 11 5 3" xfId="18994"/>
    <cellStyle name="Normal 11 3 11 5 4" xfId="18995"/>
    <cellStyle name="Normal 11 3 11 6" xfId="18996"/>
    <cellStyle name="Normal 11 3 11 6 2" xfId="18997"/>
    <cellStyle name="Normal 11 3 11 6 3" xfId="18998"/>
    <cellStyle name="Normal 11 3 11 7" xfId="18999"/>
    <cellStyle name="Normal 11 3 11 7 2" xfId="19000"/>
    <cellStyle name="Normal 11 3 11 8" xfId="19001"/>
    <cellStyle name="Normal 11 3 11 8 2" xfId="19002"/>
    <cellStyle name="Normal 11 3 11 9" xfId="19003"/>
    <cellStyle name="Normal 11 3 11 9 2" xfId="19004"/>
    <cellStyle name="Normal 11 3 12" xfId="1222"/>
    <cellStyle name="Normal 11 3 12 2" xfId="19005"/>
    <cellStyle name="Normal 11 3 12 2 2" xfId="19006"/>
    <cellStyle name="Normal 11 3 12 2 3" xfId="19007"/>
    <cellStyle name="Normal 11 3 12 2 4" xfId="19008"/>
    <cellStyle name="Normal 11 3 12 3" xfId="19009"/>
    <cellStyle name="Normal 11 3 12 3 2" xfId="19010"/>
    <cellStyle name="Normal 11 3 12 3 3" xfId="19011"/>
    <cellStyle name="Normal 11 3 12 4" xfId="19012"/>
    <cellStyle name="Normal 11 3 12 4 2" xfId="19013"/>
    <cellStyle name="Normal 11 3 12 4 3" xfId="19014"/>
    <cellStyle name="Normal 11 3 12 5" xfId="19015"/>
    <cellStyle name="Normal 11 3 12 5 2" xfId="19016"/>
    <cellStyle name="Normal 11 3 12 5 3" xfId="19017"/>
    <cellStyle name="Normal 11 3 12 6" xfId="19018"/>
    <cellStyle name="Normal 11 3 12 6 2" xfId="19019"/>
    <cellStyle name="Normal 11 3 12 7" xfId="19020"/>
    <cellStyle name="Normal 11 3 12 8" xfId="19021"/>
    <cellStyle name="Normal 11 3 12 9" xfId="19022"/>
    <cellStyle name="Normal 11 3 13" xfId="1223"/>
    <cellStyle name="Normal 11 3 13 2" xfId="19023"/>
    <cellStyle name="Normal 11 3 13 2 2" xfId="19024"/>
    <cellStyle name="Normal 11 3 13 2 3" xfId="19025"/>
    <cellStyle name="Normal 11 3 13 3" xfId="19026"/>
    <cellStyle name="Normal 11 3 13 3 2" xfId="19027"/>
    <cellStyle name="Normal 11 3 13 4" xfId="19028"/>
    <cellStyle name="Normal 11 3 13 5" xfId="19029"/>
    <cellStyle name="Normal 11 3 13 6" xfId="19030"/>
    <cellStyle name="Normal 11 3 13 7" xfId="19031"/>
    <cellStyle name="Normal 11 3 14" xfId="1224"/>
    <cellStyle name="Normal 11 3 14 2" xfId="19032"/>
    <cellStyle name="Normal 11 3 14 3" xfId="19033"/>
    <cellStyle name="Normal 11 3 14 4" xfId="19034"/>
    <cellStyle name="Normal 11 3 15" xfId="1225"/>
    <cellStyle name="Normal 11 3 15 2" xfId="19035"/>
    <cellStyle name="Normal 11 3 15 3" xfId="19036"/>
    <cellStyle name="Normal 11 3 15 4" xfId="19037"/>
    <cellStyle name="Normal 11 3 16" xfId="1226"/>
    <cellStyle name="Normal 11 3 16 2" xfId="19038"/>
    <cellStyle name="Normal 11 3 16 3" xfId="19039"/>
    <cellStyle name="Normal 11 3 16 4" xfId="19040"/>
    <cellStyle name="Normal 11 3 17" xfId="1227"/>
    <cellStyle name="Normal 11 3 17 2" xfId="19041"/>
    <cellStyle name="Normal 11 3 18" xfId="1228"/>
    <cellStyle name="Normal 11 3 18 2" xfId="19042"/>
    <cellStyle name="Normal 11 3 19" xfId="1229"/>
    <cellStyle name="Normal 11 3 19 2" xfId="19043"/>
    <cellStyle name="Normal 11 3 2" xfId="21"/>
    <cellStyle name="Normal 11 3 2 10" xfId="1231"/>
    <cellStyle name="Normal 11 3 2 10 2" xfId="19045"/>
    <cellStyle name="Normal 11 3 2 10 3" xfId="19046"/>
    <cellStyle name="Normal 11 3 2 11" xfId="1232"/>
    <cellStyle name="Normal 11 3 2 11 2" xfId="19047"/>
    <cellStyle name="Normal 11 3 2 12" xfId="1233"/>
    <cellStyle name="Normal 11 3 2 13" xfId="1234"/>
    <cellStyle name="Normal 11 3 2 14" xfId="1235"/>
    <cellStyle name="Normal 11 3 2 15" xfId="11610"/>
    <cellStyle name="Normal 11 3 2 16" xfId="19044"/>
    <cellStyle name="Normal 11 3 2 17" xfId="19048"/>
    <cellStyle name="Normal 11 3 2 18" xfId="19049"/>
    <cellStyle name="Normal 11 3 2 19" xfId="19050"/>
    <cellStyle name="Normal 11 3 2 2" xfId="1230"/>
    <cellStyle name="Normal 11 3 2 2 10" xfId="19051"/>
    <cellStyle name="Normal 11 3 2 2 11" xfId="19052"/>
    <cellStyle name="Normal 11 3 2 2 12" xfId="19053"/>
    <cellStyle name="Normal 11 3 2 2 13" xfId="19054"/>
    <cellStyle name="Normal 11 3 2 2 14" xfId="19055"/>
    <cellStyle name="Normal 11 3 2 2 15" xfId="19056"/>
    <cellStyle name="Normal 11 3 2 2 16" xfId="19057"/>
    <cellStyle name="Normal 11 3 2 2 17" xfId="19058"/>
    <cellStyle name="Normal 11 3 2 2 18" xfId="19059"/>
    <cellStyle name="Normal 11 3 2 2 2" xfId="19060"/>
    <cellStyle name="Normal 11 3 2 2 2 10" xfId="19061"/>
    <cellStyle name="Normal 11 3 2 2 2 11" xfId="19062"/>
    <cellStyle name="Normal 11 3 2 2 2 2" xfId="19063"/>
    <cellStyle name="Normal 11 3 2 2 2 2 2" xfId="19064"/>
    <cellStyle name="Normal 11 3 2 2 2 3" xfId="19065"/>
    <cellStyle name="Normal 11 3 2 2 2 3 2" xfId="19066"/>
    <cellStyle name="Normal 11 3 2 2 2 4" xfId="19067"/>
    <cellStyle name="Normal 11 3 2 2 2 4 2" xfId="19068"/>
    <cellStyle name="Normal 11 3 2 2 2 5" xfId="19069"/>
    <cellStyle name="Normal 11 3 2 2 2 5 2" xfId="19070"/>
    <cellStyle name="Normal 11 3 2 2 2 6" xfId="19071"/>
    <cellStyle name="Normal 11 3 2 2 2 7" xfId="19072"/>
    <cellStyle name="Normal 11 3 2 2 2 8" xfId="19073"/>
    <cellStyle name="Normal 11 3 2 2 2 9" xfId="19074"/>
    <cellStyle name="Normal 11 3 2 2 3" xfId="19075"/>
    <cellStyle name="Normal 11 3 2 2 3 2" xfId="19076"/>
    <cellStyle name="Normal 11 3 2 2 3 2 2" xfId="19077"/>
    <cellStyle name="Normal 11 3 2 2 3 3" xfId="19078"/>
    <cellStyle name="Normal 11 3 2 2 3 4" xfId="19079"/>
    <cellStyle name="Normal 11 3 2 2 3 5" xfId="19080"/>
    <cellStyle name="Normal 11 3 2 2 3 6" xfId="19081"/>
    <cellStyle name="Normal 11 3 2 2 3 7" xfId="19082"/>
    <cellStyle name="Normal 11 3 2 2 4" xfId="19083"/>
    <cellStyle name="Normal 11 3 2 2 4 2" xfId="19084"/>
    <cellStyle name="Normal 11 3 2 2 4 3" xfId="19085"/>
    <cellStyle name="Normal 11 3 2 2 4 4" xfId="19086"/>
    <cellStyle name="Normal 11 3 2 2 5" xfId="19087"/>
    <cellStyle name="Normal 11 3 2 2 5 2" xfId="19088"/>
    <cellStyle name="Normal 11 3 2 2 5 3" xfId="19089"/>
    <cellStyle name="Normal 11 3 2 2 5 4" xfId="19090"/>
    <cellStyle name="Normal 11 3 2 2 6" xfId="19091"/>
    <cellStyle name="Normal 11 3 2 2 6 2" xfId="19092"/>
    <cellStyle name="Normal 11 3 2 2 6 3" xfId="19093"/>
    <cellStyle name="Normal 11 3 2 2 7" xfId="19094"/>
    <cellStyle name="Normal 11 3 2 2 7 2" xfId="19095"/>
    <cellStyle name="Normal 11 3 2 2 7 3" xfId="19096"/>
    <cellStyle name="Normal 11 3 2 2 8" xfId="19097"/>
    <cellStyle name="Normal 11 3 2 2 8 2" xfId="19098"/>
    <cellStyle name="Normal 11 3 2 2 9" xfId="19099"/>
    <cellStyle name="Normal 11 3 2 2 9 2" xfId="19100"/>
    <cellStyle name="Normal 11 3 2 20" xfId="19101"/>
    <cellStyle name="Normal 11 3 2 21" xfId="19102"/>
    <cellStyle name="Normal 11 3 2 22" xfId="19103"/>
    <cellStyle name="Normal 11 3 2 3" xfId="1237"/>
    <cellStyle name="Normal 11 3 2 3 10" xfId="19104"/>
    <cellStyle name="Normal 11 3 2 3 11" xfId="19105"/>
    <cellStyle name="Normal 11 3 2 3 12" xfId="19106"/>
    <cellStyle name="Normal 11 3 2 3 13" xfId="19107"/>
    <cellStyle name="Normal 11 3 2 3 14" xfId="19108"/>
    <cellStyle name="Normal 11 3 2 3 15" xfId="19109"/>
    <cellStyle name="Normal 11 3 2 3 16" xfId="19110"/>
    <cellStyle name="Normal 11 3 2 3 17" xfId="19111"/>
    <cellStyle name="Normal 11 3 2 3 18" xfId="19112"/>
    <cellStyle name="Normal 11 3 2 3 2" xfId="19113"/>
    <cellStyle name="Normal 11 3 2 3 2 10" xfId="19114"/>
    <cellStyle name="Normal 11 3 2 3 2 11" xfId="19115"/>
    <cellStyle name="Normal 11 3 2 3 2 2" xfId="19116"/>
    <cellStyle name="Normal 11 3 2 3 2 2 2" xfId="19117"/>
    <cellStyle name="Normal 11 3 2 3 2 3" xfId="19118"/>
    <cellStyle name="Normal 11 3 2 3 2 3 2" xfId="19119"/>
    <cellStyle name="Normal 11 3 2 3 2 4" xfId="19120"/>
    <cellStyle name="Normal 11 3 2 3 2 4 2" xfId="19121"/>
    <cellStyle name="Normal 11 3 2 3 2 5" xfId="19122"/>
    <cellStyle name="Normal 11 3 2 3 2 5 2" xfId="19123"/>
    <cellStyle name="Normal 11 3 2 3 2 6" xfId="19124"/>
    <cellStyle name="Normal 11 3 2 3 2 7" xfId="19125"/>
    <cellStyle name="Normal 11 3 2 3 2 8" xfId="19126"/>
    <cellStyle name="Normal 11 3 2 3 2 9" xfId="19127"/>
    <cellStyle name="Normal 11 3 2 3 3" xfId="19128"/>
    <cellStyle name="Normal 11 3 2 3 3 2" xfId="19129"/>
    <cellStyle name="Normal 11 3 2 3 3 2 2" xfId="19130"/>
    <cellStyle name="Normal 11 3 2 3 3 3" xfId="19131"/>
    <cellStyle name="Normal 11 3 2 3 3 4" xfId="19132"/>
    <cellStyle name="Normal 11 3 2 3 3 5" xfId="19133"/>
    <cellStyle name="Normal 11 3 2 3 3 6" xfId="19134"/>
    <cellStyle name="Normal 11 3 2 3 3 7" xfId="19135"/>
    <cellStyle name="Normal 11 3 2 3 4" xfId="19136"/>
    <cellStyle name="Normal 11 3 2 3 4 2" xfId="19137"/>
    <cellStyle name="Normal 11 3 2 3 4 3" xfId="19138"/>
    <cellStyle name="Normal 11 3 2 3 5" xfId="19139"/>
    <cellStyle name="Normal 11 3 2 3 5 2" xfId="19140"/>
    <cellStyle name="Normal 11 3 2 3 5 3" xfId="19141"/>
    <cellStyle name="Normal 11 3 2 3 6" xfId="19142"/>
    <cellStyle name="Normal 11 3 2 3 6 2" xfId="19143"/>
    <cellStyle name="Normal 11 3 2 3 6 3" xfId="19144"/>
    <cellStyle name="Normal 11 3 2 3 7" xfId="19145"/>
    <cellStyle name="Normal 11 3 2 3 7 2" xfId="19146"/>
    <cellStyle name="Normal 11 3 2 3 7 3" xfId="19147"/>
    <cellStyle name="Normal 11 3 2 3 8" xfId="19148"/>
    <cellStyle name="Normal 11 3 2 3 9" xfId="19149"/>
    <cellStyle name="Normal 11 3 2 4" xfId="1238"/>
    <cellStyle name="Normal 11 3 2 4 10" xfId="19150"/>
    <cellStyle name="Normal 11 3 2 4 11" xfId="19151"/>
    <cellStyle name="Normal 11 3 2 4 12" xfId="19152"/>
    <cellStyle name="Normal 11 3 2 4 13" xfId="19153"/>
    <cellStyle name="Normal 11 3 2 4 14" xfId="19154"/>
    <cellStyle name="Normal 11 3 2 4 15" xfId="19155"/>
    <cellStyle name="Normal 11 3 2 4 16" xfId="19156"/>
    <cellStyle name="Normal 11 3 2 4 17" xfId="19157"/>
    <cellStyle name="Normal 11 3 2 4 2" xfId="19158"/>
    <cellStyle name="Normal 11 3 2 4 2 2" xfId="19159"/>
    <cellStyle name="Normal 11 3 2 4 2 2 2" xfId="19160"/>
    <cellStyle name="Normal 11 3 2 4 2 3" xfId="19161"/>
    <cellStyle name="Normal 11 3 2 4 2 3 2" xfId="19162"/>
    <cellStyle name="Normal 11 3 2 4 2 4" xfId="19163"/>
    <cellStyle name="Normal 11 3 2 4 2 4 2" xfId="19164"/>
    <cellStyle name="Normal 11 3 2 4 2 5" xfId="19165"/>
    <cellStyle name="Normal 11 3 2 4 2 5 2" xfId="19166"/>
    <cellStyle name="Normal 11 3 2 4 2 6" xfId="19167"/>
    <cellStyle name="Normal 11 3 2 4 2 7" xfId="19168"/>
    <cellStyle name="Normal 11 3 2 4 2 8" xfId="19169"/>
    <cellStyle name="Normal 11 3 2 4 2 9" xfId="19170"/>
    <cellStyle name="Normal 11 3 2 4 3" xfId="19171"/>
    <cellStyle name="Normal 11 3 2 4 3 2" xfId="19172"/>
    <cellStyle name="Normal 11 3 2 4 3 2 2" xfId="19173"/>
    <cellStyle name="Normal 11 3 2 4 3 3" xfId="19174"/>
    <cellStyle name="Normal 11 3 2 4 3 4" xfId="19175"/>
    <cellStyle name="Normal 11 3 2 4 3 5" xfId="19176"/>
    <cellStyle name="Normal 11 3 2 4 4" xfId="19177"/>
    <cellStyle name="Normal 11 3 2 4 4 2" xfId="19178"/>
    <cellStyle name="Normal 11 3 2 4 5" xfId="19179"/>
    <cellStyle name="Normal 11 3 2 4 5 2" xfId="19180"/>
    <cellStyle name="Normal 11 3 2 4 6" xfId="19181"/>
    <cellStyle name="Normal 11 3 2 4 6 2" xfId="19182"/>
    <cellStyle name="Normal 11 3 2 4 7" xfId="19183"/>
    <cellStyle name="Normal 11 3 2 4 7 2" xfId="19184"/>
    <cellStyle name="Normal 11 3 2 4 8" xfId="19185"/>
    <cellStyle name="Normal 11 3 2 4 9" xfId="19186"/>
    <cellStyle name="Normal 11 3 2 5" xfId="1239"/>
    <cellStyle name="Normal 11 3 2 5 10" xfId="19187"/>
    <cellStyle name="Normal 11 3 2 5 11" xfId="19188"/>
    <cellStyle name="Normal 11 3 2 5 12" xfId="19189"/>
    <cellStyle name="Normal 11 3 2 5 13" xfId="19190"/>
    <cellStyle name="Normal 11 3 2 5 14" xfId="19191"/>
    <cellStyle name="Normal 11 3 2 5 15" xfId="19192"/>
    <cellStyle name="Normal 11 3 2 5 16" xfId="19193"/>
    <cellStyle name="Normal 11 3 2 5 2" xfId="19194"/>
    <cellStyle name="Normal 11 3 2 5 2 2" xfId="19195"/>
    <cellStyle name="Normal 11 3 2 5 2 2 2" xfId="19196"/>
    <cellStyle name="Normal 11 3 2 5 2 3" xfId="19197"/>
    <cellStyle name="Normal 11 3 2 5 2 3 2" xfId="19198"/>
    <cellStyle name="Normal 11 3 2 5 2 4" xfId="19199"/>
    <cellStyle name="Normal 11 3 2 5 2 4 2" xfId="19200"/>
    <cellStyle name="Normal 11 3 2 5 2 5" xfId="19201"/>
    <cellStyle name="Normal 11 3 2 5 2 5 2" xfId="19202"/>
    <cellStyle name="Normal 11 3 2 5 2 6" xfId="19203"/>
    <cellStyle name="Normal 11 3 2 5 2 7" xfId="19204"/>
    <cellStyle name="Normal 11 3 2 5 2 8" xfId="19205"/>
    <cellStyle name="Normal 11 3 2 5 2 9" xfId="19206"/>
    <cellStyle name="Normal 11 3 2 5 3" xfId="19207"/>
    <cellStyle name="Normal 11 3 2 5 3 2" xfId="19208"/>
    <cellStyle name="Normal 11 3 2 5 3 2 2" xfId="19209"/>
    <cellStyle name="Normal 11 3 2 5 3 3" xfId="19210"/>
    <cellStyle name="Normal 11 3 2 5 3 4" xfId="19211"/>
    <cellStyle name="Normal 11 3 2 5 3 5" xfId="19212"/>
    <cellStyle name="Normal 11 3 2 5 4" xfId="19213"/>
    <cellStyle name="Normal 11 3 2 5 4 2" xfId="19214"/>
    <cellStyle name="Normal 11 3 2 5 5" xfId="19215"/>
    <cellStyle name="Normal 11 3 2 5 5 2" xfId="19216"/>
    <cellStyle name="Normal 11 3 2 5 6" xfId="19217"/>
    <cellStyle name="Normal 11 3 2 5 6 2" xfId="19218"/>
    <cellStyle name="Normal 11 3 2 5 7" xfId="19219"/>
    <cellStyle name="Normal 11 3 2 5 7 2" xfId="19220"/>
    <cellStyle name="Normal 11 3 2 5 8" xfId="19221"/>
    <cellStyle name="Normal 11 3 2 5 9" xfId="19222"/>
    <cellStyle name="Normal 11 3 2 6" xfId="1240"/>
    <cellStyle name="Normal 11 3 2 6 10" xfId="19223"/>
    <cellStyle name="Normal 11 3 2 6 11" xfId="19224"/>
    <cellStyle name="Normal 11 3 2 6 2" xfId="19225"/>
    <cellStyle name="Normal 11 3 2 6 2 2" xfId="19226"/>
    <cellStyle name="Normal 11 3 2 6 3" xfId="19227"/>
    <cellStyle name="Normal 11 3 2 6 3 2" xfId="19228"/>
    <cellStyle name="Normal 11 3 2 6 4" xfId="19229"/>
    <cellStyle name="Normal 11 3 2 6 4 2" xfId="19230"/>
    <cellStyle name="Normal 11 3 2 6 5" xfId="19231"/>
    <cellStyle name="Normal 11 3 2 6 5 2" xfId="19232"/>
    <cellStyle name="Normal 11 3 2 6 6" xfId="19233"/>
    <cellStyle name="Normal 11 3 2 6 7" xfId="19234"/>
    <cellStyle name="Normal 11 3 2 6 8" xfId="19235"/>
    <cellStyle name="Normal 11 3 2 6 9" xfId="19236"/>
    <cellStyle name="Normal 11 3 2 7" xfId="1241"/>
    <cellStyle name="Normal 11 3 2 7 2" xfId="19237"/>
    <cellStyle name="Normal 11 3 2 7 2 2" xfId="19238"/>
    <cellStyle name="Normal 11 3 2 7 3" xfId="19239"/>
    <cellStyle name="Normal 11 3 2 7 4" xfId="19240"/>
    <cellStyle name="Normal 11 3 2 7 5" xfId="19241"/>
    <cellStyle name="Normal 11 3 2 7 6" xfId="19242"/>
    <cellStyle name="Normal 11 3 2 8" xfId="1242"/>
    <cellStyle name="Normal 11 3 2 8 2" xfId="19243"/>
    <cellStyle name="Normal 11 3 2 8 3" xfId="19244"/>
    <cellStyle name="Normal 11 3 2 9" xfId="1243"/>
    <cellStyle name="Normal 11 3 2 9 2" xfId="19245"/>
    <cellStyle name="Normal 11 3 2 9 3" xfId="19246"/>
    <cellStyle name="Normal 11 3 20" xfId="1244"/>
    <cellStyle name="Normal 11 3 20 2" xfId="19247"/>
    <cellStyle name="Normal 11 3 21" xfId="1245"/>
    <cellStyle name="Normal 11 3 22" xfId="1246"/>
    <cellStyle name="Normal 11 3 23" xfId="11638"/>
    <cellStyle name="Normal 11 3 24" xfId="18893"/>
    <cellStyle name="Normal 11 3 25" xfId="19248"/>
    <cellStyle name="Normal 11 3 26" xfId="19249"/>
    <cellStyle name="Normal 11 3 27" xfId="19250"/>
    <cellStyle name="Normal 11 3 28" xfId="19251"/>
    <cellStyle name="Normal 11 3 29" xfId="19252"/>
    <cellStyle name="Normal 11 3 3" xfId="22"/>
    <cellStyle name="Normal 11 3 3 10" xfId="1248"/>
    <cellStyle name="Normal 11 3 3 10 2" xfId="19254"/>
    <cellStyle name="Normal 11 3 3 11" xfId="1249"/>
    <cellStyle name="Normal 11 3 3 12" xfId="1250"/>
    <cellStyle name="Normal 11 3 3 13" xfId="1251"/>
    <cellStyle name="Normal 11 3 3 14" xfId="1252"/>
    <cellStyle name="Normal 11 3 3 15" xfId="11596"/>
    <cellStyle name="Normal 11 3 3 16" xfId="19253"/>
    <cellStyle name="Normal 11 3 3 17" xfId="19255"/>
    <cellStyle name="Normal 11 3 3 18" xfId="19256"/>
    <cellStyle name="Normal 11 3 3 19" xfId="19257"/>
    <cellStyle name="Normal 11 3 3 2" xfId="1247"/>
    <cellStyle name="Normal 11 3 3 2 10" xfId="19258"/>
    <cellStyle name="Normal 11 3 3 2 11" xfId="19259"/>
    <cellStyle name="Normal 11 3 3 2 12" xfId="19260"/>
    <cellStyle name="Normal 11 3 3 2 13" xfId="19261"/>
    <cellStyle name="Normal 11 3 3 2 14" xfId="19262"/>
    <cellStyle name="Normal 11 3 3 2 15" xfId="19263"/>
    <cellStyle name="Normal 11 3 3 2 2" xfId="19264"/>
    <cellStyle name="Normal 11 3 3 2 2 2" xfId="19265"/>
    <cellStyle name="Normal 11 3 3 2 2 2 2" xfId="19266"/>
    <cellStyle name="Normal 11 3 3 2 2 3" xfId="19267"/>
    <cellStyle name="Normal 11 3 3 2 2 4" xfId="19268"/>
    <cellStyle name="Normal 11 3 3 2 2 5" xfId="19269"/>
    <cellStyle name="Normal 11 3 3 2 2 6" xfId="19270"/>
    <cellStyle name="Normal 11 3 3 2 2 7" xfId="19271"/>
    <cellStyle name="Normal 11 3 3 2 3" xfId="19272"/>
    <cellStyle name="Normal 11 3 3 2 3 2" xfId="19273"/>
    <cellStyle name="Normal 11 3 3 2 3 3" xfId="19274"/>
    <cellStyle name="Normal 11 3 3 2 3 4" xfId="19275"/>
    <cellStyle name="Normal 11 3 3 2 4" xfId="19276"/>
    <cellStyle name="Normal 11 3 3 2 4 2" xfId="19277"/>
    <cellStyle name="Normal 11 3 3 2 4 3" xfId="19278"/>
    <cellStyle name="Normal 11 3 3 2 4 4" xfId="19279"/>
    <cellStyle name="Normal 11 3 3 2 5" xfId="19280"/>
    <cellStyle name="Normal 11 3 3 2 5 2" xfId="19281"/>
    <cellStyle name="Normal 11 3 3 2 5 3" xfId="19282"/>
    <cellStyle name="Normal 11 3 3 2 5 4" xfId="19283"/>
    <cellStyle name="Normal 11 3 3 2 6" xfId="19284"/>
    <cellStyle name="Normal 11 3 3 2 6 2" xfId="19285"/>
    <cellStyle name="Normal 11 3 3 2 6 3" xfId="19286"/>
    <cellStyle name="Normal 11 3 3 2 7" xfId="19287"/>
    <cellStyle name="Normal 11 3 3 2 7 2" xfId="19288"/>
    <cellStyle name="Normal 11 3 3 2 8" xfId="19289"/>
    <cellStyle name="Normal 11 3 3 2 8 2" xfId="19290"/>
    <cellStyle name="Normal 11 3 3 2 9" xfId="19291"/>
    <cellStyle name="Normal 11 3 3 2 9 2" xfId="19292"/>
    <cellStyle name="Normal 11 3 3 20" xfId="19293"/>
    <cellStyle name="Normal 11 3 3 3" xfId="1254"/>
    <cellStyle name="Normal 11 3 3 3 2" xfId="19294"/>
    <cellStyle name="Normal 11 3 3 3 2 2" xfId="19295"/>
    <cellStyle name="Normal 11 3 3 3 2 3" xfId="19296"/>
    <cellStyle name="Normal 11 3 3 3 2 4" xfId="19297"/>
    <cellStyle name="Normal 11 3 3 3 3" xfId="19298"/>
    <cellStyle name="Normal 11 3 3 3 3 2" xfId="19299"/>
    <cellStyle name="Normal 11 3 3 3 3 3" xfId="19300"/>
    <cellStyle name="Normal 11 3 3 3 4" xfId="19301"/>
    <cellStyle name="Normal 11 3 3 3 4 2" xfId="19302"/>
    <cellStyle name="Normal 11 3 3 3 5" xfId="19303"/>
    <cellStyle name="Normal 11 3 3 3 5 2" xfId="19304"/>
    <cellStyle name="Normal 11 3 3 3 6" xfId="19305"/>
    <cellStyle name="Normal 11 3 3 3 6 2" xfId="19306"/>
    <cellStyle name="Normal 11 3 3 3 7" xfId="19307"/>
    <cellStyle name="Normal 11 3 3 4" xfId="1255"/>
    <cellStyle name="Normal 11 3 3 4 2" xfId="19308"/>
    <cellStyle name="Normal 11 3 3 4 3" xfId="19309"/>
    <cellStyle name="Normal 11 3 3 4 4" xfId="19310"/>
    <cellStyle name="Normal 11 3 3 5" xfId="1256"/>
    <cellStyle name="Normal 11 3 3 5 2" xfId="19311"/>
    <cellStyle name="Normal 11 3 3 5 3" xfId="19312"/>
    <cellStyle name="Normal 11 3 3 5 4" xfId="19313"/>
    <cellStyle name="Normal 11 3 3 6" xfId="1257"/>
    <cellStyle name="Normal 11 3 3 6 2" xfId="19314"/>
    <cellStyle name="Normal 11 3 3 6 3" xfId="19315"/>
    <cellStyle name="Normal 11 3 3 6 4" xfId="19316"/>
    <cellStyle name="Normal 11 3 3 7" xfId="1258"/>
    <cellStyle name="Normal 11 3 3 7 2" xfId="19317"/>
    <cellStyle name="Normal 11 3 3 7 3" xfId="19318"/>
    <cellStyle name="Normal 11 3 3 8" xfId="1259"/>
    <cellStyle name="Normal 11 3 3 8 2" xfId="19319"/>
    <cellStyle name="Normal 11 3 3 9" xfId="1260"/>
    <cellStyle name="Normal 11 3 3 9 2" xfId="19320"/>
    <cellStyle name="Normal 11 3 30" xfId="19321"/>
    <cellStyle name="Normal 11 3 4" xfId="23"/>
    <cellStyle name="Normal 11 3 4 10" xfId="1262"/>
    <cellStyle name="Normal 11 3 4 10 2" xfId="19323"/>
    <cellStyle name="Normal 11 3 4 11" xfId="1263"/>
    <cellStyle name="Normal 11 3 4 12" xfId="1264"/>
    <cellStyle name="Normal 11 3 4 13" xfId="1265"/>
    <cellStyle name="Normal 11 3 4 14" xfId="1266"/>
    <cellStyle name="Normal 11 3 4 15" xfId="11582"/>
    <cellStyle name="Normal 11 3 4 16" xfId="19322"/>
    <cellStyle name="Normal 11 3 4 17" xfId="19324"/>
    <cellStyle name="Normal 11 3 4 18" xfId="19325"/>
    <cellStyle name="Normal 11 3 4 19" xfId="19326"/>
    <cellStyle name="Normal 11 3 4 2" xfId="1261"/>
    <cellStyle name="Normal 11 3 4 2 10" xfId="19327"/>
    <cellStyle name="Normal 11 3 4 2 11" xfId="19328"/>
    <cellStyle name="Normal 11 3 4 2 12" xfId="19329"/>
    <cellStyle name="Normal 11 3 4 2 13" xfId="19330"/>
    <cellStyle name="Normal 11 3 4 2 14" xfId="19331"/>
    <cellStyle name="Normal 11 3 4 2 15" xfId="19332"/>
    <cellStyle name="Normal 11 3 4 2 2" xfId="19333"/>
    <cellStyle name="Normal 11 3 4 2 2 2" xfId="19334"/>
    <cellStyle name="Normal 11 3 4 2 2 2 2" xfId="19335"/>
    <cellStyle name="Normal 11 3 4 2 2 3" xfId="19336"/>
    <cellStyle name="Normal 11 3 4 2 2 4" xfId="19337"/>
    <cellStyle name="Normal 11 3 4 2 2 5" xfId="19338"/>
    <cellStyle name="Normal 11 3 4 2 2 6" xfId="19339"/>
    <cellStyle name="Normal 11 3 4 2 2 7" xfId="19340"/>
    <cellStyle name="Normal 11 3 4 2 3" xfId="19341"/>
    <cellStyle name="Normal 11 3 4 2 3 2" xfId="19342"/>
    <cellStyle name="Normal 11 3 4 2 3 3" xfId="19343"/>
    <cellStyle name="Normal 11 3 4 2 3 4" xfId="19344"/>
    <cellStyle name="Normal 11 3 4 2 4" xfId="19345"/>
    <cellStyle name="Normal 11 3 4 2 4 2" xfId="19346"/>
    <cellStyle name="Normal 11 3 4 2 4 3" xfId="19347"/>
    <cellStyle name="Normal 11 3 4 2 4 4" xfId="19348"/>
    <cellStyle name="Normal 11 3 4 2 5" xfId="19349"/>
    <cellStyle name="Normal 11 3 4 2 5 2" xfId="19350"/>
    <cellStyle name="Normal 11 3 4 2 5 3" xfId="19351"/>
    <cellStyle name="Normal 11 3 4 2 5 4" xfId="19352"/>
    <cellStyle name="Normal 11 3 4 2 6" xfId="19353"/>
    <cellStyle name="Normal 11 3 4 2 6 2" xfId="19354"/>
    <cellStyle name="Normal 11 3 4 2 6 3" xfId="19355"/>
    <cellStyle name="Normal 11 3 4 2 7" xfId="19356"/>
    <cellStyle name="Normal 11 3 4 2 7 2" xfId="19357"/>
    <cellStyle name="Normal 11 3 4 2 8" xfId="19358"/>
    <cellStyle name="Normal 11 3 4 2 8 2" xfId="19359"/>
    <cellStyle name="Normal 11 3 4 2 9" xfId="19360"/>
    <cellStyle name="Normal 11 3 4 2 9 2" xfId="19361"/>
    <cellStyle name="Normal 11 3 4 20" xfId="19362"/>
    <cellStyle name="Normal 11 3 4 3" xfId="1268"/>
    <cellStyle name="Normal 11 3 4 3 2" xfId="19363"/>
    <cellStyle name="Normal 11 3 4 3 2 2" xfId="19364"/>
    <cellStyle name="Normal 11 3 4 3 2 3" xfId="19365"/>
    <cellStyle name="Normal 11 3 4 3 2 4" xfId="19366"/>
    <cellStyle name="Normal 11 3 4 3 3" xfId="19367"/>
    <cellStyle name="Normal 11 3 4 3 3 2" xfId="19368"/>
    <cellStyle name="Normal 11 3 4 3 3 3" xfId="19369"/>
    <cellStyle name="Normal 11 3 4 3 4" xfId="19370"/>
    <cellStyle name="Normal 11 3 4 3 4 2" xfId="19371"/>
    <cellStyle name="Normal 11 3 4 3 5" xfId="19372"/>
    <cellStyle name="Normal 11 3 4 3 5 2" xfId="19373"/>
    <cellStyle name="Normal 11 3 4 3 6" xfId="19374"/>
    <cellStyle name="Normal 11 3 4 3 6 2" xfId="19375"/>
    <cellStyle name="Normal 11 3 4 3 7" xfId="19376"/>
    <cellStyle name="Normal 11 3 4 4" xfId="1269"/>
    <cellStyle name="Normal 11 3 4 4 2" xfId="19377"/>
    <cellStyle name="Normal 11 3 4 4 3" xfId="19378"/>
    <cellStyle name="Normal 11 3 4 4 4" xfId="19379"/>
    <cellStyle name="Normal 11 3 4 5" xfId="1270"/>
    <cellStyle name="Normal 11 3 4 5 2" xfId="19380"/>
    <cellStyle name="Normal 11 3 4 5 3" xfId="19381"/>
    <cellStyle name="Normal 11 3 4 5 4" xfId="19382"/>
    <cellStyle name="Normal 11 3 4 6" xfId="1271"/>
    <cellStyle name="Normal 11 3 4 6 2" xfId="19383"/>
    <cellStyle name="Normal 11 3 4 6 3" xfId="19384"/>
    <cellStyle name="Normal 11 3 4 6 4" xfId="19385"/>
    <cellStyle name="Normal 11 3 4 7" xfId="1272"/>
    <cellStyle name="Normal 11 3 4 7 2" xfId="19386"/>
    <cellStyle name="Normal 11 3 4 7 3" xfId="19387"/>
    <cellStyle name="Normal 11 3 4 8" xfId="1273"/>
    <cellStyle name="Normal 11 3 4 8 2" xfId="19388"/>
    <cellStyle name="Normal 11 3 4 9" xfId="1274"/>
    <cellStyle name="Normal 11 3 4 9 2" xfId="19389"/>
    <cellStyle name="Normal 11 3 5" xfId="24"/>
    <cellStyle name="Normal 11 3 5 10" xfId="1276"/>
    <cellStyle name="Normal 11 3 5 10 2" xfId="19391"/>
    <cellStyle name="Normal 11 3 5 11" xfId="1277"/>
    <cellStyle name="Normal 11 3 5 12" xfId="1278"/>
    <cellStyle name="Normal 11 3 5 13" xfId="1279"/>
    <cellStyle name="Normal 11 3 5 14" xfId="1280"/>
    <cellStyle name="Normal 11 3 5 15" xfId="11568"/>
    <cellStyle name="Normal 11 3 5 16" xfId="19390"/>
    <cellStyle name="Normal 11 3 5 17" xfId="19392"/>
    <cellStyle name="Normal 11 3 5 18" xfId="19393"/>
    <cellStyle name="Normal 11 3 5 19" xfId="19394"/>
    <cellStyle name="Normal 11 3 5 2" xfId="1275"/>
    <cellStyle name="Normal 11 3 5 2 10" xfId="19395"/>
    <cellStyle name="Normal 11 3 5 2 11" xfId="19396"/>
    <cellStyle name="Normal 11 3 5 2 12" xfId="19397"/>
    <cellStyle name="Normal 11 3 5 2 13" xfId="19398"/>
    <cellStyle name="Normal 11 3 5 2 14" xfId="19399"/>
    <cellStyle name="Normal 11 3 5 2 15" xfId="19400"/>
    <cellStyle name="Normal 11 3 5 2 2" xfId="19401"/>
    <cellStyle name="Normal 11 3 5 2 2 2" xfId="19402"/>
    <cellStyle name="Normal 11 3 5 2 2 2 2" xfId="19403"/>
    <cellStyle name="Normal 11 3 5 2 2 3" xfId="19404"/>
    <cellStyle name="Normal 11 3 5 2 2 4" xfId="19405"/>
    <cellStyle name="Normal 11 3 5 2 2 5" xfId="19406"/>
    <cellStyle name="Normal 11 3 5 2 2 6" xfId="19407"/>
    <cellStyle name="Normal 11 3 5 2 2 7" xfId="19408"/>
    <cellStyle name="Normal 11 3 5 2 3" xfId="19409"/>
    <cellStyle name="Normal 11 3 5 2 3 2" xfId="19410"/>
    <cellStyle name="Normal 11 3 5 2 3 3" xfId="19411"/>
    <cellStyle name="Normal 11 3 5 2 3 4" xfId="19412"/>
    <cellStyle name="Normal 11 3 5 2 4" xfId="19413"/>
    <cellStyle name="Normal 11 3 5 2 4 2" xfId="19414"/>
    <cellStyle name="Normal 11 3 5 2 4 3" xfId="19415"/>
    <cellStyle name="Normal 11 3 5 2 4 4" xfId="19416"/>
    <cellStyle name="Normal 11 3 5 2 5" xfId="19417"/>
    <cellStyle name="Normal 11 3 5 2 5 2" xfId="19418"/>
    <cellStyle name="Normal 11 3 5 2 5 3" xfId="19419"/>
    <cellStyle name="Normal 11 3 5 2 5 4" xfId="19420"/>
    <cellStyle name="Normal 11 3 5 2 6" xfId="19421"/>
    <cellStyle name="Normal 11 3 5 2 6 2" xfId="19422"/>
    <cellStyle name="Normal 11 3 5 2 6 3" xfId="19423"/>
    <cellStyle name="Normal 11 3 5 2 7" xfId="19424"/>
    <cellStyle name="Normal 11 3 5 2 7 2" xfId="19425"/>
    <cellStyle name="Normal 11 3 5 2 8" xfId="19426"/>
    <cellStyle name="Normal 11 3 5 2 8 2" xfId="19427"/>
    <cellStyle name="Normal 11 3 5 2 9" xfId="19428"/>
    <cellStyle name="Normal 11 3 5 2 9 2" xfId="19429"/>
    <cellStyle name="Normal 11 3 5 20" xfId="19430"/>
    <cellStyle name="Normal 11 3 5 3" xfId="1282"/>
    <cellStyle name="Normal 11 3 5 3 2" xfId="19431"/>
    <cellStyle name="Normal 11 3 5 3 2 2" xfId="19432"/>
    <cellStyle name="Normal 11 3 5 3 2 3" xfId="19433"/>
    <cellStyle name="Normal 11 3 5 3 2 4" xfId="19434"/>
    <cellStyle name="Normal 11 3 5 3 3" xfId="19435"/>
    <cellStyle name="Normal 11 3 5 3 3 2" xfId="19436"/>
    <cellStyle name="Normal 11 3 5 3 3 3" xfId="19437"/>
    <cellStyle name="Normal 11 3 5 3 4" xfId="19438"/>
    <cellStyle name="Normal 11 3 5 3 4 2" xfId="19439"/>
    <cellStyle name="Normal 11 3 5 3 5" xfId="19440"/>
    <cellStyle name="Normal 11 3 5 3 5 2" xfId="19441"/>
    <cellStyle name="Normal 11 3 5 3 6" xfId="19442"/>
    <cellStyle name="Normal 11 3 5 3 6 2" xfId="19443"/>
    <cellStyle name="Normal 11 3 5 3 7" xfId="19444"/>
    <cellStyle name="Normal 11 3 5 4" xfId="1283"/>
    <cellStyle name="Normal 11 3 5 4 2" xfId="19445"/>
    <cellStyle name="Normal 11 3 5 4 3" xfId="19446"/>
    <cellStyle name="Normal 11 3 5 4 4" xfId="19447"/>
    <cellStyle name="Normal 11 3 5 5" xfId="1284"/>
    <cellStyle name="Normal 11 3 5 5 2" xfId="19448"/>
    <cellStyle name="Normal 11 3 5 5 3" xfId="19449"/>
    <cellStyle name="Normal 11 3 5 5 4" xfId="19450"/>
    <cellStyle name="Normal 11 3 5 6" xfId="1285"/>
    <cellStyle name="Normal 11 3 5 6 2" xfId="19451"/>
    <cellStyle name="Normal 11 3 5 6 3" xfId="19452"/>
    <cellStyle name="Normal 11 3 5 6 4" xfId="19453"/>
    <cellStyle name="Normal 11 3 5 7" xfId="1286"/>
    <cellStyle name="Normal 11 3 5 7 2" xfId="19454"/>
    <cellStyle name="Normal 11 3 5 7 3" xfId="19455"/>
    <cellStyle name="Normal 11 3 5 8" xfId="1287"/>
    <cellStyle name="Normal 11 3 5 8 2" xfId="19456"/>
    <cellStyle name="Normal 11 3 5 9" xfId="1288"/>
    <cellStyle name="Normal 11 3 5 9 2" xfId="19457"/>
    <cellStyle name="Normal 11 3 6" xfId="25"/>
    <cellStyle name="Normal 11 3 6 10" xfId="1290"/>
    <cellStyle name="Normal 11 3 6 10 2" xfId="19459"/>
    <cellStyle name="Normal 11 3 6 11" xfId="1291"/>
    <cellStyle name="Normal 11 3 6 12" xfId="1292"/>
    <cellStyle name="Normal 11 3 6 13" xfId="1293"/>
    <cellStyle name="Normal 11 3 6 14" xfId="1294"/>
    <cellStyle name="Normal 11 3 6 15" xfId="11551"/>
    <cellStyle name="Normal 11 3 6 16" xfId="19458"/>
    <cellStyle name="Normal 11 3 6 17" xfId="19460"/>
    <cellStyle name="Normal 11 3 6 18" xfId="19461"/>
    <cellStyle name="Normal 11 3 6 19" xfId="19462"/>
    <cellStyle name="Normal 11 3 6 2" xfId="1289"/>
    <cellStyle name="Normal 11 3 6 2 10" xfId="19463"/>
    <cellStyle name="Normal 11 3 6 2 11" xfId="19464"/>
    <cellStyle name="Normal 11 3 6 2 12" xfId="19465"/>
    <cellStyle name="Normal 11 3 6 2 13" xfId="19466"/>
    <cellStyle name="Normal 11 3 6 2 14" xfId="19467"/>
    <cellStyle name="Normal 11 3 6 2 15" xfId="19468"/>
    <cellStyle name="Normal 11 3 6 2 2" xfId="19469"/>
    <cellStyle name="Normal 11 3 6 2 2 2" xfId="19470"/>
    <cellStyle name="Normal 11 3 6 2 2 2 2" xfId="19471"/>
    <cellStyle name="Normal 11 3 6 2 2 3" xfId="19472"/>
    <cellStyle name="Normal 11 3 6 2 2 4" xfId="19473"/>
    <cellStyle name="Normal 11 3 6 2 2 5" xfId="19474"/>
    <cellStyle name="Normal 11 3 6 2 2 6" xfId="19475"/>
    <cellStyle name="Normal 11 3 6 2 2 7" xfId="19476"/>
    <cellStyle name="Normal 11 3 6 2 3" xfId="19477"/>
    <cellStyle name="Normal 11 3 6 2 3 2" xfId="19478"/>
    <cellStyle name="Normal 11 3 6 2 3 3" xfId="19479"/>
    <cellStyle name="Normal 11 3 6 2 3 4" xfId="19480"/>
    <cellStyle name="Normal 11 3 6 2 4" xfId="19481"/>
    <cellStyle name="Normal 11 3 6 2 4 2" xfId="19482"/>
    <cellStyle name="Normal 11 3 6 2 4 3" xfId="19483"/>
    <cellStyle name="Normal 11 3 6 2 4 4" xfId="19484"/>
    <cellStyle name="Normal 11 3 6 2 5" xfId="19485"/>
    <cellStyle name="Normal 11 3 6 2 5 2" xfId="19486"/>
    <cellStyle name="Normal 11 3 6 2 5 3" xfId="19487"/>
    <cellStyle name="Normal 11 3 6 2 5 4" xfId="19488"/>
    <cellStyle name="Normal 11 3 6 2 6" xfId="19489"/>
    <cellStyle name="Normal 11 3 6 2 6 2" xfId="19490"/>
    <cellStyle name="Normal 11 3 6 2 6 3" xfId="19491"/>
    <cellStyle name="Normal 11 3 6 2 7" xfId="19492"/>
    <cellStyle name="Normal 11 3 6 2 7 2" xfId="19493"/>
    <cellStyle name="Normal 11 3 6 2 8" xfId="19494"/>
    <cellStyle name="Normal 11 3 6 2 8 2" xfId="19495"/>
    <cellStyle name="Normal 11 3 6 2 9" xfId="19496"/>
    <cellStyle name="Normal 11 3 6 2 9 2" xfId="19497"/>
    <cellStyle name="Normal 11 3 6 20" xfId="19498"/>
    <cellStyle name="Normal 11 3 6 3" xfId="1296"/>
    <cellStyle name="Normal 11 3 6 3 2" xfId="19499"/>
    <cellStyle name="Normal 11 3 6 3 2 2" xfId="19500"/>
    <cellStyle name="Normal 11 3 6 3 2 3" xfId="19501"/>
    <cellStyle name="Normal 11 3 6 3 2 4" xfId="19502"/>
    <cellStyle name="Normal 11 3 6 3 3" xfId="19503"/>
    <cellStyle name="Normal 11 3 6 3 3 2" xfId="19504"/>
    <cellStyle name="Normal 11 3 6 3 3 3" xfId="19505"/>
    <cellStyle name="Normal 11 3 6 3 4" xfId="19506"/>
    <cellStyle name="Normal 11 3 6 3 4 2" xfId="19507"/>
    <cellStyle name="Normal 11 3 6 3 5" xfId="19508"/>
    <cellStyle name="Normal 11 3 6 3 5 2" xfId="19509"/>
    <cellStyle name="Normal 11 3 6 3 6" xfId="19510"/>
    <cellStyle name="Normal 11 3 6 3 6 2" xfId="19511"/>
    <cellStyle name="Normal 11 3 6 3 7" xfId="19512"/>
    <cellStyle name="Normal 11 3 6 4" xfId="1297"/>
    <cellStyle name="Normal 11 3 6 4 2" xfId="19513"/>
    <cellStyle name="Normal 11 3 6 4 3" xfId="19514"/>
    <cellStyle name="Normal 11 3 6 4 4" xfId="19515"/>
    <cellStyle name="Normal 11 3 6 5" xfId="1298"/>
    <cellStyle name="Normal 11 3 6 5 2" xfId="19516"/>
    <cellStyle name="Normal 11 3 6 5 3" xfId="19517"/>
    <cellStyle name="Normal 11 3 6 5 4" xfId="19518"/>
    <cellStyle name="Normal 11 3 6 6" xfId="1299"/>
    <cellStyle name="Normal 11 3 6 6 2" xfId="19519"/>
    <cellStyle name="Normal 11 3 6 6 3" xfId="19520"/>
    <cellStyle name="Normal 11 3 6 6 4" xfId="19521"/>
    <cellStyle name="Normal 11 3 6 7" xfId="1300"/>
    <cellStyle name="Normal 11 3 6 7 2" xfId="19522"/>
    <cellStyle name="Normal 11 3 6 7 3" xfId="19523"/>
    <cellStyle name="Normal 11 3 6 8" xfId="1301"/>
    <cellStyle name="Normal 11 3 6 8 2" xfId="19524"/>
    <cellStyle name="Normal 11 3 6 9" xfId="1302"/>
    <cellStyle name="Normal 11 3 6 9 2" xfId="19525"/>
    <cellStyle name="Normal 11 3 7" xfId="26"/>
    <cellStyle name="Normal 11 3 7 10" xfId="1304"/>
    <cellStyle name="Normal 11 3 7 10 2" xfId="19527"/>
    <cellStyle name="Normal 11 3 7 11" xfId="1305"/>
    <cellStyle name="Normal 11 3 7 12" xfId="1306"/>
    <cellStyle name="Normal 11 3 7 13" xfId="1307"/>
    <cellStyle name="Normal 11 3 7 14" xfId="1308"/>
    <cellStyle name="Normal 11 3 7 15" xfId="11536"/>
    <cellStyle name="Normal 11 3 7 16" xfId="19526"/>
    <cellStyle name="Normal 11 3 7 17" xfId="19528"/>
    <cellStyle name="Normal 11 3 7 18" xfId="19529"/>
    <cellStyle name="Normal 11 3 7 19" xfId="19530"/>
    <cellStyle name="Normal 11 3 7 2" xfId="1303"/>
    <cellStyle name="Normal 11 3 7 2 10" xfId="19531"/>
    <cellStyle name="Normal 11 3 7 2 11" xfId="19532"/>
    <cellStyle name="Normal 11 3 7 2 12" xfId="19533"/>
    <cellStyle name="Normal 11 3 7 2 13" xfId="19534"/>
    <cellStyle name="Normal 11 3 7 2 14" xfId="19535"/>
    <cellStyle name="Normal 11 3 7 2 15" xfId="19536"/>
    <cellStyle name="Normal 11 3 7 2 2" xfId="19537"/>
    <cellStyle name="Normal 11 3 7 2 2 2" xfId="19538"/>
    <cellStyle name="Normal 11 3 7 2 2 2 2" xfId="19539"/>
    <cellStyle name="Normal 11 3 7 2 2 3" xfId="19540"/>
    <cellStyle name="Normal 11 3 7 2 2 4" xfId="19541"/>
    <cellStyle name="Normal 11 3 7 2 2 5" xfId="19542"/>
    <cellStyle name="Normal 11 3 7 2 2 6" xfId="19543"/>
    <cellStyle name="Normal 11 3 7 2 2 7" xfId="19544"/>
    <cellStyle name="Normal 11 3 7 2 3" xfId="19545"/>
    <cellStyle name="Normal 11 3 7 2 3 2" xfId="19546"/>
    <cellStyle name="Normal 11 3 7 2 3 3" xfId="19547"/>
    <cellStyle name="Normal 11 3 7 2 3 4" xfId="19548"/>
    <cellStyle name="Normal 11 3 7 2 4" xfId="19549"/>
    <cellStyle name="Normal 11 3 7 2 4 2" xfId="19550"/>
    <cellStyle name="Normal 11 3 7 2 4 3" xfId="19551"/>
    <cellStyle name="Normal 11 3 7 2 4 4" xfId="19552"/>
    <cellStyle name="Normal 11 3 7 2 5" xfId="19553"/>
    <cellStyle name="Normal 11 3 7 2 5 2" xfId="19554"/>
    <cellStyle name="Normal 11 3 7 2 5 3" xfId="19555"/>
    <cellStyle name="Normal 11 3 7 2 5 4" xfId="19556"/>
    <cellStyle name="Normal 11 3 7 2 6" xfId="19557"/>
    <cellStyle name="Normal 11 3 7 2 6 2" xfId="19558"/>
    <cellStyle name="Normal 11 3 7 2 6 3" xfId="19559"/>
    <cellStyle name="Normal 11 3 7 2 7" xfId="19560"/>
    <cellStyle name="Normal 11 3 7 2 7 2" xfId="19561"/>
    <cellStyle name="Normal 11 3 7 2 8" xfId="19562"/>
    <cellStyle name="Normal 11 3 7 2 8 2" xfId="19563"/>
    <cellStyle name="Normal 11 3 7 2 9" xfId="19564"/>
    <cellStyle name="Normal 11 3 7 2 9 2" xfId="19565"/>
    <cellStyle name="Normal 11 3 7 20" xfId="19566"/>
    <cellStyle name="Normal 11 3 7 3" xfId="1310"/>
    <cellStyle name="Normal 11 3 7 3 2" xfId="19567"/>
    <cellStyle name="Normal 11 3 7 3 2 2" xfId="19568"/>
    <cellStyle name="Normal 11 3 7 3 2 3" xfId="19569"/>
    <cellStyle name="Normal 11 3 7 3 2 4" xfId="19570"/>
    <cellStyle name="Normal 11 3 7 3 3" xfId="19571"/>
    <cellStyle name="Normal 11 3 7 3 3 2" xfId="19572"/>
    <cellStyle name="Normal 11 3 7 3 3 3" xfId="19573"/>
    <cellStyle name="Normal 11 3 7 3 4" xfId="19574"/>
    <cellStyle name="Normal 11 3 7 3 4 2" xfId="19575"/>
    <cellStyle name="Normal 11 3 7 3 5" xfId="19576"/>
    <cellStyle name="Normal 11 3 7 3 5 2" xfId="19577"/>
    <cellStyle name="Normal 11 3 7 3 6" xfId="19578"/>
    <cellStyle name="Normal 11 3 7 3 6 2" xfId="19579"/>
    <cellStyle name="Normal 11 3 7 3 7" xfId="19580"/>
    <cellStyle name="Normal 11 3 7 4" xfId="1311"/>
    <cellStyle name="Normal 11 3 7 4 2" xfId="19581"/>
    <cellStyle name="Normal 11 3 7 4 3" xfId="19582"/>
    <cellStyle name="Normal 11 3 7 4 4" xfId="19583"/>
    <cellStyle name="Normal 11 3 7 5" xfId="1312"/>
    <cellStyle name="Normal 11 3 7 5 2" xfId="19584"/>
    <cellStyle name="Normal 11 3 7 5 3" xfId="19585"/>
    <cellStyle name="Normal 11 3 7 5 4" xfId="19586"/>
    <cellStyle name="Normal 11 3 7 6" xfId="1313"/>
    <cellStyle name="Normal 11 3 7 6 2" xfId="19587"/>
    <cellStyle name="Normal 11 3 7 6 3" xfId="19588"/>
    <cellStyle name="Normal 11 3 7 6 4" xfId="19589"/>
    <cellStyle name="Normal 11 3 7 7" xfId="1314"/>
    <cellStyle name="Normal 11 3 7 7 2" xfId="19590"/>
    <cellStyle name="Normal 11 3 7 7 3" xfId="19591"/>
    <cellStyle name="Normal 11 3 7 8" xfId="1315"/>
    <cellStyle name="Normal 11 3 7 8 2" xfId="19592"/>
    <cellStyle name="Normal 11 3 7 9" xfId="1316"/>
    <cellStyle name="Normal 11 3 7 9 2" xfId="19593"/>
    <cellStyle name="Normal 11 3 8" xfId="27"/>
    <cellStyle name="Normal 11 3 8 10" xfId="1318"/>
    <cellStyle name="Normal 11 3 8 10 2" xfId="19595"/>
    <cellStyle name="Normal 11 3 8 11" xfId="1319"/>
    <cellStyle name="Normal 11 3 8 12" xfId="1320"/>
    <cellStyle name="Normal 11 3 8 13" xfId="1321"/>
    <cellStyle name="Normal 11 3 8 14" xfId="1322"/>
    <cellStyle name="Normal 11 3 8 15" xfId="11525"/>
    <cellStyle name="Normal 11 3 8 16" xfId="19594"/>
    <cellStyle name="Normal 11 3 8 17" xfId="19596"/>
    <cellStyle name="Normal 11 3 8 18" xfId="19597"/>
    <cellStyle name="Normal 11 3 8 2" xfId="1317"/>
    <cellStyle name="Normal 11 3 8 2 10" xfId="19598"/>
    <cellStyle name="Normal 11 3 8 2 11" xfId="19599"/>
    <cellStyle name="Normal 11 3 8 2 2" xfId="19600"/>
    <cellStyle name="Normal 11 3 8 2 2 2" xfId="19601"/>
    <cellStyle name="Normal 11 3 8 2 2 3" xfId="19602"/>
    <cellStyle name="Normal 11 3 8 2 2 4" xfId="19603"/>
    <cellStyle name="Normal 11 3 8 2 3" xfId="19604"/>
    <cellStyle name="Normal 11 3 8 2 3 2" xfId="19605"/>
    <cellStyle name="Normal 11 3 8 2 3 3" xfId="19606"/>
    <cellStyle name="Normal 11 3 8 2 3 4" xfId="19607"/>
    <cellStyle name="Normal 11 3 8 2 4" xfId="19608"/>
    <cellStyle name="Normal 11 3 8 2 4 2" xfId="19609"/>
    <cellStyle name="Normal 11 3 8 2 4 3" xfId="19610"/>
    <cellStyle name="Normal 11 3 8 2 4 4" xfId="19611"/>
    <cellStyle name="Normal 11 3 8 2 5" xfId="19612"/>
    <cellStyle name="Normal 11 3 8 2 5 2" xfId="19613"/>
    <cellStyle name="Normal 11 3 8 2 5 3" xfId="19614"/>
    <cellStyle name="Normal 11 3 8 2 5 4" xfId="19615"/>
    <cellStyle name="Normal 11 3 8 2 6" xfId="19616"/>
    <cellStyle name="Normal 11 3 8 2 6 2" xfId="19617"/>
    <cellStyle name="Normal 11 3 8 2 7" xfId="19618"/>
    <cellStyle name="Normal 11 3 8 2 7 2" xfId="19619"/>
    <cellStyle name="Normal 11 3 8 2 8" xfId="19620"/>
    <cellStyle name="Normal 11 3 8 2 8 2" xfId="19621"/>
    <cellStyle name="Normal 11 3 8 2 9" xfId="19622"/>
    <cellStyle name="Normal 11 3 8 2 9 2" xfId="19623"/>
    <cellStyle name="Normal 11 3 8 3" xfId="1324"/>
    <cellStyle name="Normal 11 3 8 3 2" xfId="19624"/>
    <cellStyle name="Normal 11 3 8 3 2 2" xfId="19625"/>
    <cellStyle name="Normal 11 3 8 3 2 3" xfId="19626"/>
    <cellStyle name="Normal 11 3 8 3 2 4" xfId="19627"/>
    <cellStyle name="Normal 11 3 8 3 3" xfId="19628"/>
    <cellStyle name="Normal 11 3 8 3 3 2" xfId="19629"/>
    <cellStyle name="Normal 11 3 8 3 3 3" xfId="19630"/>
    <cellStyle name="Normal 11 3 8 3 4" xfId="19631"/>
    <cellStyle name="Normal 11 3 8 3 4 2" xfId="19632"/>
    <cellStyle name="Normal 11 3 8 3 5" xfId="19633"/>
    <cellStyle name="Normal 11 3 8 3 5 2" xfId="19634"/>
    <cellStyle name="Normal 11 3 8 3 6" xfId="19635"/>
    <cellStyle name="Normal 11 3 8 3 6 2" xfId="19636"/>
    <cellStyle name="Normal 11 3 8 3 7" xfId="19637"/>
    <cellStyle name="Normal 11 3 8 4" xfId="1325"/>
    <cellStyle name="Normal 11 3 8 4 2" xfId="19638"/>
    <cellStyle name="Normal 11 3 8 4 3" xfId="19639"/>
    <cellStyle name="Normal 11 3 8 4 4" xfId="19640"/>
    <cellStyle name="Normal 11 3 8 5" xfId="1326"/>
    <cellStyle name="Normal 11 3 8 5 2" xfId="19641"/>
    <cellStyle name="Normal 11 3 8 5 3" xfId="19642"/>
    <cellStyle name="Normal 11 3 8 5 4" xfId="19643"/>
    <cellStyle name="Normal 11 3 8 6" xfId="1327"/>
    <cellStyle name="Normal 11 3 8 6 2" xfId="19644"/>
    <cellStyle name="Normal 11 3 8 6 3" xfId="19645"/>
    <cellStyle name="Normal 11 3 8 6 4" xfId="19646"/>
    <cellStyle name="Normal 11 3 8 7" xfId="1328"/>
    <cellStyle name="Normal 11 3 8 7 2" xfId="19647"/>
    <cellStyle name="Normal 11 3 8 7 3" xfId="19648"/>
    <cellStyle name="Normal 11 3 8 8" xfId="1329"/>
    <cellStyle name="Normal 11 3 8 8 2" xfId="19649"/>
    <cellStyle name="Normal 11 3 8 9" xfId="1330"/>
    <cellStyle name="Normal 11 3 8 9 2" xfId="19650"/>
    <cellStyle name="Normal 11 3 9" xfId="28"/>
    <cellStyle name="Normal 11 3 9 10" xfId="19652"/>
    <cellStyle name="Normal 11 3 9 10 2" xfId="19653"/>
    <cellStyle name="Normal 11 3 9 11" xfId="19654"/>
    <cellStyle name="Normal 11 3 9 12" xfId="19655"/>
    <cellStyle name="Normal 11 3 9 13" xfId="19656"/>
    <cellStyle name="Normal 11 3 9 14" xfId="19657"/>
    <cellStyle name="Normal 11 3 9 15" xfId="19658"/>
    <cellStyle name="Normal 11 3 9 16" xfId="19659"/>
    <cellStyle name="Normal 11 3 9 17" xfId="19660"/>
    <cellStyle name="Normal 11 3 9 2" xfId="1331"/>
    <cellStyle name="Normal 11 3 9 2 10" xfId="19661"/>
    <cellStyle name="Normal 11 3 9 2 11" xfId="19662"/>
    <cellStyle name="Normal 11 3 9 2 2" xfId="19663"/>
    <cellStyle name="Normal 11 3 9 2 2 2" xfId="19664"/>
    <cellStyle name="Normal 11 3 9 2 2 3" xfId="19665"/>
    <cellStyle name="Normal 11 3 9 2 2 4" xfId="19666"/>
    <cellStyle name="Normal 11 3 9 2 3" xfId="19667"/>
    <cellStyle name="Normal 11 3 9 2 3 2" xfId="19668"/>
    <cellStyle name="Normal 11 3 9 2 3 3" xfId="19669"/>
    <cellStyle name="Normal 11 3 9 2 3 4" xfId="19670"/>
    <cellStyle name="Normal 11 3 9 2 4" xfId="19671"/>
    <cellStyle name="Normal 11 3 9 2 4 2" xfId="19672"/>
    <cellStyle name="Normal 11 3 9 2 4 3" xfId="19673"/>
    <cellStyle name="Normal 11 3 9 2 4 4" xfId="19674"/>
    <cellStyle name="Normal 11 3 9 2 5" xfId="19675"/>
    <cellStyle name="Normal 11 3 9 2 5 2" xfId="19676"/>
    <cellStyle name="Normal 11 3 9 2 5 3" xfId="19677"/>
    <cellStyle name="Normal 11 3 9 2 5 4" xfId="19678"/>
    <cellStyle name="Normal 11 3 9 2 6" xfId="19679"/>
    <cellStyle name="Normal 11 3 9 2 6 2" xfId="19680"/>
    <cellStyle name="Normal 11 3 9 2 7" xfId="19681"/>
    <cellStyle name="Normal 11 3 9 2 7 2" xfId="19682"/>
    <cellStyle name="Normal 11 3 9 2 8" xfId="19683"/>
    <cellStyle name="Normal 11 3 9 2 8 2" xfId="19684"/>
    <cellStyle name="Normal 11 3 9 2 9" xfId="19685"/>
    <cellStyle name="Normal 11 3 9 2 9 2" xfId="19686"/>
    <cellStyle name="Normal 11 3 9 3" xfId="11511"/>
    <cellStyle name="Normal 11 3 9 3 2" xfId="19687"/>
    <cellStyle name="Normal 11 3 9 3 2 2" xfId="19688"/>
    <cellStyle name="Normal 11 3 9 3 2 3" xfId="19689"/>
    <cellStyle name="Normal 11 3 9 3 2 4" xfId="19690"/>
    <cellStyle name="Normal 11 3 9 3 3" xfId="19691"/>
    <cellStyle name="Normal 11 3 9 3 3 2" xfId="19692"/>
    <cellStyle name="Normal 11 3 9 3 3 3" xfId="19693"/>
    <cellStyle name="Normal 11 3 9 3 4" xfId="19694"/>
    <cellStyle name="Normal 11 3 9 3 4 2" xfId="19695"/>
    <cellStyle name="Normal 11 3 9 3 5" xfId="19696"/>
    <cellStyle name="Normal 11 3 9 3 5 2" xfId="19697"/>
    <cellStyle name="Normal 11 3 9 3 6" xfId="19698"/>
    <cellStyle name="Normal 11 3 9 3 6 2" xfId="19699"/>
    <cellStyle name="Normal 11 3 9 3 7" xfId="19700"/>
    <cellStyle name="Normal 11 3 9 4" xfId="19651"/>
    <cellStyle name="Normal 11 3 9 4 2" xfId="19701"/>
    <cellStyle name="Normal 11 3 9 4 3" xfId="19702"/>
    <cellStyle name="Normal 11 3 9 4 4" xfId="19703"/>
    <cellStyle name="Normal 11 3 9 5" xfId="19704"/>
    <cellStyle name="Normal 11 3 9 5 2" xfId="19705"/>
    <cellStyle name="Normal 11 3 9 5 3" xfId="19706"/>
    <cellStyle name="Normal 11 3 9 5 4" xfId="19707"/>
    <cellStyle name="Normal 11 3 9 6" xfId="19708"/>
    <cellStyle name="Normal 11 3 9 6 2" xfId="19709"/>
    <cellStyle name="Normal 11 3 9 6 3" xfId="19710"/>
    <cellStyle name="Normal 11 3 9 6 4" xfId="19711"/>
    <cellStyle name="Normal 11 3 9 7" xfId="19712"/>
    <cellStyle name="Normal 11 3 9 7 2" xfId="19713"/>
    <cellStyle name="Normal 11 3 9 7 3" xfId="19714"/>
    <cellStyle name="Normal 11 3 9 8" xfId="19715"/>
    <cellStyle name="Normal 11 3 9 8 2" xfId="19716"/>
    <cellStyle name="Normal 11 3 9 9" xfId="19717"/>
    <cellStyle name="Normal 11 3 9 9 2" xfId="19718"/>
    <cellStyle name="Normal 11 30" xfId="19719"/>
    <cellStyle name="Normal 11 31" xfId="19720"/>
    <cellStyle name="Normal 11 32" xfId="19721"/>
    <cellStyle name="Normal 11 33" xfId="19722"/>
    <cellStyle name="Normal 11 34" xfId="19723"/>
    <cellStyle name="Normal 11 35" xfId="19724"/>
    <cellStyle name="Normal 11 36" xfId="19725"/>
    <cellStyle name="Normal 11 37" xfId="19726"/>
    <cellStyle name="Normal 11 38" xfId="19727"/>
    <cellStyle name="Normal 11 39" xfId="19728"/>
    <cellStyle name="Normal 11 4" xfId="29"/>
    <cellStyle name="Normal 11 4 10" xfId="30"/>
    <cellStyle name="Normal 11 4 10 10" xfId="19731"/>
    <cellStyle name="Normal 11 4 10 10 2" xfId="19732"/>
    <cellStyle name="Normal 11 4 10 11" xfId="19733"/>
    <cellStyle name="Normal 11 4 10 12" xfId="19734"/>
    <cellStyle name="Normal 11 4 10 13" xfId="19735"/>
    <cellStyle name="Normal 11 4 10 14" xfId="19736"/>
    <cellStyle name="Normal 11 4 10 15" xfId="19737"/>
    <cellStyle name="Normal 11 4 10 16" xfId="19738"/>
    <cellStyle name="Normal 11 4 10 2" xfId="1333"/>
    <cellStyle name="Normal 11 4 10 2 10" xfId="19739"/>
    <cellStyle name="Normal 11 4 10 2 11" xfId="19740"/>
    <cellStyle name="Normal 11 4 10 2 2" xfId="19741"/>
    <cellStyle name="Normal 11 4 10 2 2 2" xfId="19742"/>
    <cellStyle name="Normal 11 4 10 2 2 3" xfId="19743"/>
    <cellStyle name="Normal 11 4 10 2 2 4" xfId="19744"/>
    <cellStyle name="Normal 11 4 10 2 3" xfId="19745"/>
    <cellStyle name="Normal 11 4 10 2 3 2" xfId="19746"/>
    <cellStyle name="Normal 11 4 10 2 3 3" xfId="19747"/>
    <cellStyle name="Normal 11 4 10 2 3 4" xfId="19748"/>
    <cellStyle name="Normal 11 4 10 2 4" xfId="19749"/>
    <cellStyle name="Normal 11 4 10 2 4 2" xfId="19750"/>
    <cellStyle name="Normal 11 4 10 2 4 3" xfId="19751"/>
    <cellStyle name="Normal 11 4 10 2 4 4" xfId="19752"/>
    <cellStyle name="Normal 11 4 10 2 5" xfId="19753"/>
    <cellStyle name="Normal 11 4 10 2 5 2" xfId="19754"/>
    <cellStyle name="Normal 11 4 10 2 5 3" xfId="19755"/>
    <cellStyle name="Normal 11 4 10 2 5 4" xfId="19756"/>
    <cellStyle name="Normal 11 4 10 2 6" xfId="19757"/>
    <cellStyle name="Normal 11 4 10 2 6 2" xfId="19758"/>
    <cellStyle name="Normal 11 4 10 2 7" xfId="19759"/>
    <cellStyle name="Normal 11 4 10 2 7 2" xfId="19760"/>
    <cellStyle name="Normal 11 4 10 2 8" xfId="19761"/>
    <cellStyle name="Normal 11 4 10 2 8 2" xfId="19762"/>
    <cellStyle name="Normal 11 4 10 2 9" xfId="19763"/>
    <cellStyle name="Normal 11 4 10 2 9 2" xfId="19764"/>
    <cellStyle name="Normal 11 4 10 3" xfId="11483"/>
    <cellStyle name="Normal 11 4 10 3 2" xfId="19765"/>
    <cellStyle name="Normal 11 4 10 3 2 2" xfId="19766"/>
    <cellStyle name="Normal 11 4 10 3 2 3" xfId="19767"/>
    <cellStyle name="Normal 11 4 10 3 2 4" xfId="19768"/>
    <cellStyle name="Normal 11 4 10 3 3" xfId="19769"/>
    <cellStyle name="Normal 11 4 10 3 3 2" xfId="19770"/>
    <cellStyle name="Normal 11 4 10 3 3 3" xfId="19771"/>
    <cellStyle name="Normal 11 4 10 3 4" xfId="19772"/>
    <cellStyle name="Normal 11 4 10 3 4 2" xfId="19773"/>
    <cellStyle name="Normal 11 4 10 3 5" xfId="19774"/>
    <cellStyle name="Normal 11 4 10 3 5 2" xfId="19775"/>
    <cellStyle name="Normal 11 4 10 3 6" xfId="19776"/>
    <cellStyle name="Normal 11 4 10 3 6 2" xfId="19777"/>
    <cellStyle name="Normal 11 4 10 3 7" xfId="19778"/>
    <cellStyle name="Normal 11 4 10 4" xfId="19730"/>
    <cellStyle name="Normal 11 4 10 4 2" xfId="19779"/>
    <cellStyle name="Normal 11 4 10 4 3" xfId="19780"/>
    <cellStyle name="Normal 11 4 10 4 4" xfId="19781"/>
    <cellStyle name="Normal 11 4 10 5" xfId="19782"/>
    <cellStyle name="Normal 11 4 10 5 2" xfId="19783"/>
    <cellStyle name="Normal 11 4 10 5 3" xfId="19784"/>
    <cellStyle name="Normal 11 4 10 5 4" xfId="19785"/>
    <cellStyle name="Normal 11 4 10 6" xfId="19786"/>
    <cellStyle name="Normal 11 4 10 6 2" xfId="19787"/>
    <cellStyle name="Normal 11 4 10 6 3" xfId="19788"/>
    <cellStyle name="Normal 11 4 10 6 4" xfId="19789"/>
    <cellStyle name="Normal 11 4 10 7" xfId="19790"/>
    <cellStyle name="Normal 11 4 10 7 2" xfId="19791"/>
    <cellStyle name="Normal 11 4 10 7 3" xfId="19792"/>
    <cellStyle name="Normal 11 4 10 8" xfId="19793"/>
    <cellStyle name="Normal 11 4 10 8 2" xfId="19794"/>
    <cellStyle name="Normal 11 4 10 9" xfId="19795"/>
    <cellStyle name="Normal 11 4 10 9 2" xfId="19796"/>
    <cellStyle name="Normal 11 4 11" xfId="1332"/>
    <cellStyle name="Normal 11 4 11 10" xfId="19797"/>
    <cellStyle name="Normal 11 4 11 10 2" xfId="19798"/>
    <cellStyle name="Normal 11 4 11 11" xfId="19799"/>
    <cellStyle name="Normal 11 4 11 2" xfId="19800"/>
    <cellStyle name="Normal 11 4 11 2 2" xfId="19801"/>
    <cellStyle name="Normal 11 4 11 2 2 2" xfId="19802"/>
    <cellStyle name="Normal 11 4 11 2 2 3" xfId="19803"/>
    <cellStyle name="Normal 11 4 11 2 3" xfId="19804"/>
    <cellStyle name="Normal 11 4 11 2 3 2" xfId="19805"/>
    <cellStyle name="Normal 11 4 11 2 4" xfId="19806"/>
    <cellStyle name="Normal 11 4 11 2 4 2" xfId="19807"/>
    <cellStyle name="Normal 11 4 11 2 5" xfId="19808"/>
    <cellStyle name="Normal 11 4 11 2 5 2" xfId="19809"/>
    <cellStyle name="Normal 11 4 11 2 6" xfId="19810"/>
    <cellStyle name="Normal 11 4 11 2 7" xfId="19811"/>
    <cellStyle name="Normal 11 4 11 2 8" xfId="19812"/>
    <cellStyle name="Normal 11 4 11 2 9" xfId="19813"/>
    <cellStyle name="Normal 11 4 11 3" xfId="19814"/>
    <cellStyle name="Normal 11 4 11 3 2" xfId="19815"/>
    <cellStyle name="Normal 11 4 11 3 2 2" xfId="19816"/>
    <cellStyle name="Normal 11 4 11 3 2 3" xfId="19817"/>
    <cellStyle name="Normal 11 4 11 3 3" xfId="19818"/>
    <cellStyle name="Normal 11 4 11 3 3 2" xfId="19819"/>
    <cellStyle name="Normal 11 4 11 3 4" xfId="19820"/>
    <cellStyle name="Normal 11 4 11 3 5" xfId="19821"/>
    <cellStyle name="Normal 11 4 11 3 6" xfId="19822"/>
    <cellStyle name="Normal 11 4 11 3 7" xfId="19823"/>
    <cellStyle name="Normal 11 4 11 4" xfId="19824"/>
    <cellStyle name="Normal 11 4 11 4 2" xfId="19825"/>
    <cellStyle name="Normal 11 4 11 4 3" xfId="19826"/>
    <cellStyle name="Normal 11 4 11 4 4" xfId="19827"/>
    <cellStyle name="Normal 11 4 11 5" xfId="19828"/>
    <cellStyle name="Normal 11 4 11 5 2" xfId="19829"/>
    <cellStyle name="Normal 11 4 11 5 3" xfId="19830"/>
    <cellStyle name="Normal 11 4 11 5 4" xfId="19831"/>
    <cellStyle name="Normal 11 4 11 6" xfId="19832"/>
    <cellStyle name="Normal 11 4 11 6 2" xfId="19833"/>
    <cellStyle name="Normal 11 4 11 6 3" xfId="19834"/>
    <cellStyle name="Normal 11 4 11 7" xfId="19835"/>
    <cellStyle name="Normal 11 4 11 7 2" xfId="19836"/>
    <cellStyle name="Normal 11 4 11 8" xfId="19837"/>
    <cellStyle name="Normal 11 4 11 8 2" xfId="19838"/>
    <cellStyle name="Normal 11 4 11 9" xfId="19839"/>
    <cellStyle name="Normal 11 4 11 9 2" xfId="19840"/>
    <cellStyle name="Normal 11 4 12" xfId="1335"/>
    <cellStyle name="Normal 11 4 12 2" xfId="19841"/>
    <cellStyle name="Normal 11 4 12 2 2" xfId="19842"/>
    <cellStyle name="Normal 11 4 12 2 3" xfId="19843"/>
    <cellStyle name="Normal 11 4 12 2 4" xfId="19844"/>
    <cellStyle name="Normal 11 4 12 3" xfId="19845"/>
    <cellStyle name="Normal 11 4 12 3 2" xfId="19846"/>
    <cellStyle name="Normal 11 4 12 3 3" xfId="19847"/>
    <cellStyle name="Normal 11 4 12 4" xfId="19848"/>
    <cellStyle name="Normal 11 4 12 4 2" xfId="19849"/>
    <cellStyle name="Normal 11 4 12 4 3" xfId="19850"/>
    <cellStyle name="Normal 11 4 12 5" xfId="19851"/>
    <cellStyle name="Normal 11 4 12 5 2" xfId="19852"/>
    <cellStyle name="Normal 11 4 12 5 3" xfId="19853"/>
    <cellStyle name="Normal 11 4 12 6" xfId="19854"/>
    <cellStyle name="Normal 11 4 12 6 2" xfId="19855"/>
    <cellStyle name="Normal 11 4 12 7" xfId="19856"/>
    <cellStyle name="Normal 11 4 12 8" xfId="19857"/>
    <cellStyle name="Normal 11 4 12 9" xfId="19858"/>
    <cellStyle name="Normal 11 4 13" xfId="1336"/>
    <cellStyle name="Normal 11 4 13 2" xfId="19859"/>
    <cellStyle name="Normal 11 4 13 2 2" xfId="19860"/>
    <cellStyle name="Normal 11 4 13 2 3" xfId="19861"/>
    <cellStyle name="Normal 11 4 13 3" xfId="19862"/>
    <cellStyle name="Normal 11 4 13 3 2" xfId="19863"/>
    <cellStyle name="Normal 11 4 13 4" xfId="19864"/>
    <cellStyle name="Normal 11 4 13 5" xfId="19865"/>
    <cellStyle name="Normal 11 4 13 6" xfId="19866"/>
    <cellStyle name="Normal 11 4 13 7" xfId="19867"/>
    <cellStyle name="Normal 11 4 14" xfId="1337"/>
    <cellStyle name="Normal 11 4 14 2" xfId="19868"/>
    <cellStyle name="Normal 11 4 14 3" xfId="19869"/>
    <cellStyle name="Normal 11 4 14 4" xfId="19870"/>
    <cellStyle name="Normal 11 4 15" xfId="1338"/>
    <cellStyle name="Normal 11 4 15 2" xfId="19871"/>
    <cellStyle name="Normal 11 4 15 3" xfId="19872"/>
    <cellStyle name="Normal 11 4 15 4" xfId="19873"/>
    <cellStyle name="Normal 11 4 16" xfId="1339"/>
    <cellStyle name="Normal 11 4 16 2" xfId="19874"/>
    <cellStyle name="Normal 11 4 16 3" xfId="19875"/>
    <cellStyle name="Normal 11 4 16 4" xfId="19876"/>
    <cellStyle name="Normal 11 4 17" xfId="1340"/>
    <cellStyle name="Normal 11 4 17 2" xfId="19877"/>
    <cellStyle name="Normal 11 4 18" xfId="1341"/>
    <cellStyle name="Normal 11 4 18 2" xfId="19878"/>
    <cellStyle name="Normal 11 4 19" xfId="1342"/>
    <cellStyle name="Normal 11 4 19 2" xfId="19879"/>
    <cellStyle name="Normal 11 4 2" xfId="31"/>
    <cellStyle name="Normal 11 4 2 10" xfId="1344"/>
    <cellStyle name="Normal 11 4 2 10 2" xfId="19881"/>
    <cellStyle name="Normal 11 4 2 10 3" xfId="19882"/>
    <cellStyle name="Normal 11 4 2 11" xfId="1345"/>
    <cellStyle name="Normal 11 4 2 11 2" xfId="19883"/>
    <cellStyle name="Normal 11 4 2 12" xfId="1346"/>
    <cellStyle name="Normal 11 4 2 13" xfId="1347"/>
    <cellStyle name="Normal 11 4 2 14" xfId="1348"/>
    <cellStyle name="Normal 11 4 2 15" xfId="11469"/>
    <cellStyle name="Normal 11 4 2 16" xfId="19880"/>
    <cellStyle name="Normal 11 4 2 17" xfId="19884"/>
    <cellStyle name="Normal 11 4 2 18" xfId="19885"/>
    <cellStyle name="Normal 11 4 2 19" xfId="19886"/>
    <cellStyle name="Normal 11 4 2 2" xfId="1343"/>
    <cellStyle name="Normal 11 4 2 2 10" xfId="19887"/>
    <cellStyle name="Normal 11 4 2 2 11" xfId="19888"/>
    <cellStyle name="Normal 11 4 2 2 12" xfId="19889"/>
    <cellStyle name="Normal 11 4 2 2 13" xfId="19890"/>
    <cellStyle name="Normal 11 4 2 2 14" xfId="19891"/>
    <cellStyle name="Normal 11 4 2 2 15" xfId="19892"/>
    <cellStyle name="Normal 11 4 2 2 16" xfId="19893"/>
    <cellStyle name="Normal 11 4 2 2 17" xfId="19894"/>
    <cellStyle name="Normal 11 4 2 2 18" xfId="19895"/>
    <cellStyle name="Normal 11 4 2 2 2" xfId="19896"/>
    <cellStyle name="Normal 11 4 2 2 2 10" xfId="19897"/>
    <cellStyle name="Normal 11 4 2 2 2 11" xfId="19898"/>
    <cellStyle name="Normal 11 4 2 2 2 2" xfId="19899"/>
    <cellStyle name="Normal 11 4 2 2 2 2 2" xfId="19900"/>
    <cellStyle name="Normal 11 4 2 2 2 3" xfId="19901"/>
    <cellStyle name="Normal 11 4 2 2 2 3 2" xfId="19902"/>
    <cellStyle name="Normal 11 4 2 2 2 4" xfId="19903"/>
    <cellStyle name="Normal 11 4 2 2 2 4 2" xfId="19904"/>
    <cellStyle name="Normal 11 4 2 2 2 5" xfId="19905"/>
    <cellStyle name="Normal 11 4 2 2 2 5 2" xfId="19906"/>
    <cellStyle name="Normal 11 4 2 2 2 6" xfId="19907"/>
    <cellStyle name="Normal 11 4 2 2 2 7" xfId="19908"/>
    <cellStyle name="Normal 11 4 2 2 2 8" xfId="19909"/>
    <cellStyle name="Normal 11 4 2 2 2 9" xfId="19910"/>
    <cellStyle name="Normal 11 4 2 2 3" xfId="19911"/>
    <cellStyle name="Normal 11 4 2 2 3 2" xfId="19912"/>
    <cellStyle name="Normal 11 4 2 2 3 2 2" xfId="19913"/>
    <cellStyle name="Normal 11 4 2 2 3 3" xfId="19914"/>
    <cellStyle name="Normal 11 4 2 2 3 4" xfId="19915"/>
    <cellStyle name="Normal 11 4 2 2 3 5" xfId="19916"/>
    <cellStyle name="Normal 11 4 2 2 3 6" xfId="19917"/>
    <cellStyle name="Normal 11 4 2 2 3 7" xfId="19918"/>
    <cellStyle name="Normal 11 4 2 2 4" xfId="19919"/>
    <cellStyle name="Normal 11 4 2 2 4 2" xfId="19920"/>
    <cellStyle name="Normal 11 4 2 2 4 3" xfId="19921"/>
    <cellStyle name="Normal 11 4 2 2 4 4" xfId="19922"/>
    <cellStyle name="Normal 11 4 2 2 5" xfId="19923"/>
    <cellStyle name="Normal 11 4 2 2 5 2" xfId="19924"/>
    <cellStyle name="Normal 11 4 2 2 5 3" xfId="19925"/>
    <cellStyle name="Normal 11 4 2 2 5 4" xfId="19926"/>
    <cellStyle name="Normal 11 4 2 2 6" xfId="19927"/>
    <cellStyle name="Normal 11 4 2 2 6 2" xfId="19928"/>
    <cellStyle name="Normal 11 4 2 2 6 3" xfId="19929"/>
    <cellStyle name="Normal 11 4 2 2 7" xfId="19930"/>
    <cellStyle name="Normal 11 4 2 2 7 2" xfId="19931"/>
    <cellStyle name="Normal 11 4 2 2 7 3" xfId="19932"/>
    <cellStyle name="Normal 11 4 2 2 8" xfId="19933"/>
    <cellStyle name="Normal 11 4 2 2 8 2" xfId="19934"/>
    <cellStyle name="Normal 11 4 2 2 9" xfId="19935"/>
    <cellStyle name="Normal 11 4 2 2 9 2" xfId="19936"/>
    <cellStyle name="Normal 11 4 2 20" xfId="19937"/>
    <cellStyle name="Normal 11 4 2 21" xfId="19938"/>
    <cellStyle name="Normal 11 4 2 22" xfId="19939"/>
    <cellStyle name="Normal 11 4 2 3" xfId="1350"/>
    <cellStyle name="Normal 11 4 2 3 10" xfId="19940"/>
    <cellStyle name="Normal 11 4 2 3 11" xfId="19941"/>
    <cellStyle name="Normal 11 4 2 3 12" xfId="19942"/>
    <cellStyle name="Normal 11 4 2 3 13" xfId="19943"/>
    <cellStyle name="Normal 11 4 2 3 14" xfId="19944"/>
    <cellStyle name="Normal 11 4 2 3 15" xfId="19945"/>
    <cellStyle name="Normal 11 4 2 3 16" xfId="19946"/>
    <cellStyle name="Normal 11 4 2 3 17" xfId="19947"/>
    <cellStyle name="Normal 11 4 2 3 18" xfId="19948"/>
    <cellStyle name="Normal 11 4 2 3 2" xfId="19949"/>
    <cellStyle name="Normal 11 4 2 3 2 10" xfId="19950"/>
    <cellStyle name="Normal 11 4 2 3 2 11" xfId="19951"/>
    <cellStyle name="Normal 11 4 2 3 2 2" xfId="19952"/>
    <cellStyle name="Normal 11 4 2 3 2 2 2" xfId="19953"/>
    <cellStyle name="Normal 11 4 2 3 2 3" xfId="19954"/>
    <cellStyle name="Normal 11 4 2 3 2 3 2" xfId="19955"/>
    <cellStyle name="Normal 11 4 2 3 2 4" xfId="19956"/>
    <cellStyle name="Normal 11 4 2 3 2 4 2" xfId="19957"/>
    <cellStyle name="Normal 11 4 2 3 2 5" xfId="19958"/>
    <cellStyle name="Normal 11 4 2 3 2 5 2" xfId="19959"/>
    <cellStyle name="Normal 11 4 2 3 2 6" xfId="19960"/>
    <cellStyle name="Normal 11 4 2 3 2 7" xfId="19961"/>
    <cellStyle name="Normal 11 4 2 3 2 8" xfId="19962"/>
    <cellStyle name="Normal 11 4 2 3 2 9" xfId="19963"/>
    <cellStyle name="Normal 11 4 2 3 3" xfId="19964"/>
    <cellStyle name="Normal 11 4 2 3 3 2" xfId="19965"/>
    <cellStyle name="Normal 11 4 2 3 3 2 2" xfId="19966"/>
    <cellStyle name="Normal 11 4 2 3 3 3" xfId="19967"/>
    <cellStyle name="Normal 11 4 2 3 3 4" xfId="19968"/>
    <cellStyle name="Normal 11 4 2 3 3 5" xfId="19969"/>
    <cellStyle name="Normal 11 4 2 3 3 6" xfId="19970"/>
    <cellStyle name="Normal 11 4 2 3 3 7" xfId="19971"/>
    <cellStyle name="Normal 11 4 2 3 4" xfId="19972"/>
    <cellStyle name="Normal 11 4 2 3 4 2" xfId="19973"/>
    <cellStyle name="Normal 11 4 2 3 4 3" xfId="19974"/>
    <cellStyle name="Normal 11 4 2 3 5" xfId="19975"/>
    <cellStyle name="Normal 11 4 2 3 5 2" xfId="19976"/>
    <cellStyle name="Normal 11 4 2 3 5 3" xfId="19977"/>
    <cellStyle name="Normal 11 4 2 3 6" xfId="19978"/>
    <cellStyle name="Normal 11 4 2 3 6 2" xfId="19979"/>
    <cellStyle name="Normal 11 4 2 3 6 3" xfId="19980"/>
    <cellStyle name="Normal 11 4 2 3 7" xfId="19981"/>
    <cellStyle name="Normal 11 4 2 3 7 2" xfId="19982"/>
    <cellStyle name="Normal 11 4 2 3 7 3" xfId="19983"/>
    <cellStyle name="Normal 11 4 2 3 8" xfId="19984"/>
    <cellStyle name="Normal 11 4 2 3 9" xfId="19985"/>
    <cellStyle name="Normal 11 4 2 4" xfId="1351"/>
    <cellStyle name="Normal 11 4 2 4 10" xfId="19986"/>
    <cellStyle name="Normal 11 4 2 4 11" xfId="19987"/>
    <cellStyle name="Normal 11 4 2 4 12" xfId="19988"/>
    <cellStyle name="Normal 11 4 2 4 13" xfId="19989"/>
    <cellStyle name="Normal 11 4 2 4 14" xfId="19990"/>
    <cellStyle name="Normal 11 4 2 4 15" xfId="19991"/>
    <cellStyle name="Normal 11 4 2 4 16" xfId="19992"/>
    <cellStyle name="Normal 11 4 2 4 17" xfId="19993"/>
    <cellStyle name="Normal 11 4 2 4 2" xfId="19994"/>
    <cellStyle name="Normal 11 4 2 4 2 2" xfId="19995"/>
    <cellStyle name="Normal 11 4 2 4 2 2 2" xfId="19996"/>
    <cellStyle name="Normal 11 4 2 4 2 3" xfId="19997"/>
    <cellStyle name="Normal 11 4 2 4 2 3 2" xfId="19998"/>
    <cellStyle name="Normal 11 4 2 4 2 4" xfId="19999"/>
    <cellStyle name="Normal 11 4 2 4 2 4 2" xfId="20000"/>
    <cellStyle name="Normal 11 4 2 4 2 5" xfId="20001"/>
    <cellStyle name="Normal 11 4 2 4 2 5 2" xfId="20002"/>
    <cellStyle name="Normal 11 4 2 4 2 6" xfId="20003"/>
    <cellStyle name="Normal 11 4 2 4 2 7" xfId="20004"/>
    <cellStyle name="Normal 11 4 2 4 2 8" xfId="20005"/>
    <cellStyle name="Normal 11 4 2 4 2 9" xfId="20006"/>
    <cellStyle name="Normal 11 4 2 4 3" xfId="20007"/>
    <cellStyle name="Normal 11 4 2 4 3 2" xfId="20008"/>
    <cellStyle name="Normal 11 4 2 4 3 2 2" xfId="20009"/>
    <cellStyle name="Normal 11 4 2 4 3 3" xfId="20010"/>
    <cellStyle name="Normal 11 4 2 4 3 4" xfId="20011"/>
    <cellStyle name="Normal 11 4 2 4 3 5" xfId="20012"/>
    <cellStyle name="Normal 11 4 2 4 4" xfId="20013"/>
    <cellStyle name="Normal 11 4 2 4 4 2" xfId="20014"/>
    <cellStyle name="Normal 11 4 2 4 5" xfId="20015"/>
    <cellStyle name="Normal 11 4 2 4 5 2" xfId="20016"/>
    <cellStyle name="Normal 11 4 2 4 6" xfId="20017"/>
    <cellStyle name="Normal 11 4 2 4 6 2" xfId="20018"/>
    <cellStyle name="Normal 11 4 2 4 7" xfId="20019"/>
    <cellStyle name="Normal 11 4 2 4 7 2" xfId="20020"/>
    <cellStyle name="Normal 11 4 2 4 8" xfId="20021"/>
    <cellStyle name="Normal 11 4 2 4 9" xfId="20022"/>
    <cellStyle name="Normal 11 4 2 5" xfId="1352"/>
    <cellStyle name="Normal 11 4 2 5 10" xfId="20023"/>
    <cellStyle name="Normal 11 4 2 5 11" xfId="20024"/>
    <cellStyle name="Normal 11 4 2 5 12" xfId="20025"/>
    <cellStyle name="Normal 11 4 2 5 13" xfId="20026"/>
    <cellStyle name="Normal 11 4 2 5 14" xfId="20027"/>
    <cellStyle name="Normal 11 4 2 5 15" xfId="20028"/>
    <cellStyle name="Normal 11 4 2 5 16" xfId="20029"/>
    <cellStyle name="Normal 11 4 2 5 2" xfId="20030"/>
    <cellStyle name="Normal 11 4 2 5 2 2" xfId="20031"/>
    <cellStyle name="Normal 11 4 2 5 2 2 2" xfId="20032"/>
    <cellStyle name="Normal 11 4 2 5 2 3" xfId="20033"/>
    <cellStyle name="Normal 11 4 2 5 2 3 2" xfId="20034"/>
    <cellStyle name="Normal 11 4 2 5 2 4" xfId="20035"/>
    <cellStyle name="Normal 11 4 2 5 2 4 2" xfId="20036"/>
    <cellStyle name="Normal 11 4 2 5 2 5" xfId="20037"/>
    <cellStyle name="Normal 11 4 2 5 2 5 2" xfId="20038"/>
    <cellStyle name="Normal 11 4 2 5 2 6" xfId="20039"/>
    <cellStyle name="Normal 11 4 2 5 2 7" xfId="20040"/>
    <cellStyle name="Normal 11 4 2 5 2 8" xfId="20041"/>
    <cellStyle name="Normal 11 4 2 5 2 9" xfId="20042"/>
    <cellStyle name="Normal 11 4 2 5 3" xfId="20043"/>
    <cellStyle name="Normal 11 4 2 5 3 2" xfId="20044"/>
    <cellStyle name="Normal 11 4 2 5 3 2 2" xfId="20045"/>
    <cellStyle name="Normal 11 4 2 5 3 3" xfId="20046"/>
    <cellStyle name="Normal 11 4 2 5 3 4" xfId="20047"/>
    <cellStyle name="Normal 11 4 2 5 3 5" xfId="20048"/>
    <cellStyle name="Normal 11 4 2 5 4" xfId="20049"/>
    <cellStyle name="Normal 11 4 2 5 4 2" xfId="20050"/>
    <cellStyle name="Normal 11 4 2 5 5" xfId="20051"/>
    <cellStyle name="Normal 11 4 2 5 5 2" xfId="20052"/>
    <cellStyle name="Normal 11 4 2 5 6" xfId="20053"/>
    <cellStyle name="Normal 11 4 2 5 6 2" xfId="20054"/>
    <cellStyle name="Normal 11 4 2 5 7" xfId="20055"/>
    <cellStyle name="Normal 11 4 2 5 7 2" xfId="20056"/>
    <cellStyle name="Normal 11 4 2 5 8" xfId="20057"/>
    <cellStyle name="Normal 11 4 2 5 9" xfId="20058"/>
    <cellStyle name="Normal 11 4 2 6" xfId="1353"/>
    <cellStyle name="Normal 11 4 2 6 10" xfId="20059"/>
    <cellStyle name="Normal 11 4 2 6 11" xfId="20060"/>
    <cellStyle name="Normal 11 4 2 6 2" xfId="20061"/>
    <cellStyle name="Normal 11 4 2 6 2 2" xfId="20062"/>
    <cellStyle name="Normal 11 4 2 6 3" xfId="20063"/>
    <cellStyle name="Normal 11 4 2 6 3 2" xfId="20064"/>
    <cellStyle name="Normal 11 4 2 6 4" xfId="20065"/>
    <cellStyle name="Normal 11 4 2 6 4 2" xfId="20066"/>
    <cellStyle name="Normal 11 4 2 6 5" xfId="20067"/>
    <cellStyle name="Normal 11 4 2 6 5 2" xfId="20068"/>
    <cellStyle name="Normal 11 4 2 6 6" xfId="20069"/>
    <cellStyle name="Normal 11 4 2 6 7" xfId="20070"/>
    <cellStyle name="Normal 11 4 2 6 8" xfId="20071"/>
    <cellStyle name="Normal 11 4 2 6 9" xfId="20072"/>
    <cellStyle name="Normal 11 4 2 7" xfId="1354"/>
    <cellStyle name="Normal 11 4 2 7 2" xfId="20073"/>
    <cellStyle name="Normal 11 4 2 7 2 2" xfId="20074"/>
    <cellStyle name="Normal 11 4 2 7 3" xfId="20075"/>
    <cellStyle name="Normal 11 4 2 7 4" xfId="20076"/>
    <cellStyle name="Normal 11 4 2 7 5" xfId="20077"/>
    <cellStyle name="Normal 11 4 2 7 6" xfId="20078"/>
    <cellStyle name="Normal 11 4 2 8" xfId="1355"/>
    <cellStyle name="Normal 11 4 2 8 2" xfId="20079"/>
    <cellStyle name="Normal 11 4 2 8 3" xfId="20080"/>
    <cellStyle name="Normal 11 4 2 9" xfId="1356"/>
    <cellStyle name="Normal 11 4 2 9 2" xfId="20081"/>
    <cellStyle name="Normal 11 4 2 9 3" xfId="20082"/>
    <cellStyle name="Normal 11 4 20" xfId="1357"/>
    <cellStyle name="Normal 11 4 20 2" xfId="20083"/>
    <cellStyle name="Normal 11 4 21" xfId="1358"/>
    <cellStyle name="Normal 11 4 22" xfId="1359"/>
    <cellStyle name="Normal 11 4 23" xfId="11497"/>
    <cellStyle name="Normal 11 4 24" xfId="19729"/>
    <cellStyle name="Normal 11 4 25" xfId="20084"/>
    <cellStyle name="Normal 11 4 26" xfId="20085"/>
    <cellStyle name="Normal 11 4 27" xfId="20086"/>
    <cellStyle name="Normal 11 4 28" xfId="20087"/>
    <cellStyle name="Normal 11 4 29" xfId="20088"/>
    <cellStyle name="Normal 11 4 3" xfId="32"/>
    <cellStyle name="Normal 11 4 3 10" xfId="1361"/>
    <cellStyle name="Normal 11 4 3 10 2" xfId="20090"/>
    <cellStyle name="Normal 11 4 3 11" xfId="1362"/>
    <cellStyle name="Normal 11 4 3 12" xfId="1363"/>
    <cellStyle name="Normal 11 4 3 13" xfId="1364"/>
    <cellStyle name="Normal 11 4 3 14" xfId="1365"/>
    <cellStyle name="Normal 11 4 3 15" xfId="11455"/>
    <cellStyle name="Normal 11 4 3 16" xfId="20089"/>
    <cellStyle name="Normal 11 4 3 17" xfId="20091"/>
    <cellStyle name="Normal 11 4 3 18" xfId="20092"/>
    <cellStyle name="Normal 11 4 3 19" xfId="20093"/>
    <cellStyle name="Normal 11 4 3 2" xfId="1360"/>
    <cellStyle name="Normal 11 4 3 2 10" xfId="20094"/>
    <cellStyle name="Normal 11 4 3 2 11" xfId="20095"/>
    <cellStyle name="Normal 11 4 3 2 12" xfId="20096"/>
    <cellStyle name="Normal 11 4 3 2 13" xfId="20097"/>
    <cellStyle name="Normal 11 4 3 2 14" xfId="20098"/>
    <cellStyle name="Normal 11 4 3 2 15" xfId="20099"/>
    <cellStyle name="Normal 11 4 3 2 2" xfId="20100"/>
    <cellStyle name="Normal 11 4 3 2 2 2" xfId="20101"/>
    <cellStyle name="Normal 11 4 3 2 2 2 2" xfId="20102"/>
    <cellStyle name="Normal 11 4 3 2 2 3" xfId="20103"/>
    <cellStyle name="Normal 11 4 3 2 2 4" xfId="20104"/>
    <cellStyle name="Normal 11 4 3 2 2 5" xfId="20105"/>
    <cellStyle name="Normal 11 4 3 2 2 6" xfId="20106"/>
    <cellStyle name="Normal 11 4 3 2 2 7" xfId="20107"/>
    <cellStyle name="Normal 11 4 3 2 3" xfId="20108"/>
    <cellStyle name="Normal 11 4 3 2 3 2" xfId="20109"/>
    <cellStyle name="Normal 11 4 3 2 3 3" xfId="20110"/>
    <cellStyle name="Normal 11 4 3 2 3 4" xfId="20111"/>
    <cellStyle name="Normal 11 4 3 2 4" xfId="20112"/>
    <cellStyle name="Normal 11 4 3 2 4 2" xfId="20113"/>
    <cellStyle name="Normal 11 4 3 2 4 3" xfId="20114"/>
    <cellStyle name="Normal 11 4 3 2 4 4" xfId="20115"/>
    <cellStyle name="Normal 11 4 3 2 5" xfId="20116"/>
    <cellStyle name="Normal 11 4 3 2 5 2" xfId="20117"/>
    <cellStyle name="Normal 11 4 3 2 5 3" xfId="20118"/>
    <cellStyle name="Normal 11 4 3 2 5 4" xfId="20119"/>
    <cellStyle name="Normal 11 4 3 2 6" xfId="20120"/>
    <cellStyle name="Normal 11 4 3 2 6 2" xfId="20121"/>
    <cellStyle name="Normal 11 4 3 2 6 3" xfId="20122"/>
    <cellStyle name="Normal 11 4 3 2 7" xfId="20123"/>
    <cellStyle name="Normal 11 4 3 2 7 2" xfId="20124"/>
    <cellStyle name="Normal 11 4 3 2 8" xfId="20125"/>
    <cellStyle name="Normal 11 4 3 2 8 2" xfId="20126"/>
    <cellStyle name="Normal 11 4 3 2 9" xfId="20127"/>
    <cellStyle name="Normal 11 4 3 2 9 2" xfId="20128"/>
    <cellStyle name="Normal 11 4 3 20" xfId="20129"/>
    <cellStyle name="Normal 11 4 3 3" xfId="1367"/>
    <cellStyle name="Normal 11 4 3 3 2" xfId="20130"/>
    <cellStyle name="Normal 11 4 3 3 2 2" xfId="20131"/>
    <cellStyle name="Normal 11 4 3 3 2 3" xfId="20132"/>
    <cellStyle name="Normal 11 4 3 3 2 4" xfId="20133"/>
    <cellStyle name="Normal 11 4 3 3 3" xfId="20134"/>
    <cellStyle name="Normal 11 4 3 3 3 2" xfId="20135"/>
    <cellStyle name="Normal 11 4 3 3 3 3" xfId="20136"/>
    <cellStyle name="Normal 11 4 3 3 4" xfId="20137"/>
    <cellStyle name="Normal 11 4 3 3 4 2" xfId="20138"/>
    <cellStyle name="Normal 11 4 3 3 5" xfId="20139"/>
    <cellStyle name="Normal 11 4 3 3 5 2" xfId="20140"/>
    <cellStyle name="Normal 11 4 3 3 6" xfId="20141"/>
    <cellStyle name="Normal 11 4 3 3 6 2" xfId="20142"/>
    <cellStyle name="Normal 11 4 3 3 7" xfId="20143"/>
    <cellStyle name="Normal 11 4 3 4" xfId="1368"/>
    <cellStyle name="Normal 11 4 3 4 2" xfId="20144"/>
    <cellStyle name="Normal 11 4 3 4 3" xfId="20145"/>
    <cellStyle name="Normal 11 4 3 4 4" xfId="20146"/>
    <cellStyle name="Normal 11 4 3 5" xfId="1369"/>
    <cellStyle name="Normal 11 4 3 5 2" xfId="20147"/>
    <cellStyle name="Normal 11 4 3 5 3" xfId="20148"/>
    <cellStyle name="Normal 11 4 3 5 4" xfId="20149"/>
    <cellStyle name="Normal 11 4 3 6" xfId="1370"/>
    <cellStyle name="Normal 11 4 3 6 2" xfId="20150"/>
    <cellStyle name="Normal 11 4 3 6 3" xfId="20151"/>
    <cellStyle name="Normal 11 4 3 6 4" xfId="20152"/>
    <cellStyle name="Normal 11 4 3 7" xfId="1371"/>
    <cellStyle name="Normal 11 4 3 7 2" xfId="20153"/>
    <cellStyle name="Normal 11 4 3 7 3" xfId="20154"/>
    <cellStyle name="Normal 11 4 3 8" xfId="1372"/>
    <cellStyle name="Normal 11 4 3 8 2" xfId="20155"/>
    <cellStyle name="Normal 11 4 3 9" xfId="1373"/>
    <cellStyle name="Normal 11 4 3 9 2" xfId="20156"/>
    <cellStyle name="Normal 11 4 30" xfId="20157"/>
    <cellStyle name="Normal 11 4 4" xfId="33"/>
    <cellStyle name="Normal 11 4 4 10" xfId="1375"/>
    <cellStyle name="Normal 11 4 4 10 2" xfId="20159"/>
    <cellStyle name="Normal 11 4 4 11" xfId="1376"/>
    <cellStyle name="Normal 11 4 4 12" xfId="1377"/>
    <cellStyle name="Normal 11 4 4 13" xfId="1378"/>
    <cellStyle name="Normal 11 4 4 14" xfId="1379"/>
    <cellStyle name="Normal 11 4 4 15" xfId="11438"/>
    <cellStyle name="Normal 11 4 4 16" xfId="20158"/>
    <cellStyle name="Normal 11 4 4 17" xfId="20160"/>
    <cellStyle name="Normal 11 4 4 18" xfId="20161"/>
    <cellStyle name="Normal 11 4 4 19" xfId="20162"/>
    <cellStyle name="Normal 11 4 4 2" xfId="1374"/>
    <cellStyle name="Normal 11 4 4 2 10" xfId="20163"/>
    <cellStyle name="Normal 11 4 4 2 11" xfId="20164"/>
    <cellStyle name="Normal 11 4 4 2 12" xfId="20165"/>
    <cellStyle name="Normal 11 4 4 2 13" xfId="20166"/>
    <cellStyle name="Normal 11 4 4 2 14" xfId="20167"/>
    <cellStyle name="Normal 11 4 4 2 15" xfId="20168"/>
    <cellStyle name="Normal 11 4 4 2 2" xfId="20169"/>
    <cellStyle name="Normal 11 4 4 2 2 2" xfId="20170"/>
    <cellStyle name="Normal 11 4 4 2 2 2 2" xfId="20171"/>
    <cellStyle name="Normal 11 4 4 2 2 3" xfId="20172"/>
    <cellStyle name="Normal 11 4 4 2 2 4" xfId="20173"/>
    <cellStyle name="Normal 11 4 4 2 2 5" xfId="20174"/>
    <cellStyle name="Normal 11 4 4 2 2 6" xfId="20175"/>
    <cellStyle name="Normal 11 4 4 2 2 7" xfId="20176"/>
    <cellStyle name="Normal 11 4 4 2 3" xfId="20177"/>
    <cellStyle name="Normal 11 4 4 2 3 2" xfId="20178"/>
    <cellStyle name="Normal 11 4 4 2 3 3" xfId="20179"/>
    <cellStyle name="Normal 11 4 4 2 3 4" xfId="20180"/>
    <cellStyle name="Normal 11 4 4 2 4" xfId="20181"/>
    <cellStyle name="Normal 11 4 4 2 4 2" xfId="20182"/>
    <cellStyle name="Normal 11 4 4 2 4 3" xfId="20183"/>
    <cellStyle name="Normal 11 4 4 2 4 4" xfId="20184"/>
    <cellStyle name="Normal 11 4 4 2 5" xfId="20185"/>
    <cellStyle name="Normal 11 4 4 2 5 2" xfId="20186"/>
    <cellStyle name="Normal 11 4 4 2 5 3" xfId="20187"/>
    <cellStyle name="Normal 11 4 4 2 5 4" xfId="20188"/>
    <cellStyle name="Normal 11 4 4 2 6" xfId="20189"/>
    <cellStyle name="Normal 11 4 4 2 6 2" xfId="20190"/>
    <cellStyle name="Normal 11 4 4 2 6 3" xfId="20191"/>
    <cellStyle name="Normal 11 4 4 2 7" xfId="20192"/>
    <cellStyle name="Normal 11 4 4 2 7 2" xfId="20193"/>
    <cellStyle name="Normal 11 4 4 2 8" xfId="20194"/>
    <cellStyle name="Normal 11 4 4 2 8 2" xfId="20195"/>
    <cellStyle name="Normal 11 4 4 2 9" xfId="20196"/>
    <cellStyle name="Normal 11 4 4 2 9 2" xfId="20197"/>
    <cellStyle name="Normal 11 4 4 20" xfId="20198"/>
    <cellStyle name="Normal 11 4 4 3" xfId="1381"/>
    <cellStyle name="Normal 11 4 4 3 2" xfId="20199"/>
    <cellStyle name="Normal 11 4 4 3 2 2" xfId="20200"/>
    <cellStyle name="Normal 11 4 4 3 2 3" xfId="20201"/>
    <cellStyle name="Normal 11 4 4 3 2 4" xfId="20202"/>
    <cellStyle name="Normal 11 4 4 3 3" xfId="20203"/>
    <cellStyle name="Normal 11 4 4 3 3 2" xfId="20204"/>
    <cellStyle name="Normal 11 4 4 3 3 3" xfId="20205"/>
    <cellStyle name="Normal 11 4 4 3 4" xfId="20206"/>
    <cellStyle name="Normal 11 4 4 3 4 2" xfId="20207"/>
    <cellStyle name="Normal 11 4 4 3 5" xfId="20208"/>
    <cellStyle name="Normal 11 4 4 3 5 2" xfId="20209"/>
    <cellStyle name="Normal 11 4 4 3 6" xfId="20210"/>
    <cellStyle name="Normal 11 4 4 3 6 2" xfId="20211"/>
    <cellStyle name="Normal 11 4 4 3 7" xfId="20212"/>
    <cellStyle name="Normal 11 4 4 4" xfId="1382"/>
    <cellStyle name="Normal 11 4 4 4 2" xfId="20213"/>
    <cellStyle name="Normal 11 4 4 4 3" xfId="20214"/>
    <cellStyle name="Normal 11 4 4 4 4" xfId="20215"/>
    <cellStyle name="Normal 11 4 4 5" xfId="1383"/>
    <cellStyle name="Normal 11 4 4 5 2" xfId="20216"/>
    <cellStyle name="Normal 11 4 4 5 3" xfId="20217"/>
    <cellStyle name="Normal 11 4 4 5 4" xfId="20218"/>
    <cellStyle name="Normal 11 4 4 6" xfId="1384"/>
    <cellStyle name="Normal 11 4 4 6 2" xfId="20219"/>
    <cellStyle name="Normal 11 4 4 6 3" xfId="20220"/>
    <cellStyle name="Normal 11 4 4 6 4" xfId="20221"/>
    <cellStyle name="Normal 11 4 4 7" xfId="1385"/>
    <cellStyle name="Normal 11 4 4 7 2" xfId="20222"/>
    <cellStyle name="Normal 11 4 4 7 3" xfId="20223"/>
    <cellStyle name="Normal 11 4 4 8" xfId="1386"/>
    <cellStyle name="Normal 11 4 4 8 2" xfId="20224"/>
    <cellStyle name="Normal 11 4 4 9" xfId="1387"/>
    <cellStyle name="Normal 11 4 4 9 2" xfId="20225"/>
    <cellStyle name="Normal 11 4 5" xfId="34"/>
    <cellStyle name="Normal 11 4 5 10" xfId="1389"/>
    <cellStyle name="Normal 11 4 5 10 2" xfId="20227"/>
    <cellStyle name="Normal 11 4 5 11" xfId="1390"/>
    <cellStyle name="Normal 11 4 5 12" xfId="1391"/>
    <cellStyle name="Normal 11 4 5 13" xfId="1392"/>
    <cellStyle name="Normal 11 4 5 14" xfId="1393"/>
    <cellStyle name="Normal 11 4 5 15" xfId="11423"/>
    <cellStyle name="Normal 11 4 5 16" xfId="20226"/>
    <cellStyle name="Normal 11 4 5 17" xfId="20228"/>
    <cellStyle name="Normal 11 4 5 18" xfId="20229"/>
    <cellStyle name="Normal 11 4 5 19" xfId="20230"/>
    <cellStyle name="Normal 11 4 5 2" xfId="1388"/>
    <cellStyle name="Normal 11 4 5 2 10" xfId="20231"/>
    <cellStyle name="Normal 11 4 5 2 11" xfId="20232"/>
    <cellStyle name="Normal 11 4 5 2 12" xfId="20233"/>
    <cellStyle name="Normal 11 4 5 2 13" xfId="20234"/>
    <cellStyle name="Normal 11 4 5 2 14" xfId="20235"/>
    <cellStyle name="Normal 11 4 5 2 15" xfId="20236"/>
    <cellStyle name="Normal 11 4 5 2 2" xfId="20237"/>
    <cellStyle name="Normal 11 4 5 2 2 2" xfId="20238"/>
    <cellStyle name="Normal 11 4 5 2 2 2 2" xfId="20239"/>
    <cellStyle name="Normal 11 4 5 2 2 3" xfId="20240"/>
    <cellStyle name="Normal 11 4 5 2 2 4" xfId="20241"/>
    <cellStyle name="Normal 11 4 5 2 2 5" xfId="20242"/>
    <cellStyle name="Normal 11 4 5 2 2 6" xfId="20243"/>
    <cellStyle name="Normal 11 4 5 2 2 7" xfId="20244"/>
    <cellStyle name="Normal 11 4 5 2 3" xfId="20245"/>
    <cellStyle name="Normal 11 4 5 2 3 2" xfId="20246"/>
    <cellStyle name="Normal 11 4 5 2 3 3" xfId="20247"/>
    <cellStyle name="Normal 11 4 5 2 3 4" xfId="20248"/>
    <cellStyle name="Normal 11 4 5 2 4" xfId="20249"/>
    <cellStyle name="Normal 11 4 5 2 4 2" xfId="20250"/>
    <cellStyle name="Normal 11 4 5 2 4 3" xfId="20251"/>
    <cellStyle name="Normal 11 4 5 2 4 4" xfId="20252"/>
    <cellStyle name="Normal 11 4 5 2 5" xfId="20253"/>
    <cellStyle name="Normal 11 4 5 2 5 2" xfId="20254"/>
    <cellStyle name="Normal 11 4 5 2 5 3" xfId="20255"/>
    <cellStyle name="Normal 11 4 5 2 5 4" xfId="20256"/>
    <cellStyle name="Normal 11 4 5 2 6" xfId="20257"/>
    <cellStyle name="Normal 11 4 5 2 6 2" xfId="20258"/>
    <cellStyle name="Normal 11 4 5 2 6 3" xfId="20259"/>
    <cellStyle name="Normal 11 4 5 2 7" xfId="20260"/>
    <cellStyle name="Normal 11 4 5 2 7 2" xfId="20261"/>
    <cellStyle name="Normal 11 4 5 2 8" xfId="20262"/>
    <cellStyle name="Normal 11 4 5 2 8 2" xfId="20263"/>
    <cellStyle name="Normal 11 4 5 2 9" xfId="20264"/>
    <cellStyle name="Normal 11 4 5 2 9 2" xfId="20265"/>
    <cellStyle name="Normal 11 4 5 20" xfId="20266"/>
    <cellStyle name="Normal 11 4 5 3" xfId="1395"/>
    <cellStyle name="Normal 11 4 5 3 2" xfId="20267"/>
    <cellStyle name="Normal 11 4 5 3 2 2" xfId="20268"/>
    <cellStyle name="Normal 11 4 5 3 2 3" xfId="20269"/>
    <cellStyle name="Normal 11 4 5 3 2 4" xfId="20270"/>
    <cellStyle name="Normal 11 4 5 3 3" xfId="20271"/>
    <cellStyle name="Normal 11 4 5 3 3 2" xfId="20272"/>
    <cellStyle name="Normal 11 4 5 3 3 3" xfId="20273"/>
    <cellStyle name="Normal 11 4 5 3 4" xfId="20274"/>
    <cellStyle name="Normal 11 4 5 3 4 2" xfId="20275"/>
    <cellStyle name="Normal 11 4 5 3 5" xfId="20276"/>
    <cellStyle name="Normal 11 4 5 3 5 2" xfId="20277"/>
    <cellStyle name="Normal 11 4 5 3 6" xfId="20278"/>
    <cellStyle name="Normal 11 4 5 3 6 2" xfId="20279"/>
    <cellStyle name="Normal 11 4 5 3 7" xfId="20280"/>
    <cellStyle name="Normal 11 4 5 4" xfId="1396"/>
    <cellStyle name="Normal 11 4 5 4 2" xfId="20281"/>
    <cellStyle name="Normal 11 4 5 4 3" xfId="20282"/>
    <cellStyle name="Normal 11 4 5 4 4" xfId="20283"/>
    <cellStyle name="Normal 11 4 5 5" xfId="1397"/>
    <cellStyle name="Normal 11 4 5 5 2" xfId="20284"/>
    <cellStyle name="Normal 11 4 5 5 3" xfId="20285"/>
    <cellStyle name="Normal 11 4 5 5 4" xfId="20286"/>
    <cellStyle name="Normal 11 4 5 6" xfId="1398"/>
    <cellStyle name="Normal 11 4 5 6 2" xfId="20287"/>
    <cellStyle name="Normal 11 4 5 6 3" xfId="20288"/>
    <cellStyle name="Normal 11 4 5 6 4" xfId="20289"/>
    <cellStyle name="Normal 11 4 5 7" xfId="1399"/>
    <cellStyle name="Normal 11 4 5 7 2" xfId="20290"/>
    <cellStyle name="Normal 11 4 5 7 3" xfId="20291"/>
    <cellStyle name="Normal 11 4 5 8" xfId="1400"/>
    <cellStyle name="Normal 11 4 5 8 2" xfId="20292"/>
    <cellStyle name="Normal 11 4 5 9" xfId="1401"/>
    <cellStyle name="Normal 11 4 5 9 2" xfId="20293"/>
    <cellStyle name="Normal 11 4 6" xfId="35"/>
    <cellStyle name="Normal 11 4 6 10" xfId="1403"/>
    <cellStyle name="Normal 11 4 6 10 2" xfId="20295"/>
    <cellStyle name="Normal 11 4 6 11" xfId="1404"/>
    <cellStyle name="Normal 11 4 6 12" xfId="1405"/>
    <cellStyle name="Normal 11 4 6 13" xfId="1406"/>
    <cellStyle name="Normal 11 4 6 14" xfId="1407"/>
    <cellStyle name="Normal 11 4 6 15" xfId="11412"/>
    <cellStyle name="Normal 11 4 6 16" xfId="20294"/>
    <cellStyle name="Normal 11 4 6 17" xfId="20296"/>
    <cellStyle name="Normal 11 4 6 18" xfId="20297"/>
    <cellStyle name="Normal 11 4 6 19" xfId="20298"/>
    <cellStyle name="Normal 11 4 6 2" xfId="1402"/>
    <cellStyle name="Normal 11 4 6 2 10" xfId="20299"/>
    <cellStyle name="Normal 11 4 6 2 11" xfId="20300"/>
    <cellStyle name="Normal 11 4 6 2 12" xfId="20301"/>
    <cellStyle name="Normal 11 4 6 2 13" xfId="20302"/>
    <cellStyle name="Normal 11 4 6 2 14" xfId="20303"/>
    <cellStyle name="Normal 11 4 6 2 15" xfId="20304"/>
    <cellStyle name="Normal 11 4 6 2 2" xfId="20305"/>
    <cellStyle name="Normal 11 4 6 2 2 2" xfId="20306"/>
    <cellStyle name="Normal 11 4 6 2 2 2 2" xfId="20307"/>
    <cellStyle name="Normal 11 4 6 2 2 3" xfId="20308"/>
    <cellStyle name="Normal 11 4 6 2 2 4" xfId="20309"/>
    <cellStyle name="Normal 11 4 6 2 2 5" xfId="20310"/>
    <cellStyle name="Normal 11 4 6 2 2 6" xfId="20311"/>
    <cellStyle name="Normal 11 4 6 2 2 7" xfId="20312"/>
    <cellStyle name="Normal 11 4 6 2 3" xfId="20313"/>
    <cellStyle name="Normal 11 4 6 2 3 2" xfId="20314"/>
    <cellStyle name="Normal 11 4 6 2 3 3" xfId="20315"/>
    <cellStyle name="Normal 11 4 6 2 3 4" xfId="20316"/>
    <cellStyle name="Normal 11 4 6 2 4" xfId="20317"/>
    <cellStyle name="Normal 11 4 6 2 4 2" xfId="20318"/>
    <cellStyle name="Normal 11 4 6 2 4 3" xfId="20319"/>
    <cellStyle name="Normal 11 4 6 2 4 4" xfId="20320"/>
    <cellStyle name="Normal 11 4 6 2 5" xfId="20321"/>
    <cellStyle name="Normal 11 4 6 2 5 2" xfId="20322"/>
    <cellStyle name="Normal 11 4 6 2 5 3" xfId="20323"/>
    <cellStyle name="Normal 11 4 6 2 5 4" xfId="20324"/>
    <cellStyle name="Normal 11 4 6 2 6" xfId="20325"/>
    <cellStyle name="Normal 11 4 6 2 6 2" xfId="20326"/>
    <cellStyle name="Normal 11 4 6 2 6 3" xfId="20327"/>
    <cellStyle name="Normal 11 4 6 2 7" xfId="20328"/>
    <cellStyle name="Normal 11 4 6 2 7 2" xfId="20329"/>
    <cellStyle name="Normal 11 4 6 2 8" xfId="20330"/>
    <cellStyle name="Normal 11 4 6 2 8 2" xfId="20331"/>
    <cellStyle name="Normal 11 4 6 2 9" xfId="20332"/>
    <cellStyle name="Normal 11 4 6 2 9 2" xfId="20333"/>
    <cellStyle name="Normal 11 4 6 20" xfId="20334"/>
    <cellStyle name="Normal 11 4 6 3" xfId="1409"/>
    <cellStyle name="Normal 11 4 6 3 2" xfId="20335"/>
    <cellStyle name="Normal 11 4 6 3 2 2" xfId="20336"/>
    <cellStyle name="Normal 11 4 6 3 2 3" xfId="20337"/>
    <cellStyle name="Normal 11 4 6 3 2 4" xfId="20338"/>
    <cellStyle name="Normal 11 4 6 3 3" xfId="20339"/>
    <cellStyle name="Normal 11 4 6 3 3 2" xfId="20340"/>
    <cellStyle name="Normal 11 4 6 3 3 3" xfId="20341"/>
    <cellStyle name="Normal 11 4 6 3 4" xfId="20342"/>
    <cellStyle name="Normal 11 4 6 3 4 2" xfId="20343"/>
    <cellStyle name="Normal 11 4 6 3 5" xfId="20344"/>
    <cellStyle name="Normal 11 4 6 3 5 2" xfId="20345"/>
    <cellStyle name="Normal 11 4 6 3 6" xfId="20346"/>
    <cellStyle name="Normal 11 4 6 3 6 2" xfId="20347"/>
    <cellStyle name="Normal 11 4 6 3 7" xfId="20348"/>
    <cellStyle name="Normal 11 4 6 4" xfId="1410"/>
    <cellStyle name="Normal 11 4 6 4 2" xfId="20349"/>
    <cellStyle name="Normal 11 4 6 4 3" xfId="20350"/>
    <cellStyle name="Normal 11 4 6 4 4" xfId="20351"/>
    <cellStyle name="Normal 11 4 6 5" xfId="1411"/>
    <cellStyle name="Normal 11 4 6 5 2" xfId="20352"/>
    <cellStyle name="Normal 11 4 6 5 3" xfId="20353"/>
    <cellStyle name="Normal 11 4 6 5 4" xfId="20354"/>
    <cellStyle name="Normal 11 4 6 6" xfId="1412"/>
    <cellStyle name="Normal 11 4 6 6 2" xfId="20355"/>
    <cellStyle name="Normal 11 4 6 6 3" xfId="20356"/>
    <cellStyle name="Normal 11 4 6 6 4" xfId="20357"/>
    <cellStyle name="Normal 11 4 6 7" xfId="1413"/>
    <cellStyle name="Normal 11 4 6 7 2" xfId="20358"/>
    <cellStyle name="Normal 11 4 6 7 3" xfId="20359"/>
    <cellStyle name="Normal 11 4 6 8" xfId="1414"/>
    <cellStyle name="Normal 11 4 6 8 2" xfId="20360"/>
    <cellStyle name="Normal 11 4 6 9" xfId="1415"/>
    <cellStyle name="Normal 11 4 6 9 2" xfId="20361"/>
    <cellStyle name="Normal 11 4 7" xfId="36"/>
    <cellStyle name="Normal 11 4 7 10" xfId="1417"/>
    <cellStyle name="Normal 11 4 7 10 2" xfId="20363"/>
    <cellStyle name="Normal 11 4 7 11" xfId="1418"/>
    <cellStyle name="Normal 11 4 7 12" xfId="1419"/>
    <cellStyle name="Normal 11 4 7 13" xfId="1420"/>
    <cellStyle name="Normal 11 4 7 14" xfId="1421"/>
    <cellStyle name="Normal 11 4 7 15" xfId="11398"/>
    <cellStyle name="Normal 11 4 7 16" xfId="20362"/>
    <cellStyle name="Normal 11 4 7 17" xfId="20364"/>
    <cellStyle name="Normal 11 4 7 18" xfId="20365"/>
    <cellStyle name="Normal 11 4 7 19" xfId="20366"/>
    <cellStyle name="Normal 11 4 7 2" xfId="1416"/>
    <cellStyle name="Normal 11 4 7 2 10" xfId="20367"/>
    <cellStyle name="Normal 11 4 7 2 11" xfId="20368"/>
    <cellStyle name="Normal 11 4 7 2 12" xfId="20369"/>
    <cellStyle name="Normal 11 4 7 2 13" xfId="20370"/>
    <cellStyle name="Normal 11 4 7 2 14" xfId="20371"/>
    <cellStyle name="Normal 11 4 7 2 15" xfId="20372"/>
    <cellStyle name="Normal 11 4 7 2 2" xfId="20373"/>
    <cellStyle name="Normal 11 4 7 2 2 2" xfId="20374"/>
    <cellStyle name="Normal 11 4 7 2 2 2 2" xfId="20375"/>
    <cellStyle name="Normal 11 4 7 2 2 3" xfId="20376"/>
    <cellStyle name="Normal 11 4 7 2 2 4" xfId="20377"/>
    <cellStyle name="Normal 11 4 7 2 2 5" xfId="20378"/>
    <cellStyle name="Normal 11 4 7 2 2 6" xfId="20379"/>
    <cellStyle name="Normal 11 4 7 2 2 7" xfId="20380"/>
    <cellStyle name="Normal 11 4 7 2 3" xfId="20381"/>
    <cellStyle name="Normal 11 4 7 2 3 2" xfId="20382"/>
    <cellStyle name="Normal 11 4 7 2 3 3" xfId="20383"/>
    <cellStyle name="Normal 11 4 7 2 3 4" xfId="20384"/>
    <cellStyle name="Normal 11 4 7 2 4" xfId="20385"/>
    <cellStyle name="Normal 11 4 7 2 4 2" xfId="20386"/>
    <cellStyle name="Normal 11 4 7 2 4 3" xfId="20387"/>
    <cellStyle name="Normal 11 4 7 2 4 4" xfId="20388"/>
    <cellStyle name="Normal 11 4 7 2 5" xfId="20389"/>
    <cellStyle name="Normal 11 4 7 2 5 2" xfId="20390"/>
    <cellStyle name="Normal 11 4 7 2 5 3" xfId="20391"/>
    <cellStyle name="Normal 11 4 7 2 5 4" xfId="20392"/>
    <cellStyle name="Normal 11 4 7 2 6" xfId="20393"/>
    <cellStyle name="Normal 11 4 7 2 6 2" xfId="20394"/>
    <cellStyle name="Normal 11 4 7 2 6 3" xfId="20395"/>
    <cellStyle name="Normal 11 4 7 2 7" xfId="20396"/>
    <cellStyle name="Normal 11 4 7 2 7 2" xfId="20397"/>
    <cellStyle name="Normal 11 4 7 2 8" xfId="20398"/>
    <cellStyle name="Normal 11 4 7 2 8 2" xfId="20399"/>
    <cellStyle name="Normal 11 4 7 2 9" xfId="20400"/>
    <cellStyle name="Normal 11 4 7 2 9 2" xfId="20401"/>
    <cellStyle name="Normal 11 4 7 20" xfId="20402"/>
    <cellStyle name="Normal 11 4 7 3" xfId="1423"/>
    <cellStyle name="Normal 11 4 7 3 2" xfId="20403"/>
    <cellStyle name="Normal 11 4 7 3 2 2" xfId="20404"/>
    <cellStyle name="Normal 11 4 7 3 2 3" xfId="20405"/>
    <cellStyle name="Normal 11 4 7 3 2 4" xfId="20406"/>
    <cellStyle name="Normal 11 4 7 3 3" xfId="20407"/>
    <cellStyle name="Normal 11 4 7 3 3 2" xfId="20408"/>
    <cellStyle name="Normal 11 4 7 3 3 3" xfId="20409"/>
    <cellStyle name="Normal 11 4 7 3 4" xfId="20410"/>
    <cellStyle name="Normal 11 4 7 3 4 2" xfId="20411"/>
    <cellStyle name="Normal 11 4 7 3 5" xfId="20412"/>
    <cellStyle name="Normal 11 4 7 3 5 2" xfId="20413"/>
    <cellStyle name="Normal 11 4 7 3 6" xfId="20414"/>
    <cellStyle name="Normal 11 4 7 3 6 2" xfId="20415"/>
    <cellStyle name="Normal 11 4 7 3 7" xfId="20416"/>
    <cellStyle name="Normal 11 4 7 4" xfId="1424"/>
    <cellStyle name="Normal 11 4 7 4 2" xfId="20417"/>
    <cellStyle name="Normal 11 4 7 4 3" xfId="20418"/>
    <cellStyle name="Normal 11 4 7 4 4" xfId="20419"/>
    <cellStyle name="Normal 11 4 7 5" xfId="1425"/>
    <cellStyle name="Normal 11 4 7 5 2" xfId="20420"/>
    <cellStyle name="Normal 11 4 7 5 3" xfId="20421"/>
    <cellStyle name="Normal 11 4 7 5 4" xfId="20422"/>
    <cellStyle name="Normal 11 4 7 6" xfId="1426"/>
    <cellStyle name="Normal 11 4 7 6 2" xfId="20423"/>
    <cellStyle name="Normal 11 4 7 6 3" xfId="20424"/>
    <cellStyle name="Normal 11 4 7 6 4" xfId="20425"/>
    <cellStyle name="Normal 11 4 7 7" xfId="1427"/>
    <cellStyle name="Normal 11 4 7 7 2" xfId="20426"/>
    <cellStyle name="Normal 11 4 7 7 3" xfId="20427"/>
    <cellStyle name="Normal 11 4 7 8" xfId="1428"/>
    <cellStyle name="Normal 11 4 7 8 2" xfId="20428"/>
    <cellStyle name="Normal 11 4 7 9" xfId="1429"/>
    <cellStyle name="Normal 11 4 7 9 2" xfId="20429"/>
    <cellStyle name="Normal 11 4 8" xfId="37"/>
    <cellStyle name="Normal 11 4 8 10" xfId="1431"/>
    <cellStyle name="Normal 11 4 8 10 2" xfId="20431"/>
    <cellStyle name="Normal 11 4 8 11" xfId="1432"/>
    <cellStyle name="Normal 11 4 8 12" xfId="1433"/>
    <cellStyle name="Normal 11 4 8 13" xfId="1434"/>
    <cellStyle name="Normal 11 4 8 14" xfId="1435"/>
    <cellStyle name="Normal 11 4 8 15" xfId="11384"/>
    <cellStyle name="Normal 11 4 8 16" xfId="20430"/>
    <cellStyle name="Normal 11 4 8 17" xfId="20432"/>
    <cellStyle name="Normal 11 4 8 18" xfId="20433"/>
    <cellStyle name="Normal 11 4 8 2" xfId="1430"/>
    <cellStyle name="Normal 11 4 8 2 10" xfId="20434"/>
    <cellStyle name="Normal 11 4 8 2 11" xfId="20435"/>
    <cellStyle name="Normal 11 4 8 2 2" xfId="20436"/>
    <cellStyle name="Normal 11 4 8 2 2 2" xfId="20437"/>
    <cellStyle name="Normal 11 4 8 2 2 3" xfId="20438"/>
    <cellStyle name="Normal 11 4 8 2 2 4" xfId="20439"/>
    <cellStyle name="Normal 11 4 8 2 3" xfId="20440"/>
    <cellStyle name="Normal 11 4 8 2 3 2" xfId="20441"/>
    <cellStyle name="Normal 11 4 8 2 3 3" xfId="20442"/>
    <cellStyle name="Normal 11 4 8 2 3 4" xfId="20443"/>
    <cellStyle name="Normal 11 4 8 2 4" xfId="20444"/>
    <cellStyle name="Normal 11 4 8 2 4 2" xfId="20445"/>
    <cellStyle name="Normal 11 4 8 2 4 3" xfId="20446"/>
    <cellStyle name="Normal 11 4 8 2 4 4" xfId="20447"/>
    <cellStyle name="Normal 11 4 8 2 5" xfId="20448"/>
    <cellStyle name="Normal 11 4 8 2 5 2" xfId="20449"/>
    <cellStyle name="Normal 11 4 8 2 5 3" xfId="20450"/>
    <cellStyle name="Normal 11 4 8 2 5 4" xfId="20451"/>
    <cellStyle name="Normal 11 4 8 2 6" xfId="20452"/>
    <cellStyle name="Normal 11 4 8 2 6 2" xfId="20453"/>
    <cellStyle name="Normal 11 4 8 2 7" xfId="20454"/>
    <cellStyle name="Normal 11 4 8 2 7 2" xfId="20455"/>
    <cellStyle name="Normal 11 4 8 2 8" xfId="20456"/>
    <cellStyle name="Normal 11 4 8 2 8 2" xfId="20457"/>
    <cellStyle name="Normal 11 4 8 2 9" xfId="20458"/>
    <cellStyle name="Normal 11 4 8 2 9 2" xfId="20459"/>
    <cellStyle name="Normal 11 4 8 3" xfId="1437"/>
    <cellStyle name="Normal 11 4 8 3 2" xfId="20460"/>
    <cellStyle name="Normal 11 4 8 3 2 2" xfId="20461"/>
    <cellStyle name="Normal 11 4 8 3 2 3" xfId="20462"/>
    <cellStyle name="Normal 11 4 8 3 2 4" xfId="20463"/>
    <cellStyle name="Normal 11 4 8 3 3" xfId="20464"/>
    <cellStyle name="Normal 11 4 8 3 3 2" xfId="20465"/>
    <cellStyle name="Normal 11 4 8 3 3 3" xfId="20466"/>
    <cellStyle name="Normal 11 4 8 3 4" xfId="20467"/>
    <cellStyle name="Normal 11 4 8 3 4 2" xfId="20468"/>
    <cellStyle name="Normal 11 4 8 3 5" xfId="20469"/>
    <cellStyle name="Normal 11 4 8 3 5 2" xfId="20470"/>
    <cellStyle name="Normal 11 4 8 3 6" xfId="20471"/>
    <cellStyle name="Normal 11 4 8 3 6 2" xfId="20472"/>
    <cellStyle name="Normal 11 4 8 3 7" xfId="20473"/>
    <cellStyle name="Normal 11 4 8 4" xfId="1438"/>
    <cellStyle name="Normal 11 4 8 4 2" xfId="20474"/>
    <cellStyle name="Normal 11 4 8 4 3" xfId="20475"/>
    <cellStyle name="Normal 11 4 8 4 4" xfId="20476"/>
    <cellStyle name="Normal 11 4 8 5" xfId="1439"/>
    <cellStyle name="Normal 11 4 8 5 2" xfId="20477"/>
    <cellStyle name="Normal 11 4 8 5 3" xfId="20478"/>
    <cellStyle name="Normal 11 4 8 5 4" xfId="20479"/>
    <cellStyle name="Normal 11 4 8 6" xfId="1440"/>
    <cellStyle name="Normal 11 4 8 6 2" xfId="20480"/>
    <cellStyle name="Normal 11 4 8 6 3" xfId="20481"/>
    <cellStyle name="Normal 11 4 8 6 4" xfId="20482"/>
    <cellStyle name="Normal 11 4 8 7" xfId="1441"/>
    <cellStyle name="Normal 11 4 8 7 2" xfId="20483"/>
    <cellStyle name="Normal 11 4 8 7 3" xfId="20484"/>
    <cellStyle name="Normal 11 4 8 8" xfId="1442"/>
    <cellStyle name="Normal 11 4 8 8 2" xfId="20485"/>
    <cellStyle name="Normal 11 4 8 9" xfId="1443"/>
    <cellStyle name="Normal 11 4 8 9 2" xfId="20486"/>
    <cellStyle name="Normal 11 4 9" xfId="38"/>
    <cellStyle name="Normal 11 4 9 10" xfId="20488"/>
    <cellStyle name="Normal 11 4 9 10 2" xfId="20489"/>
    <cellStyle name="Normal 11 4 9 11" xfId="20490"/>
    <cellStyle name="Normal 11 4 9 12" xfId="20491"/>
    <cellStyle name="Normal 11 4 9 13" xfId="20492"/>
    <cellStyle name="Normal 11 4 9 14" xfId="20493"/>
    <cellStyle name="Normal 11 4 9 15" xfId="20494"/>
    <cellStyle name="Normal 11 4 9 16" xfId="20495"/>
    <cellStyle name="Normal 11 4 9 17" xfId="20496"/>
    <cellStyle name="Normal 11 4 9 2" xfId="1444"/>
    <cellStyle name="Normal 11 4 9 2 10" xfId="20497"/>
    <cellStyle name="Normal 11 4 9 2 11" xfId="20498"/>
    <cellStyle name="Normal 11 4 9 2 2" xfId="20499"/>
    <cellStyle name="Normal 11 4 9 2 2 2" xfId="20500"/>
    <cellStyle name="Normal 11 4 9 2 2 3" xfId="20501"/>
    <cellStyle name="Normal 11 4 9 2 2 4" xfId="20502"/>
    <cellStyle name="Normal 11 4 9 2 3" xfId="20503"/>
    <cellStyle name="Normal 11 4 9 2 3 2" xfId="20504"/>
    <cellStyle name="Normal 11 4 9 2 3 3" xfId="20505"/>
    <cellStyle name="Normal 11 4 9 2 3 4" xfId="20506"/>
    <cellStyle name="Normal 11 4 9 2 4" xfId="20507"/>
    <cellStyle name="Normal 11 4 9 2 4 2" xfId="20508"/>
    <cellStyle name="Normal 11 4 9 2 4 3" xfId="20509"/>
    <cellStyle name="Normal 11 4 9 2 4 4" xfId="20510"/>
    <cellStyle name="Normal 11 4 9 2 5" xfId="20511"/>
    <cellStyle name="Normal 11 4 9 2 5 2" xfId="20512"/>
    <cellStyle name="Normal 11 4 9 2 5 3" xfId="20513"/>
    <cellStyle name="Normal 11 4 9 2 5 4" xfId="20514"/>
    <cellStyle name="Normal 11 4 9 2 6" xfId="20515"/>
    <cellStyle name="Normal 11 4 9 2 6 2" xfId="20516"/>
    <cellStyle name="Normal 11 4 9 2 7" xfId="20517"/>
    <cellStyle name="Normal 11 4 9 2 7 2" xfId="20518"/>
    <cellStyle name="Normal 11 4 9 2 8" xfId="20519"/>
    <cellStyle name="Normal 11 4 9 2 8 2" xfId="20520"/>
    <cellStyle name="Normal 11 4 9 2 9" xfId="20521"/>
    <cellStyle name="Normal 11 4 9 2 9 2" xfId="20522"/>
    <cellStyle name="Normal 11 4 9 3" xfId="11370"/>
    <cellStyle name="Normal 11 4 9 3 2" xfId="20523"/>
    <cellStyle name="Normal 11 4 9 3 2 2" xfId="20524"/>
    <cellStyle name="Normal 11 4 9 3 2 3" xfId="20525"/>
    <cellStyle name="Normal 11 4 9 3 2 4" xfId="20526"/>
    <cellStyle name="Normal 11 4 9 3 3" xfId="20527"/>
    <cellStyle name="Normal 11 4 9 3 3 2" xfId="20528"/>
    <cellStyle name="Normal 11 4 9 3 3 3" xfId="20529"/>
    <cellStyle name="Normal 11 4 9 3 4" xfId="20530"/>
    <cellStyle name="Normal 11 4 9 3 4 2" xfId="20531"/>
    <cellStyle name="Normal 11 4 9 3 5" xfId="20532"/>
    <cellStyle name="Normal 11 4 9 3 5 2" xfId="20533"/>
    <cellStyle name="Normal 11 4 9 3 6" xfId="20534"/>
    <cellStyle name="Normal 11 4 9 3 6 2" xfId="20535"/>
    <cellStyle name="Normal 11 4 9 3 7" xfId="20536"/>
    <cellStyle name="Normal 11 4 9 4" xfId="20487"/>
    <cellStyle name="Normal 11 4 9 4 2" xfId="20537"/>
    <cellStyle name="Normal 11 4 9 4 3" xfId="20538"/>
    <cellStyle name="Normal 11 4 9 4 4" xfId="20539"/>
    <cellStyle name="Normal 11 4 9 5" xfId="20540"/>
    <cellStyle name="Normal 11 4 9 5 2" xfId="20541"/>
    <cellStyle name="Normal 11 4 9 5 3" xfId="20542"/>
    <cellStyle name="Normal 11 4 9 5 4" xfId="20543"/>
    <cellStyle name="Normal 11 4 9 6" xfId="20544"/>
    <cellStyle name="Normal 11 4 9 6 2" xfId="20545"/>
    <cellStyle name="Normal 11 4 9 6 3" xfId="20546"/>
    <cellStyle name="Normal 11 4 9 6 4" xfId="20547"/>
    <cellStyle name="Normal 11 4 9 7" xfId="20548"/>
    <cellStyle name="Normal 11 4 9 7 2" xfId="20549"/>
    <cellStyle name="Normal 11 4 9 7 3" xfId="20550"/>
    <cellStyle name="Normal 11 4 9 8" xfId="20551"/>
    <cellStyle name="Normal 11 4 9 8 2" xfId="20552"/>
    <cellStyle name="Normal 11 4 9 9" xfId="20553"/>
    <cellStyle name="Normal 11 4 9 9 2" xfId="20554"/>
    <cellStyle name="Normal 11 40" xfId="20555"/>
    <cellStyle name="Normal 11 41" xfId="20556"/>
    <cellStyle name="Normal 11 42" xfId="20557"/>
    <cellStyle name="Normal 11 43" xfId="20558"/>
    <cellStyle name="Normal 11 44" xfId="20559"/>
    <cellStyle name="Normal 11 5" xfId="39"/>
    <cellStyle name="Normal 11 5 10" xfId="40"/>
    <cellStyle name="Normal 11 5 10 10" xfId="20562"/>
    <cellStyle name="Normal 11 5 10 10 2" xfId="20563"/>
    <cellStyle name="Normal 11 5 10 11" xfId="20564"/>
    <cellStyle name="Normal 11 5 10 12" xfId="20565"/>
    <cellStyle name="Normal 11 5 10 13" xfId="20566"/>
    <cellStyle name="Normal 11 5 10 14" xfId="20567"/>
    <cellStyle name="Normal 11 5 10 15" xfId="20568"/>
    <cellStyle name="Normal 11 5 10 16" xfId="20569"/>
    <cellStyle name="Normal 11 5 10 2" xfId="1446"/>
    <cellStyle name="Normal 11 5 10 2 10" xfId="20570"/>
    <cellStyle name="Normal 11 5 10 2 11" xfId="20571"/>
    <cellStyle name="Normal 11 5 10 2 2" xfId="20572"/>
    <cellStyle name="Normal 11 5 10 2 2 2" xfId="20573"/>
    <cellStyle name="Normal 11 5 10 2 2 3" xfId="20574"/>
    <cellStyle name="Normal 11 5 10 2 2 4" xfId="20575"/>
    <cellStyle name="Normal 11 5 10 2 3" xfId="20576"/>
    <cellStyle name="Normal 11 5 10 2 3 2" xfId="20577"/>
    <cellStyle name="Normal 11 5 10 2 3 3" xfId="20578"/>
    <cellStyle name="Normal 11 5 10 2 3 4" xfId="20579"/>
    <cellStyle name="Normal 11 5 10 2 4" xfId="20580"/>
    <cellStyle name="Normal 11 5 10 2 4 2" xfId="20581"/>
    <cellStyle name="Normal 11 5 10 2 4 3" xfId="20582"/>
    <cellStyle name="Normal 11 5 10 2 4 4" xfId="20583"/>
    <cellStyle name="Normal 11 5 10 2 5" xfId="20584"/>
    <cellStyle name="Normal 11 5 10 2 5 2" xfId="20585"/>
    <cellStyle name="Normal 11 5 10 2 5 3" xfId="20586"/>
    <cellStyle name="Normal 11 5 10 2 5 4" xfId="20587"/>
    <cellStyle name="Normal 11 5 10 2 6" xfId="20588"/>
    <cellStyle name="Normal 11 5 10 2 6 2" xfId="20589"/>
    <cellStyle name="Normal 11 5 10 2 7" xfId="20590"/>
    <cellStyle name="Normal 11 5 10 2 7 2" xfId="20591"/>
    <cellStyle name="Normal 11 5 10 2 8" xfId="20592"/>
    <cellStyle name="Normal 11 5 10 2 8 2" xfId="20593"/>
    <cellStyle name="Normal 11 5 10 2 9" xfId="20594"/>
    <cellStyle name="Normal 11 5 10 2 9 2" xfId="20595"/>
    <cellStyle name="Normal 11 5 10 3" xfId="11342"/>
    <cellStyle name="Normal 11 5 10 3 2" xfId="20596"/>
    <cellStyle name="Normal 11 5 10 3 2 2" xfId="20597"/>
    <cellStyle name="Normal 11 5 10 3 2 3" xfId="20598"/>
    <cellStyle name="Normal 11 5 10 3 2 4" xfId="20599"/>
    <cellStyle name="Normal 11 5 10 3 3" xfId="20600"/>
    <cellStyle name="Normal 11 5 10 3 3 2" xfId="20601"/>
    <cellStyle name="Normal 11 5 10 3 3 3" xfId="20602"/>
    <cellStyle name="Normal 11 5 10 3 4" xfId="20603"/>
    <cellStyle name="Normal 11 5 10 3 4 2" xfId="20604"/>
    <cellStyle name="Normal 11 5 10 3 5" xfId="20605"/>
    <cellStyle name="Normal 11 5 10 3 5 2" xfId="20606"/>
    <cellStyle name="Normal 11 5 10 3 6" xfId="20607"/>
    <cellStyle name="Normal 11 5 10 3 6 2" xfId="20608"/>
    <cellStyle name="Normal 11 5 10 3 7" xfId="20609"/>
    <cellStyle name="Normal 11 5 10 4" xfId="20561"/>
    <cellStyle name="Normal 11 5 10 4 2" xfId="20610"/>
    <cellStyle name="Normal 11 5 10 4 3" xfId="20611"/>
    <cellStyle name="Normal 11 5 10 4 4" xfId="20612"/>
    <cellStyle name="Normal 11 5 10 5" xfId="20613"/>
    <cellStyle name="Normal 11 5 10 5 2" xfId="20614"/>
    <cellStyle name="Normal 11 5 10 5 3" xfId="20615"/>
    <cellStyle name="Normal 11 5 10 5 4" xfId="20616"/>
    <cellStyle name="Normal 11 5 10 6" xfId="20617"/>
    <cellStyle name="Normal 11 5 10 6 2" xfId="20618"/>
    <cellStyle name="Normal 11 5 10 6 3" xfId="20619"/>
    <cellStyle name="Normal 11 5 10 6 4" xfId="20620"/>
    <cellStyle name="Normal 11 5 10 7" xfId="20621"/>
    <cellStyle name="Normal 11 5 10 7 2" xfId="20622"/>
    <cellStyle name="Normal 11 5 10 7 3" xfId="20623"/>
    <cellStyle name="Normal 11 5 10 8" xfId="20624"/>
    <cellStyle name="Normal 11 5 10 8 2" xfId="20625"/>
    <cellStyle name="Normal 11 5 10 9" xfId="20626"/>
    <cellStyle name="Normal 11 5 10 9 2" xfId="20627"/>
    <cellStyle name="Normal 11 5 11" xfId="1445"/>
    <cellStyle name="Normal 11 5 11 10" xfId="20628"/>
    <cellStyle name="Normal 11 5 11 10 2" xfId="20629"/>
    <cellStyle name="Normal 11 5 11 11" xfId="20630"/>
    <cellStyle name="Normal 11 5 11 2" xfId="20631"/>
    <cellStyle name="Normal 11 5 11 2 2" xfId="20632"/>
    <cellStyle name="Normal 11 5 11 2 2 2" xfId="20633"/>
    <cellStyle name="Normal 11 5 11 2 2 3" xfId="20634"/>
    <cellStyle name="Normal 11 5 11 2 3" xfId="20635"/>
    <cellStyle name="Normal 11 5 11 2 3 2" xfId="20636"/>
    <cellStyle name="Normal 11 5 11 2 4" xfId="20637"/>
    <cellStyle name="Normal 11 5 11 2 4 2" xfId="20638"/>
    <cellStyle name="Normal 11 5 11 2 5" xfId="20639"/>
    <cellStyle name="Normal 11 5 11 2 5 2" xfId="20640"/>
    <cellStyle name="Normal 11 5 11 2 6" xfId="20641"/>
    <cellStyle name="Normal 11 5 11 2 7" xfId="20642"/>
    <cellStyle name="Normal 11 5 11 2 8" xfId="20643"/>
    <cellStyle name="Normal 11 5 11 2 9" xfId="20644"/>
    <cellStyle name="Normal 11 5 11 3" xfId="20645"/>
    <cellStyle name="Normal 11 5 11 3 2" xfId="20646"/>
    <cellStyle name="Normal 11 5 11 3 2 2" xfId="20647"/>
    <cellStyle name="Normal 11 5 11 3 2 3" xfId="20648"/>
    <cellStyle name="Normal 11 5 11 3 3" xfId="20649"/>
    <cellStyle name="Normal 11 5 11 3 3 2" xfId="20650"/>
    <cellStyle name="Normal 11 5 11 3 4" xfId="20651"/>
    <cellStyle name="Normal 11 5 11 3 5" xfId="20652"/>
    <cellStyle name="Normal 11 5 11 3 6" xfId="20653"/>
    <cellStyle name="Normal 11 5 11 3 7" xfId="20654"/>
    <cellStyle name="Normal 11 5 11 4" xfId="20655"/>
    <cellStyle name="Normal 11 5 11 4 2" xfId="20656"/>
    <cellStyle name="Normal 11 5 11 4 3" xfId="20657"/>
    <cellStyle name="Normal 11 5 11 4 4" xfId="20658"/>
    <cellStyle name="Normal 11 5 11 5" xfId="20659"/>
    <cellStyle name="Normal 11 5 11 5 2" xfId="20660"/>
    <cellStyle name="Normal 11 5 11 5 3" xfId="20661"/>
    <cellStyle name="Normal 11 5 11 5 4" xfId="20662"/>
    <cellStyle name="Normal 11 5 11 6" xfId="20663"/>
    <cellStyle name="Normal 11 5 11 6 2" xfId="20664"/>
    <cellStyle name="Normal 11 5 11 6 3" xfId="20665"/>
    <cellStyle name="Normal 11 5 11 7" xfId="20666"/>
    <cellStyle name="Normal 11 5 11 7 2" xfId="20667"/>
    <cellStyle name="Normal 11 5 11 8" xfId="20668"/>
    <cellStyle name="Normal 11 5 11 8 2" xfId="20669"/>
    <cellStyle name="Normal 11 5 11 9" xfId="20670"/>
    <cellStyle name="Normal 11 5 11 9 2" xfId="20671"/>
    <cellStyle name="Normal 11 5 12" xfId="1448"/>
    <cellStyle name="Normal 11 5 12 2" xfId="20672"/>
    <cellStyle name="Normal 11 5 12 2 2" xfId="20673"/>
    <cellStyle name="Normal 11 5 12 2 3" xfId="20674"/>
    <cellStyle name="Normal 11 5 12 2 4" xfId="20675"/>
    <cellStyle name="Normal 11 5 12 3" xfId="20676"/>
    <cellStyle name="Normal 11 5 12 3 2" xfId="20677"/>
    <cellStyle name="Normal 11 5 12 3 3" xfId="20678"/>
    <cellStyle name="Normal 11 5 12 4" xfId="20679"/>
    <cellStyle name="Normal 11 5 12 4 2" xfId="20680"/>
    <cellStyle name="Normal 11 5 12 4 3" xfId="20681"/>
    <cellStyle name="Normal 11 5 12 5" xfId="20682"/>
    <cellStyle name="Normal 11 5 12 5 2" xfId="20683"/>
    <cellStyle name="Normal 11 5 12 5 3" xfId="20684"/>
    <cellStyle name="Normal 11 5 12 6" xfId="20685"/>
    <cellStyle name="Normal 11 5 12 6 2" xfId="20686"/>
    <cellStyle name="Normal 11 5 12 7" xfId="20687"/>
    <cellStyle name="Normal 11 5 12 8" xfId="20688"/>
    <cellStyle name="Normal 11 5 12 9" xfId="20689"/>
    <cellStyle name="Normal 11 5 13" xfId="1449"/>
    <cellStyle name="Normal 11 5 13 2" xfId="20690"/>
    <cellStyle name="Normal 11 5 13 2 2" xfId="20691"/>
    <cellStyle name="Normal 11 5 13 2 3" xfId="20692"/>
    <cellStyle name="Normal 11 5 13 3" xfId="20693"/>
    <cellStyle name="Normal 11 5 13 3 2" xfId="20694"/>
    <cellStyle name="Normal 11 5 13 4" xfId="20695"/>
    <cellStyle name="Normal 11 5 13 5" xfId="20696"/>
    <cellStyle name="Normal 11 5 13 6" xfId="20697"/>
    <cellStyle name="Normal 11 5 13 7" xfId="20698"/>
    <cellStyle name="Normal 11 5 14" xfId="1450"/>
    <cellStyle name="Normal 11 5 14 2" xfId="20699"/>
    <cellStyle name="Normal 11 5 14 3" xfId="20700"/>
    <cellStyle name="Normal 11 5 14 4" xfId="20701"/>
    <cellStyle name="Normal 11 5 15" xfId="1451"/>
    <cellStyle name="Normal 11 5 15 2" xfId="20702"/>
    <cellStyle name="Normal 11 5 15 3" xfId="20703"/>
    <cellStyle name="Normal 11 5 15 4" xfId="20704"/>
    <cellStyle name="Normal 11 5 16" xfId="1452"/>
    <cellStyle name="Normal 11 5 16 2" xfId="20705"/>
    <cellStyle name="Normal 11 5 16 3" xfId="20706"/>
    <cellStyle name="Normal 11 5 16 4" xfId="20707"/>
    <cellStyle name="Normal 11 5 17" xfId="1453"/>
    <cellStyle name="Normal 11 5 17 2" xfId="20708"/>
    <cellStyle name="Normal 11 5 18" xfId="1454"/>
    <cellStyle name="Normal 11 5 18 2" xfId="20709"/>
    <cellStyle name="Normal 11 5 19" xfId="1455"/>
    <cellStyle name="Normal 11 5 19 2" xfId="20710"/>
    <cellStyle name="Normal 11 5 2" xfId="41"/>
    <cellStyle name="Normal 11 5 2 10" xfId="1457"/>
    <cellStyle name="Normal 11 5 2 10 2" xfId="20712"/>
    <cellStyle name="Normal 11 5 2 10 3" xfId="20713"/>
    <cellStyle name="Normal 11 5 2 11" xfId="1458"/>
    <cellStyle name="Normal 11 5 2 11 2" xfId="20714"/>
    <cellStyle name="Normal 11 5 2 12" xfId="1459"/>
    <cellStyle name="Normal 11 5 2 13" xfId="1460"/>
    <cellStyle name="Normal 11 5 2 14" xfId="1461"/>
    <cellStyle name="Normal 11 5 2 15" xfId="11325"/>
    <cellStyle name="Normal 11 5 2 16" xfId="20711"/>
    <cellStyle name="Normal 11 5 2 17" xfId="20715"/>
    <cellStyle name="Normal 11 5 2 18" xfId="20716"/>
    <cellStyle name="Normal 11 5 2 19" xfId="20717"/>
    <cellStyle name="Normal 11 5 2 2" xfId="1456"/>
    <cellStyle name="Normal 11 5 2 2 10" xfId="20718"/>
    <cellStyle name="Normal 11 5 2 2 11" xfId="20719"/>
    <cellStyle name="Normal 11 5 2 2 12" xfId="20720"/>
    <cellStyle name="Normal 11 5 2 2 13" xfId="20721"/>
    <cellStyle name="Normal 11 5 2 2 14" xfId="20722"/>
    <cellStyle name="Normal 11 5 2 2 15" xfId="20723"/>
    <cellStyle name="Normal 11 5 2 2 16" xfId="20724"/>
    <cellStyle name="Normal 11 5 2 2 17" xfId="20725"/>
    <cellStyle name="Normal 11 5 2 2 18" xfId="20726"/>
    <cellStyle name="Normal 11 5 2 2 2" xfId="20727"/>
    <cellStyle name="Normal 11 5 2 2 2 10" xfId="20728"/>
    <cellStyle name="Normal 11 5 2 2 2 11" xfId="20729"/>
    <cellStyle name="Normal 11 5 2 2 2 2" xfId="20730"/>
    <cellStyle name="Normal 11 5 2 2 2 2 2" xfId="20731"/>
    <cellStyle name="Normal 11 5 2 2 2 3" xfId="20732"/>
    <cellStyle name="Normal 11 5 2 2 2 3 2" xfId="20733"/>
    <cellStyle name="Normal 11 5 2 2 2 4" xfId="20734"/>
    <cellStyle name="Normal 11 5 2 2 2 4 2" xfId="20735"/>
    <cellStyle name="Normal 11 5 2 2 2 5" xfId="20736"/>
    <cellStyle name="Normal 11 5 2 2 2 5 2" xfId="20737"/>
    <cellStyle name="Normal 11 5 2 2 2 6" xfId="20738"/>
    <cellStyle name="Normal 11 5 2 2 2 7" xfId="20739"/>
    <cellStyle name="Normal 11 5 2 2 2 8" xfId="20740"/>
    <cellStyle name="Normal 11 5 2 2 2 9" xfId="20741"/>
    <cellStyle name="Normal 11 5 2 2 3" xfId="20742"/>
    <cellStyle name="Normal 11 5 2 2 3 2" xfId="20743"/>
    <cellStyle name="Normal 11 5 2 2 3 2 2" xfId="20744"/>
    <cellStyle name="Normal 11 5 2 2 3 3" xfId="20745"/>
    <cellStyle name="Normal 11 5 2 2 3 4" xfId="20746"/>
    <cellStyle name="Normal 11 5 2 2 3 5" xfId="20747"/>
    <cellStyle name="Normal 11 5 2 2 3 6" xfId="20748"/>
    <cellStyle name="Normal 11 5 2 2 3 7" xfId="20749"/>
    <cellStyle name="Normal 11 5 2 2 4" xfId="20750"/>
    <cellStyle name="Normal 11 5 2 2 4 2" xfId="20751"/>
    <cellStyle name="Normal 11 5 2 2 4 3" xfId="20752"/>
    <cellStyle name="Normal 11 5 2 2 4 4" xfId="20753"/>
    <cellStyle name="Normal 11 5 2 2 5" xfId="20754"/>
    <cellStyle name="Normal 11 5 2 2 5 2" xfId="20755"/>
    <cellStyle name="Normal 11 5 2 2 5 3" xfId="20756"/>
    <cellStyle name="Normal 11 5 2 2 5 4" xfId="20757"/>
    <cellStyle name="Normal 11 5 2 2 6" xfId="20758"/>
    <cellStyle name="Normal 11 5 2 2 6 2" xfId="20759"/>
    <cellStyle name="Normal 11 5 2 2 6 3" xfId="20760"/>
    <cellStyle name="Normal 11 5 2 2 7" xfId="20761"/>
    <cellStyle name="Normal 11 5 2 2 7 2" xfId="20762"/>
    <cellStyle name="Normal 11 5 2 2 7 3" xfId="20763"/>
    <cellStyle name="Normal 11 5 2 2 8" xfId="20764"/>
    <cellStyle name="Normal 11 5 2 2 8 2" xfId="20765"/>
    <cellStyle name="Normal 11 5 2 2 9" xfId="20766"/>
    <cellStyle name="Normal 11 5 2 2 9 2" xfId="20767"/>
    <cellStyle name="Normal 11 5 2 20" xfId="20768"/>
    <cellStyle name="Normal 11 5 2 21" xfId="20769"/>
    <cellStyle name="Normal 11 5 2 22" xfId="20770"/>
    <cellStyle name="Normal 11 5 2 3" xfId="1463"/>
    <cellStyle name="Normal 11 5 2 3 10" xfId="20771"/>
    <cellStyle name="Normal 11 5 2 3 11" xfId="20772"/>
    <cellStyle name="Normal 11 5 2 3 12" xfId="20773"/>
    <cellStyle name="Normal 11 5 2 3 13" xfId="20774"/>
    <cellStyle name="Normal 11 5 2 3 14" xfId="20775"/>
    <cellStyle name="Normal 11 5 2 3 15" xfId="20776"/>
    <cellStyle name="Normal 11 5 2 3 16" xfId="20777"/>
    <cellStyle name="Normal 11 5 2 3 17" xfId="20778"/>
    <cellStyle name="Normal 11 5 2 3 18" xfId="20779"/>
    <cellStyle name="Normal 11 5 2 3 2" xfId="20780"/>
    <cellStyle name="Normal 11 5 2 3 2 10" xfId="20781"/>
    <cellStyle name="Normal 11 5 2 3 2 11" xfId="20782"/>
    <cellStyle name="Normal 11 5 2 3 2 2" xfId="20783"/>
    <cellStyle name="Normal 11 5 2 3 2 2 2" xfId="20784"/>
    <cellStyle name="Normal 11 5 2 3 2 3" xfId="20785"/>
    <cellStyle name="Normal 11 5 2 3 2 3 2" xfId="20786"/>
    <cellStyle name="Normal 11 5 2 3 2 4" xfId="20787"/>
    <cellStyle name="Normal 11 5 2 3 2 4 2" xfId="20788"/>
    <cellStyle name="Normal 11 5 2 3 2 5" xfId="20789"/>
    <cellStyle name="Normal 11 5 2 3 2 5 2" xfId="20790"/>
    <cellStyle name="Normal 11 5 2 3 2 6" xfId="20791"/>
    <cellStyle name="Normal 11 5 2 3 2 7" xfId="20792"/>
    <cellStyle name="Normal 11 5 2 3 2 8" xfId="20793"/>
    <cellStyle name="Normal 11 5 2 3 2 9" xfId="20794"/>
    <cellStyle name="Normal 11 5 2 3 3" xfId="20795"/>
    <cellStyle name="Normal 11 5 2 3 3 2" xfId="20796"/>
    <cellStyle name="Normal 11 5 2 3 3 2 2" xfId="20797"/>
    <cellStyle name="Normal 11 5 2 3 3 3" xfId="20798"/>
    <cellStyle name="Normal 11 5 2 3 3 4" xfId="20799"/>
    <cellStyle name="Normal 11 5 2 3 3 5" xfId="20800"/>
    <cellStyle name="Normal 11 5 2 3 3 6" xfId="20801"/>
    <cellStyle name="Normal 11 5 2 3 3 7" xfId="20802"/>
    <cellStyle name="Normal 11 5 2 3 4" xfId="20803"/>
    <cellStyle name="Normal 11 5 2 3 4 2" xfId="20804"/>
    <cellStyle name="Normal 11 5 2 3 4 3" xfId="20805"/>
    <cellStyle name="Normal 11 5 2 3 5" xfId="20806"/>
    <cellStyle name="Normal 11 5 2 3 5 2" xfId="20807"/>
    <cellStyle name="Normal 11 5 2 3 5 3" xfId="20808"/>
    <cellStyle name="Normal 11 5 2 3 6" xfId="20809"/>
    <cellStyle name="Normal 11 5 2 3 6 2" xfId="20810"/>
    <cellStyle name="Normal 11 5 2 3 6 3" xfId="20811"/>
    <cellStyle name="Normal 11 5 2 3 7" xfId="20812"/>
    <cellStyle name="Normal 11 5 2 3 7 2" xfId="20813"/>
    <cellStyle name="Normal 11 5 2 3 7 3" xfId="20814"/>
    <cellStyle name="Normal 11 5 2 3 8" xfId="20815"/>
    <cellStyle name="Normal 11 5 2 3 9" xfId="20816"/>
    <cellStyle name="Normal 11 5 2 4" xfId="1464"/>
    <cellStyle name="Normal 11 5 2 4 10" xfId="20817"/>
    <cellStyle name="Normal 11 5 2 4 11" xfId="20818"/>
    <cellStyle name="Normal 11 5 2 4 12" xfId="20819"/>
    <cellStyle name="Normal 11 5 2 4 13" xfId="20820"/>
    <cellStyle name="Normal 11 5 2 4 14" xfId="20821"/>
    <cellStyle name="Normal 11 5 2 4 15" xfId="20822"/>
    <cellStyle name="Normal 11 5 2 4 16" xfId="20823"/>
    <cellStyle name="Normal 11 5 2 4 17" xfId="20824"/>
    <cellStyle name="Normal 11 5 2 4 2" xfId="20825"/>
    <cellStyle name="Normal 11 5 2 4 2 2" xfId="20826"/>
    <cellStyle name="Normal 11 5 2 4 2 2 2" xfId="20827"/>
    <cellStyle name="Normal 11 5 2 4 2 3" xfId="20828"/>
    <cellStyle name="Normal 11 5 2 4 2 3 2" xfId="20829"/>
    <cellStyle name="Normal 11 5 2 4 2 4" xfId="20830"/>
    <cellStyle name="Normal 11 5 2 4 2 4 2" xfId="20831"/>
    <cellStyle name="Normal 11 5 2 4 2 5" xfId="20832"/>
    <cellStyle name="Normal 11 5 2 4 2 5 2" xfId="20833"/>
    <cellStyle name="Normal 11 5 2 4 2 6" xfId="20834"/>
    <cellStyle name="Normal 11 5 2 4 2 7" xfId="20835"/>
    <cellStyle name="Normal 11 5 2 4 2 8" xfId="20836"/>
    <cellStyle name="Normal 11 5 2 4 2 9" xfId="20837"/>
    <cellStyle name="Normal 11 5 2 4 3" xfId="20838"/>
    <cellStyle name="Normal 11 5 2 4 3 2" xfId="20839"/>
    <cellStyle name="Normal 11 5 2 4 3 2 2" xfId="20840"/>
    <cellStyle name="Normal 11 5 2 4 3 3" xfId="20841"/>
    <cellStyle name="Normal 11 5 2 4 3 4" xfId="20842"/>
    <cellStyle name="Normal 11 5 2 4 3 5" xfId="20843"/>
    <cellStyle name="Normal 11 5 2 4 4" xfId="20844"/>
    <cellStyle name="Normal 11 5 2 4 4 2" xfId="20845"/>
    <cellStyle name="Normal 11 5 2 4 5" xfId="20846"/>
    <cellStyle name="Normal 11 5 2 4 5 2" xfId="20847"/>
    <cellStyle name="Normal 11 5 2 4 6" xfId="20848"/>
    <cellStyle name="Normal 11 5 2 4 6 2" xfId="20849"/>
    <cellStyle name="Normal 11 5 2 4 7" xfId="20850"/>
    <cellStyle name="Normal 11 5 2 4 7 2" xfId="20851"/>
    <cellStyle name="Normal 11 5 2 4 8" xfId="20852"/>
    <cellStyle name="Normal 11 5 2 4 9" xfId="20853"/>
    <cellStyle name="Normal 11 5 2 5" xfId="1465"/>
    <cellStyle name="Normal 11 5 2 5 10" xfId="20854"/>
    <cellStyle name="Normal 11 5 2 5 11" xfId="20855"/>
    <cellStyle name="Normal 11 5 2 5 12" xfId="20856"/>
    <cellStyle name="Normal 11 5 2 5 13" xfId="20857"/>
    <cellStyle name="Normal 11 5 2 5 14" xfId="20858"/>
    <cellStyle name="Normal 11 5 2 5 15" xfId="20859"/>
    <cellStyle name="Normal 11 5 2 5 16" xfId="20860"/>
    <cellStyle name="Normal 11 5 2 5 2" xfId="20861"/>
    <cellStyle name="Normal 11 5 2 5 2 2" xfId="20862"/>
    <cellStyle name="Normal 11 5 2 5 2 2 2" xfId="20863"/>
    <cellStyle name="Normal 11 5 2 5 2 3" xfId="20864"/>
    <cellStyle name="Normal 11 5 2 5 2 3 2" xfId="20865"/>
    <cellStyle name="Normal 11 5 2 5 2 4" xfId="20866"/>
    <cellStyle name="Normal 11 5 2 5 2 4 2" xfId="20867"/>
    <cellStyle name="Normal 11 5 2 5 2 5" xfId="20868"/>
    <cellStyle name="Normal 11 5 2 5 2 5 2" xfId="20869"/>
    <cellStyle name="Normal 11 5 2 5 2 6" xfId="20870"/>
    <cellStyle name="Normal 11 5 2 5 2 7" xfId="20871"/>
    <cellStyle name="Normal 11 5 2 5 2 8" xfId="20872"/>
    <cellStyle name="Normal 11 5 2 5 2 9" xfId="20873"/>
    <cellStyle name="Normal 11 5 2 5 3" xfId="20874"/>
    <cellStyle name="Normal 11 5 2 5 3 2" xfId="20875"/>
    <cellStyle name="Normal 11 5 2 5 3 2 2" xfId="20876"/>
    <cellStyle name="Normal 11 5 2 5 3 3" xfId="20877"/>
    <cellStyle name="Normal 11 5 2 5 3 4" xfId="20878"/>
    <cellStyle name="Normal 11 5 2 5 3 5" xfId="20879"/>
    <cellStyle name="Normal 11 5 2 5 4" xfId="20880"/>
    <cellStyle name="Normal 11 5 2 5 4 2" xfId="20881"/>
    <cellStyle name="Normal 11 5 2 5 5" xfId="20882"/>
    <cellStyle name="Normal 11 5 2 5 5 2" xfId="20883"/>
    <cellStyle name="Normal 11 5 2 5 6" xfId="20884"/>
    <cellStyle name="Normal 11 5 2 5 6 2" xfId="20885"/>
    <cellStyle name="Normal 11 5 2 5 7" xfId="20886"/>
    <cellStyle name="Normal 11 5 2 5 7 2" xfId="20887"/>
    <cellStyle name="Normal 11 5 2 5 8" xfId="20888"/>
    <cellStyle name="Normal 11 5 2 5 9" xfId="20889"/>
    <cellStyle name="Normal 11 5 2 6" xfId="1466"/>
    <cellStyle name="Normal 11 5 2 6 10" xfId="20890"/>
    <cellStyle name="Normal 11 5 2 6 11" xfId="20891"/>
    <cellStyle name="Normal 11 5 2 6 2" xfId="20892"/>
    <cellStyle name="Normal 11 5 2 6 2 2" xfId="20893"/>
    <cellStyle name="Normal 11 5 2 6 3" xfId="20894"/>
    <cellStyle name="Normal 11 5 2 6 3 2" xfId="20895"/>
    <cellStyle name="Normal 11 5 2 6 4" xfId="20896"/>
    <cellStyle name="Normal 11 5 2 6 4 2" xfId="20897"/>
    <cellStyle name="Normal 11 5 2 6 5" xfId="20898"/>
    <cellStyle name="Normal 11 5 2 6 5 2" xfId="20899"/>
    <cellStyle name="Normal 11 5 2 6 6" xfId="20900"/>
    <cellStyle name="Normal 11 5 2 6 7" xfId="20901"/>
    <cellStyle name="Normal 11 5 2 6 8" xfId="20902"/>
    <cellStyle name="Normal 11 5 2 6 9" xfId="20903"/>
    <cellStyle name="Normal 11 5 2 7" xfId="1467"/>
    <cellStyle name="Normal 11 5 2 7 2" xfId="20904"/>
    <cellStyle name="Normal 11 5 2 7 2 2" xfId="20905"/>
    <cellStyle name="Normal 11 5 2 7 3" xfId="20906"/>
    <cellStyle name="Normal 11 5 2 7 4" xfId="20907"/>
    <cellStyle name="Normal 11 5 2 7 5" xfId="20908"/>
    <cellStyle name="Normal 11 5 2 7 6" xfId="20909"/>
    <cellStyle name="Normal 11 5 2 8" xfId="1468"/>
    <cellStyle name="Normal 11 5 2 8 2" xfId="20910"/>
    <cellStyle name="Normal 11 5 2 8 3" xfId="20911"/>
    <cellStyle name="Normal 11 5 2 9" xfId="1469"/>
    <cellStyle name="Normal 11 5 2 9 2" xfId="20912"/>
    <cellStyle name="Normal 11 5 2 9 3" xfId="20913"/>
    <cellStyle name="Normal 11 5 20" xfId="1470"/>
    <cellStyle name="Normal 11 5 20 2" xfId="20914"/>
    <cellStyle name="Normal 11 5 21" xfId="1471"/>
    <cellStyle name="Normal 11 5 22" xfId="1472"/>
    <cellStyle name="Normal 11 5 23" xfId="11356"/>
    <cellStyle name="Normal 11 5 24" xfId="20560"/>
    <cellStyle name="Normal 11 5 25" xfId="20915"/>
    <cellStyle name="Normal 11 5 26" xfId="20916"/>
    <cellStyle name="Normal 11 5 27" xfId="20917"/>
    <cellStyle name="Normal 11 5 28" xfId="20918"/>
    <cellStyle name="Normal 11 5 29" xfId="20919"/>
    <cellStyle name="Normal 11 5 3" xfId="42"/>
    <cellStyle name="Normal 11 5 3 10" xfId="1474"/>
    <cellStyle name="Normal 11 5 3 10 2" xfId="20921"/>
    <cellStyle name="Normal 11 5 3 11" xfId="1475"/>
    <cellStyle name="Normal 11 5 3 12" xfId="1476"/>
    <cellStyle name="Normal 11 5 3 13" xfId="1477"/>
    <cellStyle name="Normal 11 5 3 14" xfId="1478"/>
    <cellStyle name="Normal 11 5 3 15" xfId="11310"/>
    <cellStyle name="Normal 11 5 3 16" xfId="20920"/>
    <cellStyle name="Normal 11 5 3 17" xfId="20922"/>
    <cellStyle name="Normal 11 5 3 18" xfId="20923"/>
    <cellStyle name="Normal 11 5 3 19" xfId="20924"/>
    <cellStyle name="Normal 11 5 3 2" xfId="1473"/>
    <cellStyle name="Normal 11 5 3 2 10" xfId="20925"/>
    <cellStyle name="Normal 11 5 3 2 11" xfId="20926"/>
    <cellStyle name="Normal 11 5 3 2 12" xfId="20927"/>
    <cellStyle name="Normal 11 5 3 2 13" xfId="20928"/>
    <cellStyle name="Normal 11 5 3 2 14" xfId="20929"/>
    <cellStyle name="Normal 11 5 3 2 15" xfId="20930"/>
    <cellStyle name="Normal 11 5 3 2 2" xfId="20931"/>
    <cellStyle name="Normal 11 5 3 2 2 2" xfId="20932"/>
    <cellStyle name="Normal 11 5 3 2 2 2 2" xfId="20933"/>
    <cellStyle name="Normal 11 5 3 2 2 3" xfId="20934"/>
    <cellStyle name="Normal 11 5 3 2 2 4" xfId="20935"/>
    <cellStyle name="Normal 11 5 3 2 2 5" xfId="20936"/>
    <cellStyle name="Normal 11 5 3 2 2 6" xfId="20937"/>
    <cellStyle name="Normal 11 5 3 2 2 7" xfId="20938"/>
    <cellStyle name="Normal 11 5 3 2 3" xfId="20939"/>
    <cellStyle name="Normal 11 5 3 2 3 2" xfId="20940"/>
    <cellStyle name="Normal 11 5 3 2 3 3" xfId="20941"/>
    <cellStyle name="Normal 11 5 3 2 3 4" xfId="20942"/>
    <cellStyle name="Normal 11 5 3 2 4" xfId="20943"/>
    <cellStyle name="Normal 11 5 3 2 4 2" xfId="20944"/>
    <cellStyle name="Normal 11 5 3 2 4 3" xfId="20945"/>
    <cellStyle name="Normal 11 5 3 2 4 4" xfId="20946"/>
    <cellStyle name="Normal 11 5 3 2 5" xfId="20947"/>
    <cellStyle name="Normal 11 5 3 2 5 2" xfId="20948"/>
    <cellStyle name="Normal 11 5 3 2 5 3" xfId="20949"/>
    <cellStyle name="Normal 11 5 3 2 5 4" xfId="20950"/>
    <cellStyle name="Normal 11 5 3 2 6" xfId="20951"/>
    <cellStyle name="Normal 11 5 3 2 6 2" xfId="20952"/>
    <cellStyle name="Normal 11 5 3 2 6 3" xfId="20953"/>
    <cellStyle name="Normal 11 5 3 2 7" xfId="20954"/>
    <cellStyle name="Normal 11 5 3 2 7 2" xfId="20955"/>
    <cellStyle name="Normal 11 5 3 2 8" xfId="20956"/>
    <cellStyle name="Normal 11 5 3 2 8 2" xfId="20957"/>
    <cellStyle name="Normal 11 5 3 2 9" xfId="20958"/>
    <cellStyle name="Normal 11 5 3 2 9 2" xfId="20959"/>
    <cellStyle name="Normal 11 5 3 20" xfId="20960"/>
    <cellStyle name="Normal 11 5 3 3" xfId="1480"/>
    <cellStyle name="Normal 11 5 3 3 2" xfId="20961"/>
    <cellStyle name="Normal 11 5 3 3 2 2" xfId="20962"/>
    <cellStyle name="Normal 11 5 3 3 2 3" xfId="20963"/>
    <cellStyle name="Normal 11 5 3 3 2 4" xfId="20964"/>
    <cellStyle name="Normal 11 5 3 3 3" xfId="20965"/>
    <cellStyle name="Normal 11 5 3 3 3 2" xfId="20966"/>
    <cellStyle name="Normal 11 5 3 3 3 3" xfId="20967"/>
    <cellStyle name="Normal 11 5 3 3 4" xfId="20968"/>
    <cellStyle name="Normal 11 5 3 3 4 2" xfId="20969"/>
    <cellStyle name="Normal 11 5 3 3 5" xfId="20970"/>
    <cellStyle name="Normal 11 5 3 3 5 2" xfId="20971"/>
    <cellStyle name="Normal 11 5 3 3 6" xfId="20972"/>
    <cellStyle name="Normal 11 5 3 3 6 2" xfId="20973"/>
    <cellStyle name="Normal 11 5 3 3 7" xfId="20974"/>
    <cellStyle name="Normal 11 5 3 4" xfId="1481"/>
    <cellStyle name="Normal 11 5 3 4 2" xfId="20975"/>
    <cellStyle name="Normal 11 5 3 4 3" xfId="20976"/>
    <cellStyle name="Normal 11 5 3 4 4" xfId="20977"/>
    <cellStyle name="Normal 11 5 3 5" xfId="1482"/>
    <cellStyle name="Normal 11 5 3 5 2" xfId="20978"/>
    <cellStyle name="Normal 11 5 3 5 3" xfId="20979"/>
    <cellStyle name="Normal 11 5 3 5 4" xfId="20980"/>
    <cellStyle name="Normal 11 5 3 6" xfId="1483"/>
    <cellStyle name="Normal 11 5 3 6 2" xfId="20981"/>
    <cellStyle name="Normal 11 5 3 6 3" xfId="20982"/>
    <cellStyle name="Normal 11 5 3 6 4" xfId="20983"/>
    <cellStyle name="Normal 11 5 3 7" xfId="1484"/>
    <cellStyle name="Normal 11 5 3 7 2" xfId="20984"/>
    <cellStyle name="Normal 11 5 3 7 3" xfId="20985"/>
    <cellStyle name="Normal 11 5 3 8" xfId="1485"/>
    <cellStyle name="Normal 11 5 3 8 2" xfId="20986"/>
    <cellStyle name="Normal 11 5 3 9" xfId="1486"/>
    <cellStyle name="Normal 11 5 3 9 2" xfId="20987"/>
    <cellStyle name="Normal 11 5 30" xfId="20988"/>
    <cellStyle name="Normal 11 5 4" xfId="43"/>
    <cellStyle name="Normal 11 5 4 10" xfId="1488"/>
    <cellStyle name="Normal 11 5 4 10 2" xfId="20990"/>
    <cellStyle name="Normal 11 5 4 11" xfId="1489"/>
    <cellStyle name="Normal 11 5 4 12" xfId="1490"/>
    <cellStyle name="Normal 11 5 4 13" xfId="1491"/>
    <cellStyle name="Normal 11 5 4 14" xfId="1492"/>
    <cellStyle name="Normal 11 5 4 15" xfId="11300"/>
    <cellStyle name="Normal 11 5 4 16" xfId="20989"/>
    <cellStyle name="Normal 11 5 4 17" xfId="20991"/>
    <cellStyle name="Normal 11 5 4 18" xfId="20992"/>
    <cellStyle name="Normal 11 5 4 19" xfId="20993"/>
    <cellStyle name="Normal 11 5 4 2" xfId="1487"/>
    <cellStyle name="Normal 11 5 4 2 10" xfId="20994"/>
    <cellStyle name="Normal 11 5 4 2 11" xfId="20995"/>
    <cellStyle name="Normal 11 5 4 2 12" xfId="20996"/>
    <cellStyle name="Normal 11 5 4 2 13" xfId="20997"/>
    <cellStyle name="Normal 11 5 4 2 14" xfId="20998"/>
    <cellStyle name="Normal 11 5 4 2 15" xfId="20999"/>
    <cellStyle name="Normal 11 5 4 2 2" xfId="21000"/>
    <cellStyle name="Normal 11 5 4 2 2 2" xfId="21001"/>
    <cellStyle name="Normal 11 5 4 2 2 2 2" xfId="21002"/>
    <cellStyle name="Normal 11 5 4 2 2 3" xfId="21003"/>
    <cellStyle name="Normal 11 5 4 2 2 4" xfId="21004"/>
    <cellStyle name="Normal 11 5 4 2 2 5" xfId="21005"/>
    <cellStyle name="Normal 11 5 4 2 2 6" xfId="21006"/>
    <cellStyle name="Normal 11 5 4 2 2 7" xfId="21007"/>
    <cellStyle name="Normal 11 5 4 2 3" xfId="21008"/>
    <cellStyle name="Normal 11 5 4 2 3 2" xfId="21009"/>
    <cellStyle name="Normal 11 5 4 2 3 3" xfId="21010"/>
    <cellStyle name="Normal 11 5 4 2 3 4" xfId="21011"/>
    <cellStyle name="Normal 11 5 4 2 4" xfId="21012"/>
    <cellStyle name="Normal 11 5 4 2 4 2" xfId="21013"/>
    <cellStyle name="Normal 11 5 4 2 4 3" xfId="21014"/>
    <cellStyle name="Normal 11 5 4 2 4 4" xfId="21015"/>
    <cellStyle name="Normal 11 5 4 2 5" xfId="21016"/>
    <cellStyle name="Normal 11 5 4 2 5 2" xfId="21017"/>
    <cellStyle name="Normal 11 5 4 2 5 3" xfId="21018"/>
    <cellStyle name="Normal 11 5 4 2 5 4" xfId="21019"/>
    <cellStyle name="Normal 11 5 4 2 6" xfId="21020"/>
    <cellStyle name="Normal 11 5 4 2 6 2" xfId="21021"/>
    <cellStyle name="Normal 11 5 4 2 6 3" xfId="21022"/>
    <cellStyle name="Normal 11 5 4 2 7" xfId="21023"/>
    <cellStyle name="Normal 11 5 4 2 7 2" xfId="21024"/>
    <cellStyle name="Normal 11 5 4 2 8" xfId="21025"/>
    <cellStyle name="Normal 11 5 4 2 8 2" xfId="21026"/>
    <cellStyle name="Normal 11 5 4 2 9" xfId="21027"/>
    <cellStyle name="Normal 11 5 4 2 9 2" xfId="21028"/>
    <cellStyle name="Normal 11 5 4 20" xfId="21029"/>
    <cellStyle name="Normal 11 5 4 3" xfId="1494"/>
    <cellStyle name="Normal 11 5 4 3 2" xfId="21030"/>
    <cellStyle name="Normal 11 5 4 3 2 2" xfId="21031"/>
    <cellStyle name="Normal 11 5 4 3 2 3" xfId="21032"/>
    <cellStyle name="Normal 11 5 4 3 2 4" xfId="21033"/>
    <cellStyle name="Normal 11 5 4 3 3" xfId="21034"/>
    <cellStyle name="Normal 11 5 4 3 3 2" xfId="21035"/>
    <cellStyle name="Normal 11 5 4 3 3 3" xfId="21036"/>
    <cellStyle name="Normal 11 5 4 3 4" xfId="21037"/>
    <cellStyle name="Normal 11 5 4 3 4 2" xfId="21038"/>
    <cellStyle name="Normal 11 5 4 3 5" xfId="21039"/>
    <cellStyle name="Normal 11 5 4 3 5 2" xfId="21040"/>
    <cellStyle name="Normal 11 5 4 3 6" xfId="21041"/>
    <cellStyle name="Normal 11 5 4 3 6 2" xfId="21042"/>
    <cellStyle name="Normal 11 5 4 3 7" xfId="21043"/>
    <cellStyle name="Normal 11 5 4 4" xfId="1495"/>
    <cellStyle name="Normal 11 5 4 4 2" xfId="21044"/>
    <cellStyle name="Normal 11 5 4 4 3" xfId="21045"/>
    <cellStyle name="Normal 11 5 4 4 4" xfId="21046"/>
    <cellStyle name="Normal 11 5 4 5" xfId="1496"/>
    <cellStyle name="Normal 11 5 4 5 2" xfId="21047"/>
    <cellStyle name="Normal 11 5 4 5 3" xfId="21048"/>
    <cellStyle name="Normal 11 5 4 5 4" xfId="21049"/>
    <cellStyle name="Normal 11 5 4 6" xfId="1497"/>
    <cellStyle name="Normal 11 5 4 6 2" xfId="21050"/>
    <cellStyle name="Normal 11 5 4 6 3" xfId="21051"/>
    <cellStyle name="Normal 11 5 4 6 4" xfId="21052"/>
    <cellStyle name="Normal 11 5 4 7" xfId="1498"/>
    <cellStyle name="Normal 11 5 4 7 2" xfId="21053"/>
    <cellStyle name="Normal 11 5 4 7 3" xfId="21054"/>
    <cellStyle name="Normal 11 5 4 8" xfId="1499"/>
    <cellStyle name="Normal 11 5 4 8 2" xfId="21055"/>
    <cellStyle name="Normal 11 5 4 9" xfId="1500"/>
    <cellStyle name="Normal 11 5 4 9 2" xfId="21056"/>
    <cellStyle name="Normal 11 5 5" xfId="44"/>
    <cellStyle name="Normal 11 5 5 10" xfId="1502"/>
    <cellStyle name="Normal 11 5 5 10 2" xfId="21058"/>
    <cellStyle name="Normal 11 5 5 11" xfId="1503"/>
    <cellStyle name="Normal 11 5 5 12" xfId="1504"/>
    <cellStyle name="Normal 11 5 5 13" xfId="1505"/>
    <cellStyle name="Normal 11 5 5 14" xfId="1506"/>
    <cellStyle name="Normal 11 5 5 15" xfId="11286"/>
    <cellStyle name="Normal 11 5 5 16" xfId="21057"/>
    <cellStyle name="Normal 11 5 5 17" xfId="21059"/>
    <cellStyle name="Normal 11 5 5 18" xfId="21060"/>
    <cellStyle name="Normal 11 5 5 19" xfId="21061"/>
    <cellStyle name="Normal 11 5 5 2" xfId="1501"/>
    <cellStyle name="Normal 11 5 5 2 10" xfId="21062"/>
    <cellStyle name="Normal 11 5 5 2 11" xfId="21063"/>
    <cellStyle name="Normal 11 5 5 2 12" xfId="21064"/>
    <cellStyle name="Normal 11 5 5 2 13" xfId="21065"/>
    <cellStyle name="Normal 11 5 5 2 14" xfId="21066"/>
    <cellStyle name="Normal 11 5 5 2 15" xfId="21067"/>
    <cellStyle name="Normal 11 5 5 2 2" xfId="21068"/>
    <cellStyle name="Normal 11 5 5 2 2 2" xfId="21069"/>
    <cellStyle name="Normal 11 5 5 2 2 2 2" xfId="21070"/>
    <cellStyle name="Normal 11 5 5 2 2 3" xfId="21071"/>
    <cellStyle name="Normal 11 5 5 2 2 4" xfId="21072"/>
    <cellStyle name="Normal 11 5 5 2 2 5" xfId="21073"/>
    <cellStyle name="Normal 11 5 5 2 2 6" xfId="21074"/>
    <cellStyle name="Normal 11 5 5 2 2 7" xfId="21075"/>
    <cellStyle name="Normal 11 5 5 2 3" xfId="21076"/>
    <cellStyle name="Normal 11 5 5 2 3 2" xfId="21077"/>
    <cellStyle name="Normal 11 5 5 2 3 3" xfId="21078"/>
    <cellStyle name="Normal 11 5 5 2 3 4" xfId="21079"/>
    <cellStyle name="Normal 11 5 5 2 4" xfId="21080"/>
    <cellStyle name="Normal 11 5 5 2 4 2" xfId="21081"/>
    <cellStyle name="Normal 11 5 5 2 4 3" xfId="21082"/>
    <cellStyle name="Normal 11 5 5 2 4 4" xfId="21083"/>
    <cellStyle name="Normal 11 5 5 2 5" xfId="21084"/>
    <cellStyle name="Normal 11 5 5 2 5 2" xfId="21085"/>
    <cellStyle name="Normal 11 5 5 2 5 3" xfId="21086"/>
    <cellStyle name="Normal 11 5 5 2 5 4" xfId="21087"/>
    <cellStyle name="Normal 11 5 5 2 6" xfId="21088"/>
    <cellStyle name="Normal 11 5 5 2 6 2" xfId="21089"/>
    <cellStyle name="Normal 11 5 5 2 6 3" xfId="21090"/>
    <cellStyle name="Normal 11 5 5 2 7" xfId="21091"/>
    <cellStyle name="Normal 11 5 5 2 7 2" xfId="21092"/>
    <cellStyle name="Normal 11 5 5 2 8" xfId="21093"/>
    <cellStyle name="Normal 11 5 5 2 8 2" xfId="21094"/>
    <cellStyle name="Normal 11 5 5 2 9" xfId="21095"/>
    <cellStyle name="Normal 11 5 5 2 9 2" xfId="21096"/>
    <cellStyle name="Normal 11 5 5 20" xfId="21097"/>
    <cellStyle name="Normal 11 5 5 3" xfId="1508"/>
    <cellStyle name="Normal 11 5 5 3 2" xfId="21098"/>
    <cellStyle name="Normal 11 5 5 3 2 2" xfId="21099"/>
    <cellStyle name="Normal 11 5 5 3 2 3" xfId="21100"/>
    <cellStyle name="Normal 11 5 5 3 2 4" xfId="21101"/>
    <cellStyle name="Normal 11 5 5 3 3" xfId="21102"/>
    <cellStyle name="Normal 11 5 5 3 3 2" xfId="21103"/>
    <cellStyle name="Normal 11 5 5 3 3 3" xfId="21104"/>
    <cellStyle name="Normal 11 5 5 3 4" xfId="21105"/>
    <cellStyle name="Normal 11 5 5 3 4 2" xfId="21106"/>
    <cellStyle name="Normal 11 5 5 3 5" xfId="21107"/>
    <cellStyle name="Normal 11 5 5 3 5 2" xfId="21108"/>
    <cellStyle name="Normal 11 5 5 3 6" xfId="21109"/>
    <cellStyle name="Normal 11 5 5 3 6 2" xfId="21110"/>
    <cellStyle name="Normal 11 5 5 3 7" xfId="21111"/>
    <cellStyle name="Normal 11 5 5 4" xfId="1509"/>
    <cellStyle name="Normal 11 5 5 4 2" xfId="21112"/>
    <cellStyle name="Normal 11 5 5 4 3" xfId="21113"/>
    <cellStyle name="Normal 11 5 5 4 4" xfId="21114"/>
    <cellStyle name="Normal 11 5 5 5" xfId="1510"/>
    <cellStyle name="Normal 11 5 5 5 2" xfId="21115"/>
    <cellStyle name="Normal 11 5 5 5 3" xfId="21116"/>
    <cellStyle name="Normal 11 5 5 5 4" xfId="21117"/>
    <cellStyle name="Normal 11 5 5 6" xfId="1511"/>
    <cellStyle name="Normal 11 5 5 6 2" xfId="21118"/>
    <cellStyle name="Normal 11 5 5 6 3" xfId="21119"/>
    <cellStyle name="Normal 11 5 5 6 4" xfId="21120"/>
    <cellStyle name="Normal 11 5 5 7" xfId="1512"/>
    <cellStyle name="Normal 11 5 5 7 2" xfId="21121"/>
    <cellStyle name="Normal 11 5 5 7 3" xfId="21122"/>
    <cellStyle name="Normal 11 5 5 8" xfId="1513"/>
    <cellStyle name="Normal 11 5 5 8 2" xfId="21123"/>
    <cellStyle name="Normal 11 5 5 9" xfId="1514"/>
    <cellStyle name="Normal 11 5 5 9 2" xfId="21124"/>
    <cellStyle name="Normal 11 5 6" xfId="45"/>
    <cellStyle name="Normal 11 5 6 10" xfId="1516"/>
    <cellStyle name="Normal 11 5 6 10 2" xfId="21126"/>
    <cellStyle name="Normal 11 5 6 11" xfId="1517"/>
    <cellStyle name="Normal 11 5 6 12" xfId="1518"/>
    <cellStyle name="Normal 11 5 6 13" xfId="1519"/>
    <cellStyle name="Normal 11 5 6 14" xfId="1520"/>
    <cellStyle name="Normal 11 5 6 15" xfId="11272"/>
    <cellStyle name="Normal 11 5 6 16" xfId="21125"/>
    <cellStyle name="Normal 11 5 6 17" xfId="21127"/>
    <cellStyle name="Normal 11 5 6 18" xfId="21128"/>
    <cellStyle name="Normal 11 5 6 19" xfId="21129"/>
    <cellStyle name="Normal 11 5 6 2" xfId="1515"/>
    <cellStyle name="Normal 11 5 6 2 10" xfId="21130"/>
    <cellStyle name="Normal 11 5 6 2 11" xfId="21131"/>
    <cellStyle name="Normal 11 5 6 2 12" xfId="21132"/>
    <cellStyle name="Normal 11 5 6 2 13" xfId="21133"/>
    <cellStyle name="Normal 11 5 6 2 14" xfId="21134"/>
    <cellStyle name="Normal 11 5 6 2 15" xfId="21135"/>
    <cellStyle name="Normal 11 5 6 2 2" xfId="21136"/>
    <cellStyle name="Normal 11 5 6 2 2 2" xfId="21137"/>
    <cellStyle name="Normal 11 5 6 2 2 2 2" xfId="21138"/>
    <cellStyle name="Normal 11 5 6 2 2 3" xfId="21139"/>
    <cellStyle name="Normal 11 5 6 2 2 4" xfId="21140"/>
    <cellStyle name="Normal 11 5 6 2 2 5" xfId="21141"/>
    <cellStyle name="Normal 11 5 6 2 2 6" xfId="21142"/>
    <cellStyle name="Normal 11 5 6 2 2 7" xfId="21143"/>
    <cellStyle name="Normal 11 5 6 2 3" xfId="21144"/>
    <cellStyle name="Normal 11 5 6 2 3 2" xfId="21145"/>
    <cellStyle name="Normal 11 5 6 2 3 3" xfId="21146"/>
    <cellStyle name="Normal 11 5 6 2 3 4" xfId="21147"/>
    <cellStyle name="Normal 11 5 6 2 4" xfId="21148"/>
    <cellStyle name="Normal 11 5 6 2 4 2" xfId="21149"/>
    <cellStyle name="Normal 11 5 6 2 4 3" xfId="21150"/>
    <cellStyle name="Normal 11 5 6 2 4 4" xfId="21151"/>
    <cellStyle name="Normal 11 5 6 2 5" xfId="21152"/>
    <cellStyle name="Normal 11 5 6 2 5 2" xfId="21153"/>
    <cellStyle name="Normal 11 5 6 2 5 3" xfId="21154"/>
    <cellStyle name="Normal 11 5 6 2 5 4" xfId="21155"/>
    <cellStyle name="Normal 11 5 6 2 6" xfId="21156"/>
    <cellStyle name="Normal 11 5 6 2 6 2" xfId="21157"/>
    <cellStyle name="Normal 11 5 6 2 6 3" xfId="21158"/>
    <cellStyle name="Normal 11 5 6 2 7" xfId="21159"/>
    <cellStyle name="Normal 11 5 6 2 7 2" xfId="21160"/>
    <cellStyle name="Normal 11 5 6 2 8" xfId="21161"/>
    <cellStyle name="Normal 11 5 6 2 8 2" xfId="21162"/>
    <cellStyle name="Normal 11 5 6 2 9" xfId="21163"/>
    <cellStyle name="Normal 11 5 6 2 9 2" xfId="21164"/>
    <cellStyle name="Normal 11 5 6 20" xfId="21165"/>
    <cellStyle name="Normal 11 5 6 3" xfId="1522"/>
    <cellStyle name="Normal 11 5 6 3 2" xfId="21166"/>
    <cellStyle name="Normal 11 5 6 3 2 2" xfId="21167"/>
    <cellStyle name="Normal 11 5 6 3 2 3" xfId="21168"/>
    <cellStyle name="Normal 11 5 6 3 2 4" xfId="21169"/>
    <cellStyle name="Normal 11 5 6 3 3" xfId="21170"/>
    <cellStyle name="Normal 11 5 6 3 3 2" xfId="21171"/>
    <cellStyle name="Normal 11 5 6 3 3 3" xfId="21172"/>
    <cellStyle name="Normal 11 5 6 3 4" xfId="21173"/>
    <cellStyle name="Normal 11 5 6 3 4 2" xfId="21174"/>
    <cellStyle name="Normal 11 5 6 3 5" xfId="21175"/>
    <cellStyle name="Normal 11 5 6 3 5 2" xfId="21176"/>
    <cellStyle name="Normal 11 5 6 3 6" xfId="21177"/>
    <cellStyle name="Normal 11 5 6 3 6 2" xfId="21178"/>
    <cellStyle name="Normal 11 5 6 3 7" xfId="21179"/>
    <cellStyle name="Normal 11 5 6 4" xfId="1523"/>
    <cellStyle name="Normal 11 5 6 4 2" xfId="21180"/>
    <cellStyle name="Normal 11 5 6 4 3" xfId="21181"/>
    <cellStyle name="Normal 11 5 6 4 4" xfId="21182"/>
    <cellStyle name="Normal 11 5 6 5" xfId="1524"/>
    <cellStyle name="Normal 11 5 6 5 2" xfId="21183"/>
    <cellStyle name="Normal 11 5 6 5 3" xfId="21184"/>
    <cellStyle name="Normal 11 5 6 5 4" xfId="21185"/>
    <cellStyle name="Normal 11 5 6 6" xfId="1525"/>
    <cellStyle name="Normal 11 5 6 6 2" xfId="21186"/>
    <cellStyle name="Normal 11 5 6 6 3" xfId="21187"/>
    <cellStyle name="Normal 11 5 6 6 4" xfId="21188"/>
    <cellStyle name="Normal 11 5 6 7" xfId="1526"/>
    <cellStyle name="Normal 11 5 6 7 2" xfId="21189"/>
    <cellStyle name="Normal 11 5 6 7 3" xfId="21190"/>
    <cellStyle name="Normal 11 5 6 8" xfId="1527"/>
    <cellStyle name="Normal 11 5 6 8 2" xfId="21191"/>
    <cellStyle name="Normal 11 5 6 9" xfId="1528"/>
    <cellStyle name="Normal 11 5 6 9 2" xfId="21192"/>
    <cellStyle name="Normal 11 5 7" xfId="46"/>
    <cellStyle name="Normal 11 5 7 10" xfId="1530"/>
    <cellStyle name="Normal 11 5 7 10 2" xfId="21194"/>
    <cellStyle name="Normal 11 5 7 11" xfId="1531"/>
    <cellStyle name="Normal 11 5 7 12" xfId="1532"/>
    <cellStyle name="Normal 11 5 7 13" xfId="1533"/>
    <cellStyle name="Normal 11 5 7 14" xfId="1534"/>
    <cellStyle name="Normal 11 5 7 15" xfId="11257"/>
    <cellStyle name="Normal 11 5 7 16" xfId="21193"/>
    <cellStyle name="Normal 11 5 7 17" xfId="21195"/>
    <cellStyle name="Normal 11 5 7 18" xfId="21196"/>
    <cellStyle name="Normal 11 5 7 19" xfId="21197"/>
    <cellStyle name="Normal 11 5 7 2" xfId="1529"/>
    <cellStyle name="Normal 11 5 7 2 10" xfId="21198"/>
    <cellStyle name="Normal 11 5 7 2 11" xfId="21199"/>
    <cellStyle name="Normal 11 5 7 2 12" xfId="21200"/>
    <cellStyle name="Normal 11 5 7 2 13" xfId="21201"/>
    <cellStyle name="Normal 11 5 7 2 14" xfId="21202"/>
    <cellStyle name="Normal 11 5 7 2 15" xfId="21203"/>
    <cellStyle name="Normal 11 5 7 2 2" xfId="21204"/>
    <cellStyle name="Normal 11 5 7 2 2 2" xfId="21205"/>
    <cellStyle name="Normal 11 5 7 2 2 2 2" xfId="21206"/>
    <cellStyle name="Normal 11 5 7 2 2 3" xfId="21207"/>
    <cellStyle name="Normal 11 5 7 2 2 4" xfId="21208"/>
    <cellStyle name="Normal 11 5 7 2 2 5" xfId="21209"/>
    <cellStyle name="Normal 11 5 7 2 2 6" xfId="21210"/>
    <cellStyle name="Normal 11 5 7 2 2 7" xfId="21211"/>
    <cellStyle name="Normal 11 5 7 2 3" xfId="21212"/>
    <cellStyle name="Normal 11 5 7 2 3 2" xfId="21213"/>
    <cellStyle name="Normal 11 5 7 2 3 3" xfId="21214"/>
    <cellStyle name="Normal 11 5 7 2 3 4" xfId="21215"/>
    <cellStyle name="Normal 11 5 7 2 4" xfId="21216"/>
    <cellStyle name="Normal 11 5 7 2 4 2" xfId="21217"/>
    <cellStyle name="Normal 11 5 7 2 4 3" xfId="21218"/>
    <cellStyle name="Normal 11 5 7 2 4 4" xfId="21219"/>
    <cellStyle name="Normal 11 5 7 2 5" xfId="21220"/>
    <cellStyle name="Normal 11 5 7 2 5 2" xfId="21221"/>
    <cellStyle name="Normal 11 5 7 2 5 3" xfId="21222"/>
    <cellStyle name="Normal 11 5 7 2 5 4" xfId="21223"/>
    <cellStyle name="Normal 11 5 7 2 6" xfId="21224"/>
    <cellStyle name="Normal 11 5 7 2 6 2" xfId="21225"/>
    <cellStyle name="Normal 11 5 7 2 6 3" xfId="21226"/>
    <cellStyle name="Normal 11 5 7 2 7" xfId="21227"/>
    <cellStyle name="Normal 11 5 7 2 7 2" xfId="21228"/>
    <cellStyle name="Normal 11 5 7 2 8" xfId="21229"/>
    <cellStyle name="Normal 11 5 7 2 8 2" xfId="21230"/>
    <cellStyle name="Normal 11 5 7 2 9" xfId="21231"/>
    <cellStyle name="Normal 11 5 7 2 9 2" xfId="21232"/>
    <cellStyle name="Normal 11 5 7 3" xfId="1536"/>
    <cellStyle name="Normal 11 5 7 3 2" xfId="21233"/>
    <cellStyle name="Normal 11 5 7 3 2 2" xfId="21234"/>
    <cellStyle name="Normal 11 5 7 3 2 3" xfId="21235"/>
    <cellStyle name="Normal 11 5 7 3 2 4" xfId="21236"/>
    <cellStyle name="Normal 11 5 7 3 3" xfId="21237"/>
    <cellStyle name="Normal 11 5 7 3 3 2" xfId="21238"/>
    <cellStyle name="Normal 11 5 7 3 3 3" xfId="21239"/>
    <cellStyle name="Normal 11 5 7 3 4" xfId="21240"/>
    <cellStyle name="Normal 11 5 7 3 4 2" xfId="21241"/>
    <cellStyle name="Normal 11 5 7 3 5" xfId="21242"/>
    <cellStyle name="Normal 11 5 7 3 5 2" xfId="21243"/>
    <cellStyle name="Normal 11 5 7 3 6" xfId="21244"/>
    <cellStyle name="Normal 11 5 7 3 6 2" xfId="21245"/>
    <cellStyle name="Normal 11 5 7 3 7" xfId="21246"/>
    <cellStyle name="Normal 11 5 7 4" xfId="1537"/>
    <cellStyle name="Normal 11 5 7 4 2" xfId="21247"/>
    <cellStyle name="Normal 11 5 7 4 3" xfId="21248"/>
    <cellStyle name="Normal 11 5 7 4 4" xfId="21249"/>
    <cellStyle name="Normal 11 5 7 5" xfId="1538"/>
    <cellStyle name="Normal 11 5 7 5 2" xfId="21250"/>
    <cellStyle name="Normal 11 5 7 5 3" xfId="21251"/>
    <cellStyle name="Normal 11 5 7 5 4" xfId="21252"/>
    <cellStyle name="Normal 11 5 7 6" xfId="1539"/>
    <cellStyle name="Normal 11 5 7 6 2" xfId="21253"/>
    <cellStyle name="Normal 11 5 7 6 3" xfId="21254"/>
    <cellStyle name="Normal 11 5 7 6 4" xfId="21255"/>
    <cellStyle name="Normal 11 5 7 7" xfId="1540"/>
    <cellStyle name="Normal 11 5 7 7 2" xfId="21256"/>
    <cellStyle name="Normal 11 5 7 7 3" xfId="21257"/>
    <cellStyle name="Normal 11 5 7 8" xfId="1541"/>
    <cellStyle name="Normal 11 5 7 8 2" xfId="21258"/>
    <cellStyle name="Normal 11 5 7 9" xfId="1542"/>
    <cellStyle name="Normal 11 5 7 9 2" xfId="21259"/>
    <cellStyle name="Normal 11 5 8" xfId="47"/>
    <cellStyle name="Normal 11 5 8 10" xfId="1544"/>
    <cellStyle name="Normal 11 5 8 10 2" xfId="21261"/>
    <cellStyle name="Normal 11 5 8 11" xfId="1545"/>
    <cellStyle name="Normal 11 5 8 12" xfId="1546"/>
    <cellStyle name="Normal 11 5 8 13" xfId="1547"/>
    <cellStyle name="Normal 11 5 8 14" xfId="1548"/>
    <cellStyle name="Normal 11 5 8 15" xfId="11243"/>
    <cellStyle name="Normal 11 5 8 16" xfId="21260"/>
    <cellStyle name="Normal 11 5 8 17" xfId="21262"/>
    <cellStyle name="Normal 11 5 8 2" xfId="1543"/>
    <cellStyle name="Normal 11 5 8 2 10" xfId="21263"/>
    <cellStyle name="Normal 11 5 8 2 11" xfId="21264"/>
    <cellStyle name="Normal 11 5 8 2 2" xfId="21265"/>
    <cellStyle name="Normal 11 5 8 2 2 2" xfId="21266"/>
    <cellStyle name="Normal 11 5 8 2 2 3" xfId="21267"/>
    <cellStyle name="Normal 11 5 8 2 2 4" xfId="21268"/>
    <cellStyle name="Normal 11 5 8 2 3" xfId="21269"/>
    <cellStyle name="Normal 11 5 8 2 3 2" xfId="21270"/>
    <cellStyle name="Normal 11 5 8 2 3 3" xfId="21271"/>
    <cellStyle name="Normal 11 5 8 2 3 4" xfId="21272"/>
    <cellStyle name="Normal 11 5 8 2 4" xfId="21273"/>
    <cellStyle name="Normal 11 5 8 2 4 2" xfId="21274"/>
    <cellStyle name="Normal 11 5 8 2 4 3" xfId="21275"/>
    <cellStyle name="Normal 11 5 8 2 4 4" xfId="21276"/>
    <cellStyle name="Normal 11 5 8 2 5" xfId="21277"/>
    <cellStyle name="Normal 11 5 8 2 5 2" xfId="21278"/>
    <cellStyle name="Normal 11 5 8 2 5 3" xfId="21279"/>
    <cellStyle name="Normal 11 5 8 2 5 4" xfId="21280"/>
    <cellStyle name="Normal 11 5 8 2 6" xfId="21281"/>
    <cellStyle name="Normal 11 5 8 2 6 2" xfId="21282"/>
    <cellStyle name="Normal 11 5 8 2 7" xfId="21283"/>
    <cellStyle name="Normal 11 5 8 2 7 2" xfId="21284"/>
    <cellStyle name="Normal 11 5 8 2 8" xfId="21285"/>
    <cellStyle name="Normal 11 5 8 2 8 2" xfId="21286"/>
    <cellStyle name="Normal 11 5 8 2 9" xfId="21287"/>
    <cellStyle name="Normal 11 5 8 2 9 2" xfId="21288"/>
    <cellStyle name="Normal 11 5 8 3" xfId="1550"/>
    <cellStyle name="Normal 11 5 8 3 2" xfId="21289"/>
    <cellStyle name="Normal 11 5 8 3 2 2" xfId="21290"/>
    <cellStyle name="Normal 11 5 8 3 2 3" xfId="21291"/>
    <cellStyle name="Normal 11 5 8 3 2 4" xfId="21292"/>
    <cellStyle name="Normal 11 5 8 3 3" xfId="21293"/>
    <cellStyle name="Normal 11 5 8 3 3 2" xfId="21294"/>
    <cellStyle name="Normal 11 5 8 3 3 3" xfId="21295"/>
    <cellStyle name="Normal 11 5 8 3 4" xfId="21296"/>
    <cellStyle name="Normal 11 5 8 3 4 2" xfId="21297"/>
    <cellStyle name="Normal 11 5 8 3 5" xfId="21298"/>
    <cellStyle name="Normal 11 5 8 3 5 2" xfId="21299"/>
    <cellStyle name="Normal 11 5 8 3 6" xfId="21300"/>
    <cellStyle name="Normal 11 5 8 3 6 2" xfId="21301"/>
    <cellStyle name="Normal 11 5 8 3 7" xfId="21302"/>
    <cellStyle name="Normal 11 5 8 4" xfId="1551"/>
    <cellStyle name="Normal 11 5 8 4 2" xfId="21303"/>
    <cellStyle name="Normal 11 5 8 4 3" xfId="21304"/>
    <cellStyle name="Normal 11 5 8 4 4" xfId="21305"/>
    <cellStyle name="Normal 11 5 8 5" xfId="1552"/>
    <cellStyle name="Normal 11 5 8 5 2" xfId="21306"/>
    <cellStyle name="Normal 11 5 8 5 3" xfId="21307"/>
    <cellStyle name="Normal 11 5 8 5 4" xfId="21308"/>
    <cellStyle name="Normal 11 5 8 6" xfId="1553"/>
    <cellStyle name="Normal 11 5 8 6 2" xfId="21309"/>
    <cellStyle name="Normal 11 5 8 6 3" xfId="21310"/>
    <cellStyle name="Normal 11 5 8 6 4" xfId="21311"/>
    <cellStyle name="Normal 11 5 8 7" xfId="1554"/>
    <cellStyle name="Normal 11 5 8 7 2" xfId="21312"/>
    <cellStyle name="Normal 11 5 8 7 3" xfId="21313"/>
    <cellStyle name="Normal 11 5 8 8" xfId="1555"/>
    <cellStyle name="Normal 11 5 8 8 2" xfId="21314"/>
    <cellStyle name="Normal 11 5 8 9" xfId="1556"/>
    <cellStyle name="Normal 11 5 8 9 2" xfId="21315"/>
    <cellStyle name="Normal 11 5 9" xfId="48"/>
    <cellStyle name="Normal 11 5 9 10" xfId="21317"/>
    <cellStyle name="Normal 11 5 9 10 2" xfId="21318"/>
    <cellStyle name="Normal 11 5 9 11" xfId="21319"/>
    <cellStyle name="Normal 11 5 9 12" xfId="21320"/>
    <cellStyle name="Normal 11 5 9 13" xfId="21321"/>
    <cellStyle name="Normal 11 5 9 14" xfId="21322"/>
    <cellStyle name="Normal 11 5 9 15" xfId="21323"/>
    <cellStyle name="Normal 11 5 9 16" xfId="21324"/>
    <cellStyle name="Normal 11 5 9 17" xfId="21325"/>
    <cellStyle name="Normal 11 5 9 2" xfId="1557"/>
    <cellStyle name="Normal 11 5 9 2 10" xfId="21326"/>
    <cellStyle name="Normal 11 5 9 2 11" xfId="21327"/>
    <cellStyle name="Normal 11 5 9 2 2" xfId="21328"/>
    <cellStyle name="Normal 11 5 9 2 2 2" xfId="21329"/>
    <cellStyle name="Normal 11 5 9 2 2 3" xfId="21330"/>
    <cellStyle name="Normal 11 5 9 2 2 4" xfId="21331"/>
    <cellStyle name="Normal 11 5 9 2 3" xfId="21332"/>
    <cellStyle name="Normal 11 5 9 2 3 2" xfId="21333"/>
    <cellStyle name="Normal 11 5 9 2 3 3" xfId="21334"/>
    <cellStyle name="Normal 11 5 9 2 3 4" xfId="21335"/>
    <cellStyle name="Normal 11 5 9 2 4" xfId="21336"/>
    <cellStyle name="Normal 11 5 9 2 4 2" xfId="21337"/>
    <cellStyle name="Normal 11 5 9 2 4 3" xfId="21338"/>
    <cellStyle name="Normal 11 5 9 2 4 4" xfId="21339"/>
    <cellStyle name="Normal 11 5 9 2 5" xfId="21340"/>
    <cellStyle name="Normal 11 5 9 2 5 2" xfId="21341"/>
    <cellStyle name="Normal 11 5 9 2 5 3" xfId="21342"/>
    <cellStyle name="Normal 11 5 9 2 5 4" xfId="21343"/>
    <cellStyle name="Normal 11 5 9 2 6" xfId="21344"/>
    <cellStyle name="Normal 11 5 9 2 6 2" xfId="21345"/>
    <cellStyle name="Normal 11 5 9 2 7" xfId="21346"/>
    <cellStyle name="Normal 11 5 9 2 7 2" xfId="21347"/>
    <cellStyle name="Normal 11 5 9 2 8" xfId="21348"/>
    <cellStyle name="Normal 11 5 9 2 8 2" xfId="21349"/>
    <cellStyle name="Normal 11 5 9 2 9" xfId="21350"/>
    <cellStyle name="Normal 11 5 9 2 9 2" xfId="21351"/>
    <cellStyle name="Normal 11 5 9 3" xfId="11229"/>
    <cellStyle name="Normal 11 5 9 3 2" xfId="21352"/>
    <cellStyle name="Normal 11 5 9 3 2 2" xfId="21353"/>
    <cellStyle name="Normal 11 5 9 3 2 3" xfId="21354"/>
    <cellStyle name="Normal 11 5 9 3 2 4" xfId="21355"/>
    <cellStyle name="Normal 11 5 9 3 3" xfId="21356"/>
    <cellStyle name="Normal 11 5 9 3 3 2" xfId="21357"/>
    <cellStyle name="Normal 11 5 9 3 3 3" xfId="21358"/>
    <cellStyle name="Normal 11 5 9 3 4" xfId="21359"/>
    <cellStyle name="Normal 11 5 9 3 4 2" xfId="21360"/>
    <cellStyle name="Normal 11 5 9 3 5" xfId="21361"/>
    <cellStyle name="Normal 11 5 9 3 5 2" xfId="21362"/>
    <cellStyle name="Normal 11 5 9 3 6" xfId="21363"/>
    <cellStyle name="Normal 11 5 9 3 6 2" xfId="21364"/>
    <cellStyle name="Normal 11 5 9 3 7" xfId="21365"/>
    <cellStyle name="Normal 11 5 9 4" xfId="21316"/>
    <cellStyle name="Normal 11 5 9 4 2" xfId="21366"/>
    <cellStyle name="Normal 11 5 9 4 3" xfId="21367"/>
    <cellStyle name="Normal 11 5 9 4 4" xfId="21368"/>
    <cellStyle name="Normal 11 5 9 5" xfId="21369"/>
    <cellStyle name="Normal 11 5 9 5 2" xfId="21370"/>
    <cellStyle name="Normal 11 5 9 5 3" xfId="21371"/>
    <cellStyle name="Normal 11 5 9 5 4" xfId="21372"/>
    <cellStyle name="Normal 11 5 9 6" xfId="21373"/>
    <cellStyle name="Normal 11 5 9 6 2" xfId="21374"/>
    <cellStyle name="Normal 11 5 9 6 3" xfId="21375"/>
    <cellStyle name="Normal 11 5 9 6 4" xfId="21376"/>
    <cellStyle name="Normal 11 5 9 7" xfId="21377"/>
    <cellStyle name="Normal 11 5 9 7 2" xfId="21378"/>
    <cellStyle name="Normal 11 5 9 7 3" xfId="21379"/>
    <cellStyle name="Normal 11 5 9 8" xfId="21380"/>
    <cellStyle name="Normal 11 5 9 8 2" xfId="21381"/>
    <cellStyle name="Normal 11 5 9 9" xfId="21382"/>
    <cellStyle name="Normal 11 5 9 9 2" xfId="21383"/>
    <cellStyle name="Normal 11 6" xfId="49"/>
    <cellStyle name="Normal 11 6 10" xfId="50"/>
    <cellStyle name="Normal 11 6 10 10" xfId="21386"/>
    <cellStyle name="Normal 11 6 10 10 2" xfId="21387"/>
    <cellStyle name="Normal 11 6 10 11" xfId="21388"/>
    <cellStyle name="Normal 11 6 10 12" xfId="21389"/>
    <cellStyle name="Normal 11 6 10 13" xfId="21390"/>
    <cellStyle name="Normal 11 6 10 14" xfId="21391"/>
    <cellStyle name="Normal 11 6 10 15" xfId="21392"/>
    <cellStyle name="Normal 11 6 10 16" xfId="21393"/>
    <cellStyle name="Normal 11 6 10 2" xfId="1559"/>
    <cellStyle name="Normal 11 6 10 2 10" xfId="21394"/>
    <cellStyle name="Normal 11 6 10 2 11" xfId="21395"/>
    <cellStyle name="Normal 11 6 10 2 2" xfId="21396"/>
    <cellStyle name="Normal 11 6 10 2 2 2" xfId="21397"/>
    <cellStyle name="Normal 11 6 10 2 2 3" xfId="21398"/>
    <cellStyle name="Normal 11 6 10 2 2 4" xfId="21399"/>
    <cellStyle name="Normal 11 6 10 2 3" xfId="21400"/>
    <cellStyle name="Normal 11 6 10 2 3 2" xfId="21401"/>
    <cellStyle name="Normal 11 6 10 2 3 3" xfId="21402"/>
    <cellStyle name="Normal 11 6 10 2 3 4" xfId="21403"/>
    <cellStyle name="Normal 11 6 10 2 4" xfId="21404"/>
    <cellStyle name="Normal 11 6 10 2 4 2" xfId="21405"/>
    <cellStyle name="Normal 11 6 10 2 4 3" xfId="21406"/>
    <cellStyle name="Normal 11 6 10 2 4 4" xfId="21407"/>
    <cellStyle name="Normal 11 6 10 2 5" xfId="21408"/>
    <cellStyle name="Normal 11 6 10 2 5 2" xfId="21409"/>
    <cellStyle name="Normal 11 6 10 2 5 3" xfId="21410"/>
    <cellStyle name="Normal 11 6 10 2 5 4" xfId="21411"/>
    <cellStyle name="Normal 11 6 10 2 6" xfId="21412"/>
    <cellStyle name="Normal 11 6 10 2 6 2" xfId="21413"/>
    <cellStyle name="Normal 11 6 10 2 7" xfId="21414"/>
    <cellStyle name="Normal 11 6 10 2 7 2" xfId="21415"/>
    <cellStyle name="Normal 11 6 10 2 8" xfId="21416"/>
    <cellStyle name="Normal 11 6 10 2 8 2" xfId="21417"/>
    <cellStyle name="Normal 11 6 10 2 9" xfId="21418"/>
    <cellStyle name="Normal 11 6 10 2 9 2" xfId="21419"/>
    <cellStyle name="Normal 11 6 10 3" xfId="11201"/>
    <cellStyle name="Normal 11 6 10 3 2" xfId="21420"/>
    <cellStyle name="Normal 11 6 10 3 2 2" xfId="21421"/>
    <cellStyle name="Normal 11 6 10 3 2 3" xfId="21422"/>
    <cellStyle name="Normal 11 6 10 3 2 4" xfId="21423"/>
    <cellStyle name="Normal 11 6 10 3 3" xfId="21424"/>
    <cellStyle name="Normal 11 6 10 3 3 2" xfId="21425"/>
    <cellStyle name="Normal 11 6 10 3 3 3" xfId="21426"/>
    <cellStyle name="Normal 11 6 10 3 4" xfId="21427"/>
    <cellStyle name="Normal 11 6 10 3 4 2" xfId="21428"/>
    <cellStyle name="Normal 11 6 10 3 5" xfId="21429"/>
    <cellStyle name="Normal 11 6 10 3 5 2" xfId="21430"/>
    <cellStyle name="Normal 11 6 10 3 6" xfId="21431"/>
    <cellStyle name="Normal 11 6 10 3 6 2" xfId="21432"/>
    <cellStyle name="Normal 11 6 10 3 7" xfId="21433"/>
    <cellStyle name="Normal 11 6 10 4" xfId="21385"/>
    <cellStyle name="Normal 11 6 10 4 2" xfId="21434"/>
    <cellStyle name="Normal 11 6 10 4 3" xfId="21435"/>
    <cellStyle name="Normal 11 6 10 4 4" xfId="21436"/>
    <cellStyle name="Normal 11 6 10 5" xfId="21437"/>
    <cellStyle name="Normal 11 6 10 5 2" xfId="21438"/>
    <cellStyle name="Normal 11 6 10 5 3" xfId="21439"/>
    <cellStyle name="Normal 11 6 10 5 4" xfId="21440"/>
    <cellStyle name="Normal 11 6 10 6" xfId="21441"/>
    <cellStyle name="Normal 11 6 10 6 2" xfId="21442"/>
    <cellStyle name="Normal 11 6 10 6 3" xfId="21443"/>
    <cellStyle name="Normal 11 6 10 6 4" xfId="21444"/>
    <cellStyle name="Normal 11 6 10 7" xfId="21445"/>
    <cellStyle name="Normal 11 6 10 7 2" xfId="21446"/>
    <cellStyle name="Normal 11 6 10 7 3" xfId="21447"/>
    <cellStyle name="Normal 11 6 10 8" xfId="21448"/>
    <cellStyle name="Normal 11 6 10 8 2" xfId="21449"/>
    <cellStyle name="Normal 11 6 10 9" xfId="21450"/>
    <cellStyle name="Normal 11 6 10 9 2" xfId="21451"/>
    <cellStyle name="Normal 11 6 11" xfId="1558"/>
    <cellStyle name="Normal 11 6 11 10" xfId="21452"/>
    <cellStyle name="Normal 11 6 11 10 2" xfId="21453"/>
    <cellStyle name="Normal 11 6 11 11" xfId="21454"/>
    <cellStyle name="Normal 11 6 11 2" xfId="21455"/>
    <cellStyle name="Normal 11 6 11 2 2" xfId="21456"/>
    <cellStyle name="Normal 11 6 11 2 2 2" xfId="21457"/>
    <cellStyle name="Normal 11 6 11 2 2 3" xfId="21458"/>
    <cellStyle name="Normal 11 6 11 2 3" xfId="21459"/>
    <cellStyle name="Normal 11 6 11 2 3 2" xfId="21460"/>
    <cellStyle name="Normal 11 6 11 2 4" xfId="21461"/>
    <cellStyle name="Normal 11 6 11 2 4 2" xfId="21462"/>
    <cellStyle name="Normal 11 6 11 2 5" xfId="21463"/>
    <cellStyle name="Normal 11 6 11 2 5 2" xfId="21464"/>
    <cellStyle name="Normal 11 6 11 2 6" xfId="21465"/>
    <cellStyle name="Normal 11 6 11 2 7" xfId="21466"/>
    <cellStyle name="Normal 11 6 11 2 8" xfId="21467"/>
    <cellStyle name="Normal 11 6 11 2 9" xfId="21468"/>
    <cellStyle name="Normal 11 6 11 3" xfId="21469"/>
    <cellStyle name="Normal 11 6 11 3 2" xfId="21470"/>
    <cellStyle name="Normal 11 6 11 3 2 2" xfId="21471"/>
    <cellStyle name="Normal 11 6 11 3 2 3" xfId="21472"/>
    <cellStyle name="Normal 11 6 11 3 3" xfId="21473"/>
    <cellStyle name="Normal 11 6 11 3 3 2" xfId="21474"/>
    <cellStyle name="Normal 11 6 11 3 4" xfId="21475"/>
    <cellStyle name="Normal 11 6 11 3 5" xfId="21476"/>
    <cellStyle name="Normal 11 6 11 3 6" xfId="21477"/>
    <cellStyle name="Normal 11 6 11 3 7" xfId="21478"/>
    <cellStyle name="Normal 11 6 11 4" xfId="21479"/>
    <cellStyle name="Normal 11 6 11 4 2" xfId="21480"/>
    <cellStyle name="Normal 11 6 11 4 3" xfId="21481"/>
    <cellStyle name="Normal 11 6 11 4 4" xfId="21482"/>
    <cellStyle name="Normal 11 6 11 5" xfId="21483"/>
    <cellStyle name="Normal 11 6 11 5 2" xfId="21484"/>
    <cellStyle name="Normal 11 6 11 5 3" xfId="21485"/>
    <cellStyle name="Normal 11 6 11 5 4" xfId="21486"/>
    <cellStyle name="Normal 11 6 11 6" xfId="21487"/>
    <cellStyle name="Normal 11 6 11 6 2" xfId="21488"/>
    <cellStyle name="Normal 11 6 11 6 3" xfId="21489"/>
    <cellStyle name="Normal 11 6 11 7" xfId="21490"/>
    <cellStyle name="Normal 11 6 11 7 2" xfId="21491"/>
    <cellStyle name="Normal 11 6 11 8" xfId="21492"/>
    <cellStyle name="Normal 11 6 11 8 2" xfId="21493"/>
    <cellStyle name="Normal 11 6 11 9" xfId="21494"/>
    <cellStyle name="Normal 11 6 11 9 2" xfId="21495"/>
    <cellStyle name="Normal 11 6 12" xfId="1561"/>
    <cellStyle name="Normal 11 6 12 2" xfId="21496"/>
    <cellStyle name="Normal 11 6 12 2 2" xfId="21497"/>
    <cellStyle name="Normal 11 6 12 2 3" xfId="21498"/>
    <cellStyle name="Normal 11 6 12 2 4" xfId="21499"/>
    <cellStyle name="Normal 11 6 12 3" xfId="21500"/>
    <cellStyle name="Normal 11 6 12 3 2" xfId="21501"/>
    <cellStyle name="Normal 11 6 12 3 3" xfId="21502"/>
    <cellStyle name="Normal 11 6 12 4" xfId="21503"/>
    <cellStyle name="Normal 11 6 12 4 2" xfId="21504"/>
    <cellStyle name="Normal 11 6 12 4 3" xfId="21505"/>
    <cellStyle name="Normal 11 6 12 5" xfId="21506"/>
    <cellStyle name="Normal 11 6 12 5 2" xfId="21507"/>
    <cellStyle name="Normal 11 6 12 5 3" xfId="21508"/>
    <cellStyle name="Normal 11 6 12 6" xfId="21509"/>
    <cellStyle name="Normal 11 6 12 6 2" xfId="21510"/>
    <cellStyle name="Normal 11 6 12 7" xfId="21511"/>
    <cellStyle name="Normal 11 6 12 8" xfId="21512"/>
    <cellStyle name="Normal 11 6 12 9" xfId="21513"/>
    <cellStyle name="Normal 11 6 13" xfId="1562"/>
    <cellStyle name="Normal 11 6 13 2" xfId="21514"/>
    <cellStyle name="Normal 11 6 13 2 2" xfId="21515"/>
    <cellStyle name="Normal 11 6 13 2 3" xfId="21516"/>
    <cellStyle name="Normal 11 6 13 3" xfId="21517"/>
    <cellStyle name="Normal 11 6 13 3 2" xfId="21518"/>
    <cellStyle name="Normal 11 6 13 4" xfId="21519"/>
    <cellStyle name="Normal 11 6 13 5" xfId="21520"/>
    <cellStyle name="Normal 11 6 13 6" xfId="21521"/>
    <cellStyle name="Normal 11 6 13 7" xfId="21522"/>
    <cellStyle name="Normal 11 6 14" xfId="1563"/>
    <cellStyle name="Normal 11 6 14 2" xfId="21523"/>
    <cellStyle name="Normal 11 6 14 3" xfId="21524"/>
    <cellStyle name="Normal 11 6 14 4" xfId="21525"/>
    <cellStyle name="Normal 11 6 15" xfId="1564"/>
    <cellStyle name="Normal 11 6 15 2" xfId="21526"/>
    <cellStyle name="Normal 11 6 15 3" xfId="21527"/>
    <cellStyle name="Normal 11 6 15 4" xfId="21528"/>
    <cellStyle name="Normal 11 6 16" xfId="1565"/>
    <cellStyle name="Normal 11 6 16 2" xfId="21529"/>
    <cellStyle name="Normal 11 6 16 3" xfId="21530"/>
    <cellStyle name="Normal 11 6 16 4" xfId="21531"/>
    <cellStyle name="Normal 11 6 17" xfId="1566"/>
    <cellStyle name="Normal 11 6 17 2" xfId="21532"/>
    <cellStyle name="Normal 11 6 18" xfId="1567"/>
    <cellStyle name="Normal 11 6 18 2" xfId="21533"/>
    <cellStyle name="Normal 11 6 19" xfId="1568"/>
    <cellStyle name="Normal 11 6 19 2" xfId="21534"/>
    <cellStyle name="Normal 11 6 2" xfId="51"/>
    <cellStyle name="Normal 11 6 2 10" xfId="1570"/>
    <cellStyle name="Normal 11 6 2 10 2" xfId="21536"/>
    <cellStyle name="Normal 11 6 2 11" xfId="1571"/>
    <cellStyle name="Normal 11 6 2 12" xfId="1572"/>
    <cellStyle name="Normal 11 6 2 13" xfId="1573"/>
    <cellStyle name="Normal 11 6 2 14" xfId="1574"/>
    <cellStyle name="Normal 11 6 2 15" xfId="11187"/>
    <cellStyle name="Normal 11 6 2 16" xfId="21535"/>
    <cellStyle name="Normal 11 6 2 17" xfId="21537"/>
    <cellStyle name="Normal 11 6 2 18" xfId="21538"/>
    <cellStyle name="Normal 11 6 2 19" xfId="21539"/>
    <cellStyle name="Normal 11 6 2 2" xfId="1569"/>
    <cellStyle name="Normal 11 6 2 2 10" xfId="21540"/>
    <cellStyle name="Normal 11 6 2 2 11" xfId="21541"/>
    <cellStyle name="Normal 11 6 2 2 12" xfId="21542"/>
    <cellStyle name="Normal 11 6 2 2 13" xfId="21543"/>
    <cellStyle name="Normal 11 6 2 2 14" xfId="21544"/>
    <cellStyle name="Normal 11 6 2 2 15" xfId="21545"/>
    <cellStyle name="Normal 11 6 2 2 2" xfId="21546"/>
    <cellStyle name="Normal 11 6 2 2 2 2" xfId="21547"/>
    <cellStyle name="Normal 11 6 2 2 2 2 2" xfId="21548"/>
    <cellStyle name="Normal 11 6 2 2 2 3" xfId="21549"/>
    <cellStyle name="Normal 11 6 2 2 2 4" xfId="21550"/>
    <cellStyle name="Normal 11 6 2 2 2 5" xfId="21551"/>
    <cellStyle name="Normal 11 6 2 2 2 6" xfId="21552"/>
    <cellStyle name="Normal 11 6 2 2 2 7" xfId="21553"/>
    <cellStyle name="Normal 11 6 2 2 3" xfId="21554"/>
    <cellStyle name="Normal 11 6 2 2 3 2" xfId="21555"/>
    <cellStyle name="Normal 11 6 2 2 3 3" xfId="21556"/>
    <cellStyle name="Normal 11 6 2 2 3 4" xfId="21557"/>
    <cellStyle name="Normal 11 6 2 2 4" xfId="21558"/>
    <cellStyle name="Normal 11 6 2 2 4 2" xfId="21559"/>
    <cellStyle name="Normal 11 6 2 2 4 3" xfId="21560"/>
    <cellStyle name="Normal 11 6 2 2 4 4" xfId="21561"/>
    <cellStyle name="Normal 11 6 2 2 5" xfId="21562"/>
    <cellStyle name="Normal 11 6 2 2 5 2" xfId="21563"/>
    <cellStyle name="Normal 11 6 2 2 5 3" xfId="21564"/>
    <cellStyle name="Normal 11 6 2 2 5 4" xfId="21565"/>
    <cellStyle name="Normal 11 6 2 2 6" xfId="21566"/>
    <cellStyle name="Normal 11 6 2 2 6 2" xfId="21567"/>
    <cellStyle name="Normal 11 6 2 2 6 3" xfId="21568"/>
    <cellStyle name="Normal 11 6 2 2 7" xfId="21569"/>
    <cellStyle name="Normal 11 6 2 2 7 2" xfId="21570"/>
    <cellStyle name="Normal 11 6 2 2 8" xfId="21571"/>
    <cellStyle name="Normal 11 6 2 2 8 2" xfId="21572"/>
    <cellStyle name="Normal 11 6 2 2 9" xfId="21573"/>
    <cellStyle name="Normal 11 6 2 2 9 2" xfId="21574"/>
    <cellStyle name="Normal 11 6 2 20" xfId="21575"/>
    <cellStyle name="Normal 11 6 2 3" xfId="1576"/>
    <cellStyle name="Normal 11 6 2 3 2" xfId="21576"/>
    <cellStyle name="Normal 11 6 2 3 2 2" xfId="21577"/>
    <cellStyle name="Normal 11 6 2 3 2 3" xfId="21578"/>
    <cellStyle name="Normal 11 6 2 3 2 4" xfId="21579"/>
    <cellStyle name="Normal 11 6 2 3 3" xfId="21580"/>
    <cellStyle name="Normal 11 6 2 3 3 2" xfId="21581"/>
    <cellStyle name="Normal 11 6 2 3 3 3" xfId="21582"/>
    <cellStyle name="Normal 11 6 2 3 4" xfId="21583"/>
    <cellStyle name="Normal 11 6 2 3 4 2" xfId="21584"/>
    <cellStyle name="Normal 11 6 2 3 5" xfId="21585"/>
    <cellStyle name="Normal 11 6 2 3 5 2" xfId="21586"/>
    <cellStyle name="Normal 11 6 2 3 6" xfId="21587"/>
    <cellStyle name="Normal 11 6 2 3 6 2" xfId="21588"/>
    <cellStyle name="Normal 11 6 2 3 7" xfId="21589"/>
    <cellStyle name="Normal 11 6 2 4" xfId="1577"/>
    <cellStyle name="Normal 11 6 2 4 2" xfId="21590"/>
    <cellStyle name="Normal 11 6 2 4 3" xfId="21591"/>
    <cellStyle name="Normal 11 6 2 4 4" xfId="21592"/>
    <cellStyle name="Normal 11 6 2 5" xfId="1578"/>
    <cellStyle name="Normal 11 6 2 5 2" xfId="21593"/>
    <cellStyle name="Normal 11 6 2 5 3" xfId="21594"/>
    <cellStyle name="Normal 11 6 2 5 4" xfId="21595"/>
    <cellStyle name="Normal 11 6 2 6" xfId="1579"/>
    <cellStyle name="Normal 11 6 2 6 2" xfId="21596"/>
    <cellStyle name="Normal 11 6 2 6 3" xfId="21597"/>
    <cellStyle name="Normal 11 6 2 6 4" xfId="21598"/>
    <cellStyle name="Normal 11 6 2 7" xfId="1580"/>
    <cellStyle name="Normal 11 6 2 7 2" xfId="21599"/>
    <cellStyle name="Normal 11 6 2 7 3" xfId="21600"/>
    <cellStyle name="Normal 11 6 2 8" xfId="1581"/>
    <cellStyle name="Normal 11 6 2 8 2" xfId="21601"/>
    <cellStyle name="Normal 11 6 2 9" xfId="1582"/>
    <cellStyle name="Normal 11 6 2 9 2" xfId="21602"/>
    <cellStyle name="Normal 11 6 20" xfId="1583"/>
    <cellStyle name="Normal 11 6 20 2" xfId="21603"/>
    <cellStyle name="Normal 11 6 21" xfId="1584"/>
    <cellStyle name="Normal 11 6 22" xfId="1585"/>
    <cellStyle name="Normal 11 6 23" xfId="11215"/>
    <cellStyle name="Normal 11 6 24" xfId="21384"/>
    <cellStyle name="Normal 11 6 25" xfId="21604"/>
    <cellStyle name="Normal 11 6 26" xfId="21605"/>
    <cellStyle name="Normal 11 6 27" xfId="21606"/>
    <cellStyle name="Normal 11 6 28" xfId="21607"/>
    <cellStyle name="Normal 11 6 29" xfId="21608"/>
    <cellStyle name="Normal 11 6 3" xfId="52"/>
    <cellStyle name="Normal 11 6 3 10" xfId="1587"/>
    <cellStyle name="Normal 11 6 3 10 2" xfId="21610"/>
    <cellStyle name="Normal 11 6 3 11" xfId="1588"/>
    <cellStyle name="Normal 11 6 3 12" xfId="1589"/>
    <cellStyle name="Normal 11 6 3 13" xfId="1590"/>
    <cellStyle name="Normal 11 6 3 14" xfId="1591"/>
    <cellStyle name="Normal 11 6 3 15" xfId="11170"/>
    <cellStyle name="Normal 11 6 3 16" xfId="21609"/>
    <cellStyle name="Normal 11 6 3 17" xfId="21611"/>
    <cellStyle name="Normal 11 6 3 18" xfId="21612"/>
    <cellStyle name="Normal 11 6 3 19" xfId="21613"/>
    <cellStyle name="Normal 11 6 3 2" xfId="1586"/>
    <cellStyle name="Normal 11 6 3 2 10" xfId="21614"/>
    <cellStyle name="Normal 11 6 3 2 11" xfId="21615"/>
    <cellStyle name="Normal 11 6 3 2 12" xfId="21616"/>
    <cellStyle name="Normal 11 6 3 2 13" xfId="21617"/>
    <cellStyle name="Normal 11 6 3 2 14" xfId="21618"/>
    <cellStyle name="Normal 11 6 3 2 15" xfId="21619"/>
    <cellStyle name="Normal 11 6 3 2 2" xfId="21620"/>
    <cellStyle name="Normal 11 6 3 2 2 2" xfId="21621"/>
    <cellStyle name="Normal 11 6 3 2 2 2 2" xfId="21622"/>
    <cellStyle name="Normal 11 6 3 2 2 3" xfId="21623"/>
    <cellStyle name="Normal 11 6 3 2 2 4" xfId="21624"/>
    <cellStyle name="Normal 11 6 3 2 2 5" xfId="21625"/>
    <cellStyle name="Normal 11 6 3 2 2 6" xfId="21626"/>
    <cellStyle name="Normal 11 6 3 2 2 7" xfId="21627"/>
    <cellStyle name="Normal 11 6 3 2 3" xfId="21628"/>
    <cellStyle name="Normal 11 6 3 2 3 2" xfId="21629"/>
    <cellStyle name="Normal 11 6 3 2 3 3" xfId="21630"/>
    <cellStyle name="Normal 11 6 3 2 3 4" xfId="21631"/>
    <cellStyle name="Normal 11 6 3 2 4" xfId="21632"/>
    <cellStyle name="Normal 11 6 3 2 4 2" xfId="21633"/>
    <cellStyle name="Normal 11 6 3 2 4 3" xfId="21634"/>
    <cellStyle name="Normal 11 6 3 2 4 4" xfId="21635"/>
    <cellStyle name="Normal 11 6 3 2 5" xfId="21636"/>
    <cellStyle name="Normal 11 6 3 2 5 2" xfId="21637"/>
    <cellStyle name="Normal 11 6 3 2 5 3" xfId="21638"/>
    <cellStyle name="Normal 11 6 3 2 5 4" xfId="21639"/>
    <cellStyle name="Normal 11 6 3 2 6" xfId="21640"/>
    <cellStyle name="Normal 11 6 3 2 6 2" xfId="21641"/>
    <cellStyle name="Normal 11 6 3 2 6 3" xfId="21642"/>
    <cellStyle name="Normal 11 6 3 2 7" xfId="21643"/>
    <cellStyle name="Normal 11 6 3 2 7 2" xfId="21644"/>
    <cellStyle name="Normal 11 6 3 2 8" xfId="21645"/>
    <cellStyle name="Normal 11 6 3 2 8 2" xfId="21646"/>
    <cellStyle name="Normal 11 6 3 2 9" xfId="21647"/>
    <cellStyle name="Normal 11 6 3 2 9 2" xfId="21648"/>
    <cellStyle name="Normal 11 6 3 20" xfId="21649"/>
    <cellStyle name="Normal 11 6 3 3" xfId="1593"/>
    <cellStyle name="Normal 11 6 3 3 2" xfId="21650"/>
    <cellStyle name="Normal 11 6 3 3 2 2" xfId="21651"/>
    <cellStyle name="Normal 11 6 3 3 2 3" xfId="21652"/>
    <cellStyle name="Normal 11 6 3 3 2 4" xfId="21653"/>
    <cellStyle name="Normal 11 6 3 3 3" xfId="21654"/>
    <cellStyle name="Normal 11 6 3 3 3 2" xfId="21655"/>
    <cellStyle name="Normal 11 6 3 3 3 3" xfId="21656"/>
    <cellStyle name="Normal 11 6 3 3 4" xfId="21657"/>
    <cellStyle name="Normal 11 6 3 3 4 2" xfId="21658"/>
    <cellStyle name="Normal 11 6 3 3 5" xfId="21659"/>
    <cellStyle name="Normal 11 6 3 3 5 2" xfId="21660"/>
    <cellStyle name="Normal 11 6 3 3 6" xfId="21661"/>
    <cellStyle name="Normal 11 6 3 3 6 2" xfId="21662"/>
    <cellStyle name="Normal 11 6 3 3 7" xfId="21663"/>
    <cellStyle name="Normal 11 6 3 4" xfId="1594"/>
    <cellStyle name="Normal 11 6 3 4 2" xfId="21664"/>
    <cellStyle name="Normal 11 6 3 4 3" xfId="21665"/>
    <cellStyle name="Normal 11 6 3 4 4" xfId="21666"/>
    <cellStyle name="Normal 11 6 3 5" xfId="1595"/>
    <cellStyle name="Normal 11 6 3 5 2" xfId="21667"/>
    <cellStyle name="Normal 11 6 3 5 3" xfId="21668"/>
    <cellStyle name="Normal 11 6 3 5 4" xfId="21669"/>
    <cellStyle name="Normal 11 6 3 6" xfId="1596"/>
    <cellStyle name="Normal 11 6 3 6 2" xfId="21670"/>
    <cellStyle name="Normal 11 6 3 6 3" xfId="21671"/>
    <cellStyle name="Normal 11 6 3 6 4" xfId="21672"/>
    <cellStyle name="Normal 11 6 3 7" xfId="1597"/>
    <cellStyle name="Normal 11 6 3 7 2" xfId="21673"/>
    <cellStyle name="Normal 11 6 3 7 3" xfId="21674"/>
    <cellStyle name="Normal 11 6 3 8" xfId="1598"/>
    <cellStyle name="Normal 11 6 3 8 2" xfId="21675"/>
    <cellStyle name="Normal 11 6 3 9" xfId="1599"/>
    <cellStyle name="Normal 11 6 3 9 2" xfId="21676"/>
    <cellStyle name="Normal 11 6 4" xfId="53"/>
    <cellStyle name="Normal 11 6 4 10" xfId="1601"/>
    <cellStyle name="Normal 11 6 4 10 2" xfId="21678"/>
    <cellStyle name="Normal 11 6 4 11" xfId="1602"/>
    <cellStyle name="Normal 11 6 4 12" xfId="1603"/>
    <cellStyle name="Normal 11 6 4 13" xfId="1604"/>
    <cellStyle name="Normal 11 6 4 14" xfId="1605"/>
    <cellStyle name="Normal 11 6 4 15" xfId="11155"/>
    <cellStyle name="Normal 11 6 4 16" xfId="21677"/>
    <cellStyle name="Normal 11 6 4 17" xfId="21679"/>
    <cellStyle name="Normal 11 6 4 18" xfId="21680"/>
    <cellStyle name="Normal 11 6 4 19" xfId="21681"/>
    <cellStyle name="Normal 11 6 4 2" xfId="1600"/>
    <cellStyle name="Normal 11 6 4 2 10" xfId="21682"/>
    <cellStyle name="Normal 11 6 4 2 11" xfId="21683"/>
    <cellStyle name="Normal 11 6 4 2 12" xfId="21684"/>
    <cellStyle name="Normal 11 6 4 2 13" xfId="21685"/>
    <cellStyle name="Normal 11 6 4 2 14" xfId="21686"/>
    <cellStyle name="Normal 11 6 4 2 15" xfId="21687"/>
    <cellStyle name="Normal 11 6 4 2 2" xfId="21688"/>
    <cellStyle name="Normal 11 6 4 2 2 2" xfId="21689"/>
    <cellStyle name="Normal 11 6 4 2 2 2 2" xfId="21690"/>
    <cellStyle name="Normal 11 6 4 2 2 3" xfId="21691"/>
    <cellStyle name="Normal 11 6 4 2 2 4" xfId="21692"/>
    <cellStyle name="Normal 11 6 4 2 2 5" xfId="21693"/>
    <cellStyle name="Normal 11 6 4 2 2 6" xfId="21694"/>
    <cellStyle name="Normal 11 6 4 2 2 7" xfId="21695"/>
    <cellStyle name="Normal 11 6 4 2 3" xfId="21696"/>
    <cellStyle name="Normal 11 6 4 2 3 2" xfId="21697"/>
    <cellStyle name="Normal 11 6 4 2 3 3" xfId="21698"/>
    <cellStyle name="Normal 11 6 4 2 3 4" xfId="21699"/>
    <cellStyle name="Normal 11 6 4 2 4" xfId="21700"/>
    <cellStyle name="Normal 11 6 4 2 4 2" xfId="21701"/>
    <cellStyle name="Normal 11 6 4 2 4 3" xfId="21702"/>
    <cellStyle name="Normal 11 6 4 2 4 4" xfId="21703"/>
    <cellStyle name="Normal 11 6 4 2 5" xfId="21704"/>
    <cellStyle name="Normal 11 6 4 2 5 2" xfId="21705"/>
    <cellStyle name="Normal 11 6 4 2 5 3" xfId="21706"/>
    <cellStyle name="Normal 11 6 4 2 5 4" xfId="21707"/>
    <cellStyle name="Normal 11 6 4 2 6" xfId="21708"/>
    <cellStyle name="Normal 11 6 4 2 6 2" xfId="21709"/>
    <cellStyle name="Normal 11 6 4 2 6 3" xfId="21710"/>
    <cellStyle name="Normal 11 6 4 2 7" xfId="21711"/>
    <cellStyle name="Normal 11 6 4 2 7 2" xfId="21712"/>
    <cellStyle name="Normal 11 6 4 2 8" xfId="21713"/>
    <cellStyle name="Normal 11 6 4 2 8 2" xfId="21714"/>
    <cellStyle name="Normal 11 6 4 2 9" xfId="21715"/>
    <cellStyle name="Normal 11 6 4 2 9 2" xfId="21716"/>
    <cellStyle name="Normal 11 6 4 20" xfId="21717"/>
    <cellStyle name="Normal 11 6 4 3" xfId="1607"/>
    <cellStyle name="Normal 11 6 4 3 2" xfId="21718"/>
    <cellStyle name="Normal 11 6 4 3 2 2" xfId="21719"/>
    <cellStyle name="Normal 11 6 4 3 2 3" xfId="21720"/>
    <cellStyle name="Normal 11 6 4 3 2 4" xfId="21721"/>
    <cellStyle name="Normal 11 6 4 3 3" xfId="21722"/>
    <cellStyle name="Normal 11 6 4 3 3 2" xfId="21723"/>
    <cellStyle name="Normal 11 6 4 3 3 3" xfId="21724"/>
    <cellStyle name="Normal 11 6 4 3 4" xfId="21725"/>
    <cellStyle name="Normal 11 6 4 3 4 2" xfId="21726"/>
    <cellStyle name="Normal 11 6 4 3 5" xfId="21727"/>
    <cellStyle name="Normal 11 6 4 3 5 2" xfId="21728"/>
    <cellStyle name="Normal 11 6 4 3 6" xfId="21729"/>
    <cellStyle name="Normal 11 6 4 3 6 2" xfId="21730"/>
    <cellStyle name="Normal 11 6 4 3 7" xfId="21731"/>
    <cellStyle name="Normal 11 6 4 4" xfId="1608"/>
    <cellStyle name="Normal 11 6 4 4 2" xfId="21732"/>
    <cellStyle name="Normal 11 6 4 4 3" xfId="21733"/>
    <cellStyle name="Normal 11 6 4 4 4" xfId="21734"/>
    <cellStyle name="Normal 11 6 4 5" xfId="1609"/>
    <cellStyle name="Normal 11 6 4 5 2" xfId="21735"/>
    <cellStyle name="Normal 11 6 4 5 3" xfId="21736"/>
    <cellStyle name="Normal 11 6 4 5 4" xfId="21737"/>
    <cellStyle name="Normal 11 6 4 6" xfId="1610"/>
    <cellStyle name="Normal 11 6 4 6 2" xfId="21738"/>
    <cellStyle name="Normal 11 6 4 6 3" xfId="21739"/>
    <cellStyle name="Normal 11 6 4 6 4" xfId="21740"/>
    <cellStyle name="Normal 11 6 4 7" xfId="1611"/>
    <cellStyle name="Normal 11 6 4 7 2" xfId="21741"/>
    <cellStyle name="Normal 11 6 4 7 3" xfId="21742"/>
    <cellStyle name="Normal 11 6 4 8" xfId="1612"/>
    <cellStyle name="Normal 11 6 4 8 2" xfId="21743"/>
    <cellStyle name="Normal 11 6 4 9" xfId="1613"/>
    <cellStyle name="Normal 11 6 4 9 2" xfId="21744"/>
    <cellStyle name="Normal 11 6 5" xfId="54"/>
    <cellStyle name="Normal 11 6 5 10" xfId="1615"/>
    <cellStyle name="Normal 11 6 5 10 2" xfId="21746"/>
    <cellStyle name="Normal 11 6 5 11" xfId="1616"/>
    <cellStyle name="Normal 11 6 5 12" xfId="1617"/>
    <cellStyle name="Normal 11 6 5 13" xfId="1618"/>
    <cellStyle name="Normal 11 6 5 14" xfId="1619"/>
    <cellStyle name="Normal 11 6 5 15" xfId="11144"/>
    <cellStyle name="Normal 11 6 5 16" xfId="21745"/>
    <cellStyle name="Normal 11 6 5 17" xfId="21747"/>
    <cellStyle name="Normal 11 6 5 18" xfId="21748"/>
    <cellStyle name="Normal 11 6 5 19" xfId="21749"/>
    <cellStyle name="Normal 11 6 5 2" xfId="1614"/>
    <cellStyle name="Normal 11 6 5 2 10" xfId="21750"/>
    <cellStyle name="Normal 11 6 5 2 11" xfId="21751"/>
    <cellStyle name="Normal 11 6 5 2 12" xfId="21752"/>
    <cellStyle name="Normal 11 6 5 2 13" xfId="21753"/>
    <cellStyle name="Normal 11 6 5 2 14" xfId="21754"/>
    <cellStyle name="Normal 11 6 5 2 15" xfId="21755"/>
    <cellStyle name="Normal 11 6 5 2 2" xfId="21756"/>
    <cellStyle name="Normal 11 6 5 2 2 2" xfId="21757"/>
    <cellStyle name="Normal 11 6 5 2 2 2 2" xfId="21758"/>
    <cellStyle name="Normal 11 6 5 2 2 3" xfId="21759"/>
    <cellStyle name="Normal 11 6 5 2 2 4" xfId="21760"/>
    <cellStyle name="Normal 11 6 5 2 2 5" xfId="21761"/>
    <cellStyle name="Normal 11 6 5 2 2 6" xfId="21762"/>
    <cellStyle name="Normal 11 6 5 2 2 7" xfId="21763"/>
    <cellStyle name="Normal 11 6 5 2 3" xfId="21764"/>
    <cellStyle name="Normal 11 6 5 2 3 2" xfId="21765"/>
    <cellStyle name="Normal 11 6 5 2 3 3" xfId="21766"/>
    <cellStyle name="Normal 11 6 5 2 3 4" xfId="21767"/>
    <cellStyle name="Normal 11 6 5 2 4" xfId="21768"/>
    <cellStyle name="Normal 11 6 5 2 4 2" xfId="21769"/>
    <cellStyle name="Normal 11 6 5 2 4 3" xfId="21770"/>
    <cellStyle name="Normal 11 6 5 2 4 4" xfId="21771"/>
    <cellStyle name="Normal 11 6 5 2 5" xfId="21772"/>
    <cellStyle name="Normal 11 6 5 2 5 2" xfId="21773"/>
    <cellStyle name="Normal 11 6 5 2 5 3" xfId="21774"/>
    <cellStyle name="Normal 11 6 5 2 5 4" xfId="21775"/>
    <cellStyle name="Normal 11 6 5 2 6" xfId="21776"/>
    <cellStyle name="Normal 11 6 5 2 6 2" xfId="21777"/>
    <cellStyle name="Normal 11 6 5 2 6 3" xfId="21778"/>
    <cellStyle name="Normal 11 6 5 2 7" xfId="21779"/>
    <cellStyle name="Normal 11 6 5 2 7 2" xfId="21780"/>
    <cellStyle name="Normal 11 6 5 2 8" xfId="21781"/>
    <cellStyle name="Normal 11 6 5 2 8 2" xfId="21782"/>
    <cellStyle name="Normal 11 6 5 2 9" xfId="21783"/>
    <cellStyle name="Normal 11 6 5 2 9 2" xfId="21784"/>
    <cellStyle name="Normal 11 6 5 3" xfId="1621"/>
    <cellStyle name="Normal 11 6 5 3 2" xfId="21785"/>
    <cellStyle name="Normal 11 6 5 3 2 2" xfId="21786"/>
    <cellStyle name="Normal 11 6 5 3 2 3" xfId="21787"/>
    <cellStyle name="Normal 11 6 5 3 2 4" xfId="21788"/>
    <cellStyle name="Normal 11 6 5 3 3" xfId="21789"/>
    <cellStyle name="Normal 11 6 5 3 3 2" xfId="21790"/>
    <cellStyle name="Normal 11 6 5 3 3 3" xfId="21791"/>
    <cellStyle name="Normal 11 6 5 3 4" xfId="21792"/>
    <cellStyle name="Normal 11 6 5 3 4 2" xfId="21793"/>
    <cellStyle name="Normal 11 6 5 3 5" xfId="21794"/>
    <cellStyle name="Normal 11 6 5 3 5 2" xfId="21795"/>
    <cellStyle name="Normal 11 6 5 3 6" xfId="21796"/>
    <cellStyle name="Normal 11 6 5 3 6 2" xfId="21797"/>
    <cellStyle name="Normal 11 6 5 3 7" xfId="21798"/>
    <cellStyle name="Normal 11 6 5 4" xfId="1622"/>
    <cellStyle name="Normal 11 6 5 4 2" xfId="21799"/>
    <cellStyle name="Normal 11 6 5 4 3" xfId="21800"/>
    <cellStyle name="Normal 11 6 5 4 4" xfId="21801"/>
    <cellStyle name="Normal 11 6 5 5" xfId="1623"/>
    <cellStyle name="Normal 11 6 5 5 2" xfId="21802"/>
    <cellStyle name="Normal 11 6 5 5 3" xfId="21803"/>
    <cellStyle name="Normal 11 6 5 5 4" xfId="21804"/>
    <cellStyle name="Normal 11 6 5 6" xfId="1624"/>
    <cellStyle name="Normal 11 6 5 6 2" xfId="21805"/>
    <cellStyle name="Normal 11 6 5 6 3" xfId="21806"/>
    <cellStyle name="Normal 11 6 5 6 4" xfId="21807"/>
    <cellStyle name="Normal 11 6 5 7" xfId="1625"/>
    <cellStyle name="Normal 11 6 5 7 2" xfId="21808"/>
    <cellStyle name="Normal 11 6 5 7 3" xfId="21809"/>
    <cellStyle name="Normal 11 6 5 8" xfId="1626"/>
    <cellStyle name="Normal 11 6 5 8 2" xfId="21810"/>
    <cellStyle name="Normal 11 6 5 9" xfId="1627"/>
    <cellStyle name="Normal 11 6 5 9 2" xfId="21811"/>
    <cellStyle name="Normal 11 6 6" xfId="55"/>
    <cellStyle name="Normal 11 6 6 10" xfId="1629"/>
    <cellStyle name="Normal 11 6 6 10 2" xfId="21813"/>
    <cellStyle name="Normal 11 6 6 11" xfId="1630"/>
    <cellStyle name="Normal 11 6 6 12" xfId="1631"/>
    <cellStyle name="Normal 11 6 6 13" xfId="1632"/>
    <cellStyle name="Normal 11 6 6 14" xfId="1633"/>
    <cellStyle name="Normal 11 6 6 15" xfId="11130"/>
    <cellStyle name="Normal 11 6 6 16" xfId="21812"/>
    <cellStyle name="Normal 11 6 6 17" xfId="21814"/>
    <cellStyle name="Normal 11 6 6 18" xfId="21815"/>
    <cellStyle name="Normal 11 6 6 19" xfId="21816"/>
    <cellStyle name="Normal 11 6 6 2" xfId="1628"/>
    <cellStyle name="Normal 11 6 6 2 10" xfId="21817"/>
    <cellStyle name="Normal 11 6 6 2 11" xfId="21818"/>
    <cellStyle name="Normal 11 6 6 2 12" xfId="21819"/>
    <cellStyle name="Normal 11 6 6 2 13" xfId="21820"/>
    <cellStyle name="Normal 11 6 6 2 14" xfId="21821"/>
    <cellStyle name="Normal 11 6 6 2 15" xfId="21822"/>
    <cellStyle name="Normal 11 6 6 2 2" xfId="21823"/>
    <cellStyle name="Normal 11 6 6 2 2 2" xfId="21824"/>
    <cellStyle name="Normal 11 6 6 2 2 2 2" xfId="21825"/>
    <cellStyle name="Normal 11 6 6 2 2 3" xfId="21826"/>
    <cellStyle name="Normal 11 6 6 2 2 4" xfId="21827"/>
    <cellStyle name="Normal 11 6 6 2 2 5" xfId="21828"/>
    <cellStyle name="Normal 11 6 6 2 2 6" xfId="21829"/>
    <cellStyle name="Normal 11 6 6 2 2 7" xfId="21830"/>
    <cellStyle name="Normal 11 6 6 2 3" xfId="21831"/>
    <cellStyle name="Normal 11 6 6 2 3 2" xfId="21832"/>
    <cellStyle name="Normal 11 6 6 2 3 3" xfId="21833"/>
    <cellStyle name="Normal 11 6 6 2 3 4" xfId="21834"/>
    <cellStyle name="Normal 11 6 6 2 4" xfId="21835"/>
    <cellStyle name="Normal 11 6 6 2 4 2" xfId="21836"/>
    <cellStyle name="Normal 11 6 6 2 4 3" xfId="21837"/>
    <cellStyle name="Normal 11 6 6 2 4 4" xfId="21838"/>
    <cellStyle name="Normal 11 6 6 2 5" xfId="21839"/>
    <cellStyle name="Normal 11 6 6 2 5 2" xfId="21840"/>
    <cellStyle name="Normal 11 6 6 2 5 3" xfId="21841"/>
    <cellStyle name="Normal 11 6 6 2 5 4" xfId="21842"/>
    <cellStyle name="Normal 11 6 6 2 6" xfId="21843"/>
    <cellStyle name="Normal 11 6 6 2 6 2" xfId="21844"/>
    <cellStyle name="Normal 11 6 6 2 6 3" xfId="21845"/>
    <cellStyle name="Normal 11 6 6 2 7" xfId="21846"/>
    <cellStyle name="Normal 11 6 6 2 7 2" xfId="21847"/>
    <cellStyle name="Normal 11 6 6 2 8" xfId="21848"/>
    <cellStyle name="Normal 11 6 6 2 8 2" xfId="21849"/>
    <cellStyle name="Normal 11 6 6 2 9" xfId="21850"/>
    <cellStyle name="Normal 11 6 6 2 9 2" xfId="21851"/>
    <cellStyle name="Normal 11 6 6 3" xfId="1635"/>
    <cellStyle name="Normal 11 6 6 3 2" xfId="21852"/>
    <cellStyle name="Normal 11 6 6 3 2 2" xfId="21853"/>
    <cellStyle name="Normal 11 6 6 3 2 3" xfId="21854"/>
    <cellStyle name="Normal 11 6 6 3 2 4" xfId="21855"/>
    <cellStyle name="Normal 11 6 6 3 3" xfId="21856"/>
    <cellStyle name="Normal 11 6 6 3 3 2" xfId="21857"/>
    <cellStyle name="Normal 11 6 6 3 3 3" xfId="21858"/>
    <cellStyle name="Normal 11 6 6 3 4" xfId="21859"/>
    <cellStyle name="Normal 11 6 6 3 4 2" xfId="21860"/>
    <cellStyle name="Normal 11 6 6 3 5" xfId="21861"/>
    <cellStyle name="Normal 11 6 6 3 5 2" xfId="21862"/>
    <cellStyle name="Normal 11 6 6 3 6" xfId="21863"/>
    <cellStyle name="Normal 11 6 6 3 6 2" xfId="21864"/>
    <cellStyle name="Normal 11 6 6 3 7" xfId="21865"/>
    <cellStyle name="Normal 11 6 6 4" xfId="1636"/>
    <cellStyle name="Normal 11 6 6 4 2" xfId="21866"/>
    <cellStyle name="Normal 11 6 6 4 3" xfId="21867"/>
    <cellStyle name="Normal 11 6 6 4 4" xfId="21868"/>
    <cellStyle name="Normal 11 6 6 5" xfId="1637"/>
    <cellStyle name="Normal 11 6 6 5 2" xfId="21869"/>
    <cellStyle name="Normal 11 6 6 5 3" xfId="21870"/>
    <cellStyle name="Normal 11 6 6 5 4" xfId="21871"/>
    <cellStyle name="Normal 11 6 6 6" xfId="1638"/>
    <cellStyle name="Normal 11 6 6 6 2" xfId="21872"/>
    <cellStyle name="Normal 11 6 6 6 3" xfId="21873"/>
    <cellStyle name="Normal 11 6 6 6 4" xfId="21874"/>
    <cellStyle name="Normal 11 6 6 7" xfId="1639"/>
    <cellStyle name="Normal 11 6 6 7 2" xfId="21875"/>
    <cellStyle name="Normal 11 6 6 7 3" xfId="21876"/>
    <cellStyle name="Normal 11 6 6 8" xfId="1640"/>
    <cellStyle name="Normal 11 6 6 8 2" xfId="21877"/>
    <cellStyle name="Normal 11 6 6 9" xfId="1641"/>
    <cellStyle name="Normal 11 6 6 9 2" xfId="21878"/>
    <cellStyle name="Normal 11 6 7" xfId="56"/>
    <cellStyle name="Normal 11 6 7 10" xfId="1643"/>
    <cellStyle name="Normal 11 6 7 10 2" xfId="21880"/>
    <cellStyle name="Normal 11 6 7 11" xfId="1644"/>
    <cellStyle name="Normal 11 6 7 12" xfId="1645"/>
    <cellStyle name="Normal 11 6 7 13" xfId="1646"/>
    <cellStyle name="Normal 11 6 7 14" xfId="1647"/>
    <cellStyle name="Normal 11 6 7 15" xfId="11116"/>
    <cellStyle name="Normal 11 6 7 16" xfId="21879"/>
    <cellStyle name="Normal 11 6 7 17" xfId="21881"/>
    <cellStyle name="Normal 11 6 7 18" xfId="21882"/>
    <cellStyle name="Normal 11 6 7 19" xfId="21883"/>
    <cellStyle name="Normal 11 6 7 2" xfId="1642"/>
    <cellStyle name="Normal 11 6 7 2 10" xfId="21884"/>
    <cellStyle name="Normal 11 6 7 2 11" xfId="21885"/>
    <cellStyle name="Normal 11 6 7 2 12" xfId="21886"/>
    <cellStyle name="Normal 11 6 7 2 13" xfId="21887"/>
    <cellStyle name="Normal 11 6 7 2 14" xfId="21888"/>
    <cellStyle name="Normal 11 6 7 2 15" xfId="21889"/>
    <cellStyle name="Normal 11 6 7 2 2" xfId="21890"/>
    <cellStyle name="Normal 11 6 7 2 2 2" xfId="21891"/>
    <cellStyle name="Normal 11 6 7 2 2 2 2" xfId="21892"/>
    <cellStyle name="Normal 11 6 7 2 2 3" xfId="21893"/>
    <cellStyle name="Normal 11 6 7 2 2 4" xfId="21894"/>
    <cellStyle name="Normal 11 6 7 2 2 5" xfId="21895"/>
    <cellStyle name="Normal 11 6 7 2 2 6" xfId="21896"/>
    <cellStyle name="Normal 11 6 7 2 2 7" xfId="21897"/>
    <cellStyle name="Normal 11 6 7 2 3" xfId="21898"/>
    <cellStyle name="Normal 11 6 7 2 3 2" xfId="21899"/>
    <cellStyle name="Normal 11 6 7 2 3 3" xfId="21900"/>
    <cellStyle name="Normal 11 6 7 2 3 4" xfId="21901"/>
    <cellStyle name="Normal 11 6 7 2 4" xfId="21902"/>
    <cellStyle name="Normal 11 6 7 2 4 2" xfId="21903"/>
    <cellStyle name="Normal 11 6 7 2 4 3" xfId="21904"/>
    <cellStyle name="Normal 11 6 7 2 4 4" xfId="21905"/>
    <cellStyle name="Normal 11 6 7 2 5" xfId="21906"/>
    <cellStyle name="Normal 11 6 7 2 5 2" xfId="21907"/>
    <cellStyle name="Normal 11 6 7 2 5 3" xfId="21908"/>
    <cellStyle name="Normal 11 6 7 2 5 4" xfId="21909"/>
    <cellStyle name="Normal 11 6 7 2 6" xfId="21910"/>
    <cellStyle name="Normal 11 6 7 2 6 2" xfId="21911"/>
    <cellStyle name="Normal 11 6 7 2 6 3" xfId="21912"/>
    <cellStyle name="Normal 11 6 7 2 7" xfId="21913"/>
    <cellStyle name="Normal 11 6 7 2 7 2" xfId="21914"/>
    <cellStyle name="Normal 11 6 7 2 8" xfId="21915"/>
    <cellStyle name="Normal 11 6 7 2 8 2" xfId="21916"/>
    <cellStyle name="Normal 11 6 7 2 9" xfId="21917"/>
    <cellStyle name="Normal 11 6 7 2 9 2" xfId="21918"/>
    <cellStyle name="Normal 11 6 7 3" xfId="1649"/>
    <cellStyle name="Normal 11 6 7 3 2" xfId="21919"/>
    <cellStyle name="Normal 11 6 7 3 2 2" xfId="21920"/>
    <cellStyle name="Normal 11 6 7 3 2 3" xfId="21921"/>
    <cellStyle name="Normal 11 6 7 3 2 4" xfId="21922"/>
    <cellStyle name="Normal 11 6 7 3 3" xfId="21923"/>
    <cellStyle name="Normal 11 6 7 3 3 2" xfId="21924"/>
    <cellStyle name="Normal 11 6 7 3 3 3" xfId="21925"/>
    <cellStyle name="Normal 11 6 7 3 4" xfId="21926"/>
    <cellStyle name="Normal 11 6 7 3 4 2" xfId="21927"/>
    <cellStyle name="Normal 11 6 7 3 5" xfId="21928"/>
    <cellStyle name="Normal 11 6 7 3 5 2" xfId="21929"/>
    <cellStyle name="Normal 11 6 7 3 6" xfId="21930"/>
    <cellStyle name="Normal 11 6 7 3 6 2" xfId="21931"/>
    <cellStyle name="Normal 11 6 7 3 7" xfId="21932"/>
    <cellStyle name="Normal 11 6 7 4" xfId="1650"/>
    <cellStyle name="Normal 11 6 7 4 2" xfId="21933"/>
    <cellStyle name="Normal 11 6 7 4 3" xfId="21934"/>
    <cellStyle name="Normal 11 6 7 4 4" xfId="21935"/>
    <cellStyle name="Normal 11 6 7 5" xfId="1651"/>
    <cellStyle name="Normal 11 6 7 5 2" xfId="21936"/>
    <cellStyle name="Normal 11 6 7 5 3" xfId="21937"/>
    <cellStyle name="Normal 11 6 7 5 4" xfId="21938"/>
    <cellStyle name="Normal 11 6 7 6" xfId="1652"/>
    <cellStyle name="Normal 11 6 7 6 2" xfId="21939"/>
    <cellStyle name="Normal 11 6 7 6 3" xfId="21940"/>
    <cellStyle name="Normal 11 6 7 6 4" xfId="21941"/>
    <cellStyle name="Normal 11 6 7 7" xfId="1653"/>
    <cellStyle name="Normal 11 6 7 7 2" xfId="21942"/>
    <cellStyle name="Normal 11 6 7 7 3" xfId="21943"/>
    <cellStyle name="Normal 11 6 7 8" xfId="1654"/>
    <cellStyle name="Normal 11 6 7 8 2" xfId="21944"/>
    <cellStyle name="Normal 11 6 7 9" xfId="1655"/>
    <cellStyle name="Normal 11 6 7 9 2" xfId="21945"/>
    <cellStyle name="Normal 11 6 8" xfId="57"/>
    <cellStyle name="Normal 11 6 8 10" xfId="1657"/>
    <cellStyle name="Normal 11 6 8 10 2" xfId="21947"/>
    <cellStyle name="Normal 11 6 8 11" xfId="1658"/>
    <cellStyle name="Normal 11 6 8 12" xfId="1659"/>
    <cellStyle name="Normal 11 6 8 13" xfId="1660"/>
    <cellStyle name="Normal 11 6 8 14" xfId="1661"/>
    <cellStyle name="Normal 11 6 8 15" xfId="11102"/>
    <cellStyle name="Normal 11 6 8 16" xfId="21946"/>
    <cellStyle name="Normal 11 6 8 17" xfId="21948"/>
    <cellStyle name="Normal 11 6 8 2" xfId="1656"/>
    <cellStyle name="Normal 11 6 8 2 10" xfId="21949"/>
    <cellStyle name="Normal 11 6 8 2 11" xfId="21950"/>
    <cellStyle name="Normal 11 6 8 2 2" xfId="21951"/>
    <cellStyle name="Normal 11 6 8 2 2 2" xfId="21952"/>
    <cellStyle name="Normal 11 6 8 2 2 3" xfId="21953"/>
    <cellStyle name="Normal 11 6 8 2 2 4" xfId="21954"/>
    <cellStyle name="Normal 11 6 8 2 3" xfId="21955"/>
    <cellStyle name="Normal 11 6 8 2 3 2" xfId="21956"/>
    <cellStyle name="Normal 11 6 8 2 3 3" xfId="21957"/>
    <cellStyle name="Normal 11 6 8 2 3 4" xfId="21958"/>
    <cellStyle name="Normal 11 6 8 2 4" xfId="21959"/>
    <cellStyle name="Normal 11 6 8 2 4 2" xfId="21960"/>
    <cellStyle name="Normal 11 6 8 2 4 3" xfId="21961"/>
    <cellStyle name="Normal 11 6 8 2 4 4" xfId="21962"/>
    <cellStyle name="Normal 11 6 8 2 5" xfId="21963"/>
    <cellStyle name="Normal 11 6 8 2 5 2" xfId="21964"/>
    <cellStyle name="Normal 11 6 8 2 5 3" xfId="21965"/>
    <cellStyle name="Normal 11 6 8 2 5 4" xfId="21966"/>
    <cellStyle name="Normal 11 6 8 2 6" xfId="21967"/>
    <cellStyle name="Normal 11 6 8 2 6 2" xfId="21968"/>
    <cellStyle name="Normal 11 6 8 2 7" xfId="21969"/>
    <cellStyle name="Normal 11 6 8 2 7 2" xfId="21970"/>
    <cellStyle name="Normal 11 6 8 2 8" xfId="21971"/>
    <cellStyle name="Normal 11 6 8 2 8 2" xfId="21972"/>
    <cellStyle name="Normal 11 6 8 2 9" xfId="21973"/>
    <cellStyle name="Normal 11 6 8 2 9 2" xfId="21974"/>
    <cellStyle name="Normal 11 6 8 3" xfId="1663"/>
    <cellStyle name="Normal 11 6 8 3 2" xfId="21975"/>
    <cellStyle name="Normal 11 6 8 3 2 2" xfId="21976"/>
    <cellStyle name="Normal 11 6 8 3 2 3" xfId="21977"/>
    <cellStyle name="Normal 11 6 8 3 2 4" xfId="21978"/>
    <cellStyle name="Normal 11 6 8 3 3" xfId="21979"/>
    <cellStyle name="Normal 11 6 8 3 3 2" xfId="21980"/>
    <cellStyle name="Normal 11 6 8 3 3 3" xfId="21981"/>
    <cellStyle name="Normal 11 6 8 3 4" xfId="21982"/>
    <cellStyle name="Normal 11 6 8 3 4 2" xfId="21983"/>
    <cellStyle name="Normal 11 6 8 3 5" xfId="21984"/>
    <cellStyle name="Normal 11 6 8 3 5 2" xfId="21985"/>
    <cellStyle name="Normal 11 6 8 3 6" xfId="21986"/>
    <cellStyle name="Normal 11 6 8 3 6 2" xfId="21987"/>
    <cellStyle name="Normal 11 6 8 3 7" xfId="21988"/>
    <cellStyle name="Normal 11 6 8 4" xfId="1664"/>
    <cellStyle name="Normal 11 6 8 4 2" xfId="21989"/>
    <cellStyle name="Normal 11 6 8 4 3" xfId="21990"/>
    <cellStyle name="Normal 11 6 8 4 4" xfId="21991"/>
    <cellStyle name="Normal 11 6 8 5" xfId="1665"/>
    <cellStyle name="Normal 11 6 8 5 2" xfId="21992"/>
    <cellStyle name="Normal 11 6 8 5 3" xfId="21993"/>
    <cellStyle name="Normal 11 6 8 5 4" xfId="21994"/>
    <cellStyle name="Normal 11 6 8 6" xfId="1666"/>
    <cellStyle name="Normal 11 6 8 6 2" xfId="21995"/>
    <cellStyle name="Normal 11 6 8 6 3" xfId="21996"/>
    <cellStyle name="Normal 11 6 8 6 4" xfId="21997"/>
    <cellStyle name="Normal 11 6 8 7" xfId="1667"/>
    <cellStyle name="Normal 11 6 8 7 2" xfId="21998"/>
    <cellStyle name="Normal 11 6 8 7 3" xfId="21999"/>
    <cellStyle name="Normal 11 6 8 8" xfId="1668"/>
    <cellStyle name="Normal 11 6 8 8 2" xfId="22000"/>
    <cellStyle name="Normal 11 6 8 9" xfId="1669"/>
    <cellStyle name="Normal 11 6 8 9 2" xfId="22001"/>
    <cellStyle name="Normal 11 6 9" xfId="58"/>
    <cellStyle name="Normal 11 6 9 10" xfId="22003"/>
    <cellStyle name="Normal 11 6 9 10 2" xfId="22004"/>
    <cellStyle name="Normal 11 6 9 11" xfId="22005"/>
    <cellStyle name="Normal 11 6 9 12" xfId="22006"/>
    <cellStyle name="Normal 11 6 9 13" xfId="22007"/>
    <cellStyle name="Normal 11 6 9 14" xfId="22008"/>
    <cellStyle name="Normal 11 6 9 15" xfId="22009"/>
    <cellStyle name="Normal 11 6 9 16" xfId="22010"/>
    <cellStyle name="Normal 11 6 9 17" xfId="22011"/>
    <cellStyle name="Normal 11 6 9 2" xfId="1670"/>
    <cellStyle name="Normal 11 6 9 2 10" xfId="22012"/>
    <cellStyle name="Normal 11 6 9 2 11" xfId="22013"/>
    <cellStyle name="Normal 11 6 9 2 2" xfId="22014"/>
    <cellStyle name="Normal 11 6 9 2 2 2" xfId="22015"/>
    <cellStyle name="Normal 11 6 9 2 2 3" xfId="22016"/>
    <cellStyle name="Normal 11 6 9 2 2 4" xfId="22017"/>
    <cellStyle name="Normal 11 6 9 2 3" xfId="22018"/>
    <cellStyle name="Normal 11 6 9 2 3 2" xfId="22019"/>
    <cellStyle name="Normal 11 6 9 2 3 3" xfId="22020"/>
    <cellStyle name="Normal 11 6 9 2 3 4" xfId="22021"/>
    <cellStyle name="Normal 11 6 9 2 4" xfId="22022"/>
    <cellStyle name="Normal 11 6 9 2 4 2" xfId="22023"/>
    <cellStyle name="Normal 11 6 9 2 4 3" xfId="22024"/>
    <cellStyle name="Normal 11 6 9 2 4 4" xfId="22025"/>
    <cellStyle name="Normal 11 6 9 2 5" xfId="22026"/>
    <cellStyle name="Normal 11 6 9 2 5 2" xfId="22027"/>
    <cellStyle name="Normal 11 6 9 2 5 3" xfId="22028"/>
    <cellStyle name="Normal 11 6 9 2 5 4" xfId="22029"/>
    <cellStyle name="Normal 11 6 9 2 6" xfId="22030"/>
    <cellStyle name="Normal 11 6 9 2 6 2" xfId="22031"/>
    <cellStyle name="Normal 11 6 9 2 7" xfId="22032"/>
    <cellStyle name="Normal 11 6 9 2 7 2" xfId="22033"/>
    <cellStyle name="Normal 11 6 9 2 8" xfId="22034"/>
    <cellStyle name="Normal 11 6 9 2 8 2" xfId="22035"/>
    <cellStyle name="Normal 11 6 9 2 9" xfId="22036"/>
    <cellStyle name="Normal 11 6 9 2 9 2" xfId="22037"/>
    <cellStyle name="Normal 11 6 9 3" xfId="11088"/>
    <cellStyle name="Normal 11 6 9 3 2" xfId="22038"/>
    <cellStyle name="Normal 11 6 9 3 2 2" xfId="22039"/>
    <cellStyle name="Normal 11 6 9 3 2 3" xfId="22040"/>
    <cellStyle name="Normal 11 6 9 3 2 4" xfId="22041"/>
    <cellStyle name="Normal 11 6 9 3 3" xfId="22042"/>
    <cellStyle name="Normal 11 6 9 3 3 2" xfId="22043"/>
    <cellStyle name="Normal 11 6 9 3 3 3" xfId="22044"/>
    <cellStyle name="Normal 11 6 9 3 4" xfId="22045"/>
    <cellStyle name="Normal 11 6 9 3 4 2" xfId="22046"/>
    <cellStyle name="Normal 11 6 9 3 5" xfId="22047"/>
    <cellStyle name="Normal 11 6 9 3 5 2" xfId="22048"/>
    <cellStyle name="Normal 11 6 9 3 6" xfId="22049"/>
    <cellStyle name="Normal 11 6 9 3 6 2" xfId="22050"/>
    <cellStyle name="Normal 11 6 9 3 7" xfId="22051"/>
    <cellStyle name="Normal 11 6 9 4" xfId="22002"/>
    <cellStyle name="Normal 11 6 9 4 2" xfId="22052"/>
    <cellStyle name="Normal 11 6 9 4 3" xfId="22053"/>
    <cellStyle name="Normal 11 6 9 4 4" xfId="22054"/>
    <cellStyle name="Normal 11 6 9 5" xfId="22055"/>
    <cellStyle name="Normal 11 6 9 5 2" xfId="22056"/>
    <cellStyle name="Normal 11 6 9 5 3" xfId="22057"/>
    <cellStyle name="Normal 11 6 9 5 4" xfId="22058"/>
    <cellStyle name="Normal 11 6 9 6" xfId="22059"/>
    <cellStyle name="Normal 11 6 9 6 2" xfId="22060"/>
    <cellStyle name="Normal 11 6 9 6 3" xfId="22061"/>
    <cellStyle name="Normal 11 6 9 6 4" xfId="22062"/>
    <cellStyle name="Normal 11 6 9 7" xfId="22063"/>
    <cellStyle name="Normal 11 6 9 7 2" xfId="22064"/>
    <cellStyle name="Normal 11 6 9 7 3" xfId="22065"/>
    <cellStyle name="Normal 11 6 9 8" xfId="22066"/>
    <cellStyle name="Normal 11 6 9 8 2" xfId="22067"/>
    <cellStyle name="Normal 11 6 9 9" xfId="22068"/>
    <cellStyle name="Normal 11 6 9 9 2" xfId="22069"/>
    <cellStyle name="Normal 11 7" xfId="59"/>
    <cellStyle name="Normal 11 7 10" xfId="1672"/>
    <cellStyle name="Normal 11 7 10 10" xfId="22071"/>
    <cellStyle name="Normal 11 7 10 10 2" xfId="22072"/>
    <cellStyle name="Normal 11 7 10 11" xfId="22073"/>
    <cellStyle name="Normal 11 7 10 12" xfId="22074"/>
    <cellStyle name="Normal 11 7 10 13" xfId="22075"/>
    <cellStyle name="Normal 11 7 10 14" xfId="22076"/>
    <cellStyle name="Normal 11 7 10 15" xfId="22077"/>
    <cellStyle name="Normal 11 7 10 16" xfId="22078"/>
    <cellStyle name="Normal 11 7 10 2" xfId="22079"/>
    <cellStyle name="Normal 11 7 10 2 10" xfId="22080"/>
    <cellStyle name="Normal 11 7 10 2 11" xfId="22081"/>
    <cellStyle name="Normal 11 7 10 2 2" xfId="22082"/>
    <cellStyle name="Normal 11 7 10 2 2 2" xfId="22083"/>
    <cellStyle name="Normal 11 7 10 2 2 3" xfId="22084"/>
    <cellStyle name="Normal 11 7 10 2 2 4" xfId="22085"/>
    <cellStyle name="Normal 11 7 10 2 3" xfId="22086"/>
    <cellStyle name="Normal 11 7 10 2 3 2" xfId="22087"/>
    <cellStyle name="Normal 11 7 10 2 3 3" xfId="22088"/>
    <cellStyle name="Normal 11 7 10 2 3 4" xfId="22089"/>
    <cellStyle name="Normal 11 7 10 2 4" xfId="22090"/>
    <cellStyle name="Normal 11 7 10 2 4 2" xfId="22091"/>
    <cellStyle name="Normal 11 7 10 2 4 3" xfId="22092"/>
    <cellStyle name="Normal 11 7 10 2 4 4" xfId="22093"/>
    <cellStyle name="Normal 11 7 10 2 5" xfId="22094"/>
    <cellStyle name="Normal 11 7 10 2 5 2" xfId="22095"/>
    <cellStyle name="Normal 11 7 10 2 5 3" xfId="22096"/>
    <cellStyle name="Normal 11 7 10 2 5 4" xfId="22097"/>
    <cellStyle name="Normal 11 7 10 2 6" xfId="22098"/>
    <cellStyle name="Normal 11 7 10 2 6 2" xfId="22099"/>
    <cellStyle name="Normal 11 7 10 2 7" xfId="22100"/>
    <cellStyle name="Normal 11 7 10 2 7 2" xfId="22101"/>
    <cellStyle name="Normal 11 7 10 2 8" xfId="22102"/>
    <cellStyle name="Normal 11 7 10 2 8 2" xfId="22103"/>
    <cellStyle name="Normal 11 7 10 2 9" xfId="22104"/>
    <cellStyle name="Normal 11 7 10 2 9 2" xfId="22105"/>
    <cellStyle name="Normal 11 7 10 3" xfId="22106"/>
    <cellStyle name="Normal 11 7 10 3 2" xfId="22107"/>
    <cellStyle name="Normal 11 7 10 3 2 2" xfId="22108"/>
    <cellStyle name="Normal 11 7 10 3 2 3" xfId="22109"/>
    <cellStyle name="Normal 11 7 10 3 2 4" xfId="22110"/>
    <cellStyle name="Normal 11 7 10 3 3" xfId="22111"/>
    <cellStyle name="Normal 11 7 10 3 3 2" xfId="22112"/>
    <cellStyle name="Normal 11 7 10 3 3 3" xfId="22113"/>
    <cellStyle name="Normal 11 7 10 3 4" xfId="22114"/>
    <cellStyle name="Normal 11 7 10 3 4 2" xfId="22115"/>
    <cellStyle name="Normal 11 7 10 3 5" xfId="22116"/>
    <cellStyle name="Normal 11 7 10 3 5 2" xfId="22117"/>
    <cellStyle name="Normal 11 7 10 3 6" xfId="22118"/>
    <cellStyle name="Normal 11 7 10 3 6 2" xfId="22119"/>
    <cellStyle name="Normal 11 7 10 3 7" xfId="22120"/>
    <cellStyle name="Normal 11 7 10 4" xfId="22121"/>
    <cellStyle name="Normal 11 7 10 4 2" xfId="22122"/>
    <cellStyle name="Normal 11 7 10 4 3" xfId="22123"/>
    <cellStyle name="Normal 11 7 10 4 4" xfId="22124"/>
    <cellStyle name="Normal 11 7 10 5" xfId="22125"/>
    <cellStyle name="Normal 11 7 10 5 2" xfId="22126"/>
    <cellStyle name="Normal 11 7 10 5 3" xfId="22127"/>
    <cellStyle name="Normal 11 7 10 5 4" xfId="22128"/>
    <cellStyle name="Normal 11 7 10 6" xfId="22129"/>
    <cellStyle name="Normal 11 7 10 6 2" xfId="22130"/>
    <cellStyle name="Normal 11 7 10 6 3" xfId="22131"/>
    <cellStyle name="Normal 11 7 10 6 4" xfId="22132"/>
    <cellStyle name="Normal 11 7 10 7" xfId="22133"/>
    <cellStyle name="Normal 11 7 10 7 2" xfId="22134"/>
    <cellStyle name="Normal 11 7 10 7 3" xfId="22135"/>
    <cellStyle name="Normal 11 7 10 8" xfId="22136"/>
    <cellStyle name="Normal 11 7 10 8 2" xfId="22137"/>
    <cellStyle name="Normal 11 7 10 9" xfId="22138"/>
    <cellStyle name="Normal 11 7 10 9 2" xfId="22139"/>
    <cellStyle name="Normal 11 7 11" xfId="1673"/>
    <cellStyle name="Normal 11 7 11 10" xfId="22140"/>
    <cellStyle name="Normal 11 7 11 10 2" xfId="22141"/>
    <cellStyle name="Normal 11 7 11 11" xfId="22142"/>
    <cellStyle name="Normal 11 7 11 2" xfId="22143"/>
    <cellStyle name="Normal 11 7 11 2 2" xfId="22144"/>
    <cellStyle name="Normal 11 7 11 2 2 2" xfId="22145"/>
    <cellStyle name="Normal 11 7 11 2 2 3" xfId="22146"/>
    <cellStyle name="Normal 11 7 11 2 3" xfId="22147"/>
    <cellStyle name="Normal 11 7 11 2 3 2" xfId="22148"/>
    <cellStyle name="Normal 11 7 11 2 4" xfId="22149"/>
    <cellStyle name="Normal 11 7 11 2 4 2" xfId="22150"/>
    <cellStyle name="Normal 11 7 11 2 5" xfId="22151"/>
    <cellStyle name="Normal 11 7 11 2 5 2" xfId="22152"/>
    <cellStyle name="Normal 11 7 11 2 6" xfId="22153"/>
    <cellStyle name="Normal 11 7 11 2 7" xfId="22154"/>
    <cellStyle name="Normal 11 7 11 2 8" xfId="22155"/>
    <cellStyle name="Normal 11 7 11 2 9" xfId="22156"/>
    <cellStyle name="Normal 11 7 11 3" xfId="22157"/>
    <cellStyle name="Normal 11 7 11 3 2" xfId="22158"/>
    <cellStyle name="Normal 11 7 11 3 2 2" xfId="22159"/>
    <cellStyle name="Normal 11 7 11 3 2 3" xfId="22160"/>
    <cellStyle name="Normal 11 7 11 3 3" xfId="22161"/>
    <cellStyle name="Normal 11 7 11 3 3 2" xfId="22162"/>
    <cellStyle name="Normal 11 7 11 3 4" xfId="22163"/>
    <cellStyle name="Normal 11 7 11 3 5" xfId="22164"/>
    <cellStyle name="Normal 11 7 11 3 6" xfId="22165"/>
    <cellStyle name="Normal 11 7 11 3 7" xfId="22166"/>
    <cellStyle name="Normal 11 7 11 4" xfId="22167"/>
    <cellStyle name="Normal 11 7 11 4 2" xfId="22168"/>
    <cellStyle name="Normal 11 7 11 4 3" xfId="22169"/>
    <cellStyle name="Normal 11 7 11 4 4" xfId="22170"/>
    <cellStyle name="Normal 11 7 11 5" xfId="22171"/>
    <cellStyle name="Normal 11 7 11 5 2" xfId="22172"/>
    <cellStyle name="Normal 11 7 11 5 3" xfId="22173"/>
    <cellStyle name="Normal 11 7 11 5 4" xfId="22174"/>
    <cellStyle name="Normal 11 7 11 6" xfId="22175"/>
    <cellStyle name="Normal 11 7 11 6 2" xfId="22176"/>
    <cellStyle name="Normal 11 7 11 6 3" xfId="22177"/>
    <cellStyle name="Normal 11 7 11 7" xfId="22178"/>
    <cellStyle name="Normal 11 7 11 7 2" xfId="22179"/>
    <cellStyle name="Normal 11 7 11 8" xfId="22180"/>
    <cellStyle name="Normal 11 7 11 8 2" xfId="22181"/>
    <cellStyle name="Normal 11 7 11 9" xfId="22182"/>
    <cellStyle name="Normal 11 7 11 9 2" xfId="22183"/>
    <cellStyle name="Normal 11 7 12" xfId="1674"/>
    <cellStyle name="Normal 11 7 12 2" xfId="22184"/>
    <cellStyle name="Normal 11 7 12 2 2" xfId="22185"/>
    <cellStyle name="Normal 11 7 12 2 3" xfId="22186"/>
    <cellStyle name="Normal 11 7 12 2 4" xfId="22187"/>
    <cellStyle name="Normal 11 7 12 3" xfId="22188"/>
    <cellStyle name="Normal 11 7 12 3 2" xfId="22189"/>
    <cellStyle name="Normal 11 7 12 3 3" xfId="22190"/>
    <cellStyle name="Normal 11 7 12 4" xfId="22191"/>
    <cellStyle name="Normal 11 7 12 4 2" xfId="22192"/>
    <cellStyle name="Normal 11 7 12 4 3" xfId="22193"/>
    <cellStyle name="Normal 11 7 12 5" xfId="22194"/>
    <cellStyle name="Normal 11 7 12 5 2" xfId="22195"/>
    <cellStyle name="Normal 11 7 12 5 3" xfId="22196"/>
    <cellStyle name="Normal 11 7 12 6" xfId="22197"/>
    <cellStyle name="Normal 11 7 12 6 2" xfId="22198"/>
    <cellStyle name="Normal 11 7 12 7" xfId="22199"/>
    <cellStyle name="Normal 11 7 12 8" xfId="22200"/>
    <cellStyle name="Normal 11 7 12 9" xfId="22201"/>
    <cellStyle name="Normal 11 7 13" xfId="1675"/>
    <cellStyle name="Normal 11 7 13 2" xfId="22202"/>
    <cellStyle name="Normal 11 7 13 2 2" xfId="22203"/>
    <cellStyle name="Normal 11 7 13 2 3" xfId="22204"/>
    <cellStyle name="Normal 11 7 13 3" xfId="22205"/>
    <cellStyle name="Normal 11 7 13 3 2" xfId="22206"/>
    <cellStyle name="Normal 11 7 13 4" xfId="22207"/>
    <cellStyle name="Normal 11 7 13 5" xfId="22208"/>
    <cellStyle name="Normal 11 7 13 6" xfId="22209"/>
    <cellStyle name="Normal 11 7 13 7" xfId="22210"/>
    <cellStyle name="Normal 11 7 14" xfId="1676"/>
    <cellStyle name="Normal 11 7 14 2" xfId="22211"/>
    <cellStyle name="Normal 11 7 14 3" xfId="22212"/>
    <cellStyle name="Normal 11 7 14 4" xfId="22213"/>
    <cellStyle name="Normal 11 7 15" xfId="11074"/>
    <cellStyle name="Normal 11 7 15 2" xfId="22214"/>
    <cellStyle name="Normal 11 7 15 3" xfId="22215"/>
    <cellStyle name="Normal 11 7 15 4" xfId="22216"/>
    <cellStyle name="Normal 11 7 16" xfId="22070"/>
    <cellStyle name="Normal 11 7 16 2" xfId="22217"/>
    <cellStyle name="Normal 11 7 16 3" xfId="22218"/>
    <cellStyle name="Normal 11 7 16 4" xfId="22219"/>
    <cellStyle name="Normal 11 7 17" xfId="22220"/>
    <cellStyle name="Normal 11 7 17 2" xfId="22221"/>
    <cellStyle name="Normal 11 7 18" xfId="22222"/>
    <cellStyle name="Normal 11 7 18 2" xfId="22223"/>
    <cellStyle name="Normal 11 7 19" xfId="22224"/>
    <cellStyle name="Normal 11 7 19 2" xfId="22225"/>
    <cellStyle name="Normal 11 7 2" xfId="1671"/>
    <cellStyle name="Normal 11 7 2 10" xfId="22226"/>
    <cellStyle name="Normal 11 7 2 10 2" xfId="22227"/>
    <cellStyle name="Normal 11 7 2 11" xfId="22228"/>
    <cellStyle name="Normal 11 7 2 12" xfId="22229"/>
    <cellStyle name="Normal 11 7 2 13" xfId="22230"/>
    <cellStyle name="Normal 11 7 2 14" xfId="22231"/>
    <cellStyle name="Normal 11 7 2 15" xfId="22232"/>
    <cellStyle name="Normal 11 7 2 16" xfId="22233"/>
    <cellStyle name="Normal 11 7 2 17" xfId="22234"/>
    <cellStyle name="Normal 11 7 2 18" xfId="22235"/>
    <cellStyle name="Normal 11 7 2 19" xfId="22236"/>
    <cellStyle name="Normal 11 7 2 2" xfId="22237"/>
    <cellStyle name="Normal 11 7 2 2 10" xfId="22238"/>
    <cellStyle name="Normal 11 7 2 2 11" xfId="22239"/>
    <cellStyle name="Normal 11 7 2 2 12" xfId="22240"/>
    <cellStyle name="Normal 11 7 2 2 13" xfId="22241"/>
    <cellStyle name="Normal 11 7 2 2 14" xfId="22242"/>
    <cellStyle name="Normal 11 7 2 2 15" xfId="22243"/>
    <cellStyle name="Normal 11 7 2 2 2" xfId="22244"/>
    <cellStyle name="Normal 11 7 2 2 2 2" xfId="22245"/>
    <cellStyle name="Normal 11 7 2 2 2 2 2" xfId="22246"/>
    <cellStyle name="Normal 11 7 2 2 2 3" xfId="22247"/>
    <cellStyle name="Normal 11 7 2 2 2 4" xfId="22248"/>
    <cellStyle name="Normal 11 7 2 2 2 5" xfId="22249"/>
    <cellStyle name="Normal 11 7 2 2 2 6" xfId="22250"/>
    <cellStyle name="Normal 11 7 2 2 2 7" xfId="22251"/>
    <cellStyle name="Normal 11 7 2 2 3" xfId="22252"/>
    <cellStyle name="Normal 11 7 2 2 3 2" xfId="22253"/>
    <cellStyle name="Normal 11 7 2 2 3 3" xfId="22254"/>
    <cellStyle name="Normal 11 7 2 2 3 4" xfId="22255"/>
    <cellStyle name="Normal 11 7 2 2 4" xfId="22256"/>
    <cellStyle name="Normal 11 7 2 2 4 2" xfId="22257"/>
    <cellStyle name="Normal 11 7 2 2 4 3" xfId="22258"/>
    <cellStyle name="Normal 11 7 2 2 4 4" xfId="22259"/>
    <cellStyle name="Normal 11 7 2 2 5" xfId="22260"/>
    <cellStyle name="Normal 11 7 2 2 5 2" xfId="22261"/>
    <cellStyle name="Normal 11 7 2 2 5 3" xfId="22262"/>
    <cellStyle name="Normal 11 7 2 2 5 4" xfId="22263"/>
    <cellStyle name="Normal 11 7 2 2 6" xfId="22264"/>
    <cellStyle name="Normal 11 7 2 2 6 2" xfId="22265"/>
    <cellStyle name="Normal 11 7 2 2 6 3" xfId="22266"/>
    <cellStyle name="Normal 11 7 2 2 7" xfId="22267"/>
    <cellStyle name="Normal 11 7 2 2 7 2" xfId="22268"/>
    <cellStyle name="Normal 11 7 2 2 8" xfId="22269"/>
    <cellStyle name="Normal 11 7 2 2 8 2" xfId="22270"/>
    <cellStyle name="Normal 11 7 2 2 9" xfId="22271"/>
    <cellStyle name="Normal 11 7 2 2 9 2" xfId="22272"/>
    <cellStyle name="Normal 11 7 2 20" xfId="22273"/>
    <cellStyle name="Normal 11 7 2 3" xfId="22274"/>
    <cellStyle name="Normal 11 7 2 3 2" xfId="22275"/>
    <cellStyle name="Normal 11 7 2 3 2 2" xfId="22276"/>
    <cellStyle name="Normal 11 7 2 3 2 3" xfId="22277"/>
    <cellStyle name="Normal 11 7 2 3 2 4" xfId="22278"/>
    <cellStyle name="Normal 11 7 2 3 3" xfId="22279"/>
    <cellStyle name="Normal 11 7 2 3 3 2" xfId="22280"/>
    <cellStyle name="Normal 11 7 2 3 3 3" xfId="22281"/>
    <cellStyle name="Normal 11 7 2 3 4" xfId="22282"/>
    <cellStyle name="Normal 11 7 2 3 4 2" xfId="22283"/>
    <cellStyle name="Normal 11 7 2 3 5" xfId="22284"/>
    <cellStyle name="Normal 11 7 2 3 5 2" xfId="22285"/>
    <cellStyle name="Normal 11 7 2 3 6" xfId="22286"/>
    <cellStyle name="Normal 11 7 2 3 6 2" xfId="22287"/>
    <cellStyle name="Normal 11 7 2 3 7" xfId="22288"/>
    <cellStyle name="Normal 11 7 2 4" xfId="22289"/>
    <cellStyle name="Normal 11 7 2 4 2" xfId="22290"/>
    <cellStyle name="Normal 11 7 2 4 3" xfId="22291"/>
    <cellStyle name="Normal 11 7 2 4 4" xfId="22292"/>
    <cellStyle name="Normal 11 7 2 5" xfId="22293"/>
    <cellStyle name="Normal 11 7 2 5 2" xfId="22294"/>
    <cellStyle name="Normal 11 7 2 5 3" xfId="22295"/>
    <cellStyle name="Normal 11 7 2 5 4" xfId="22296"/>
    <cellStyle name="Normal 11 7 2 6" xfId="22297"/>
    <cellStyle name="Normal 11 7 2 6 2" xfId="22298"/>
    <cellStyle name="Normal 11 7 2 6 3" xfId="22299"/>
    <cellStyle name="Normal 11 7 2 6 4" xfId="22300"/>
    <cellStyle name="Normal 11 7 2 7" xfId="22301"/>
    <cellStyle name="Normal 11 7 2 7 2" xfId="22302"/>
    <cellStyle name="Normal 11 7 2 7 3" xfId="22303"/>
    <cellStyle name="Normal 11 7 2 8" xfId="22304"/>
    <cellStyle name="Normal 11 7 2 8 2" xfId="22305"/>
    <cellStyle name="Normal 11 7 2 9" xfId="22306"/>
    <cellStyle name="Normal 11 7 2 9 2" xfId="22307"/>
    <cellStyle name="Normal 11 7 20" xfId="22308"/>
    <cellStyle name="Normal 11 7 20 2" xfId="22309"/>
    <cellStyle name="Normal 11 7 21" xfId="22310"/>
    <cellStyle name="Normal 11 7 22" xfId="22311"/>
    <cellStyle name="Normal 11 7 23" xfId="22312"/>
    <cellStyle name="Normal 11 7 24" xfId="22313"/>
    <cellStyle name="Normal 11 7 25" xfId="22314"/>
    <cellStyle name="Normal 11 7 26" xfId="22315"/>
    <cellStyle name="Normal 11 7 27" xfId="22316"/>
    <cellStyle name="Normal 11 7 28" xfId="22317"/>
    <cellStyle name="Normal 11 7 29" xfId="22318"/>
    <cellStyle name="Normal 11 7 3" xfId="1678"/>
    <cellStyle name="Normal 11 7 3 10" xfId="22319"/>
    <cellStyle name="Normal 11 7 3 10 2" xfId="22320"/>
    <cellStyle name="Normal 11 7 3 11" xfId="22321"/>
    <cellStyle name="Normal 11 7 3 12" xfId="22322"/>
    <cellStyle name="Normal 11 7 3 13" xfId="22323"/>
    <cellStyle name="Normal 11 7 3 14" xfId="22324"/>
    <cellStyle name="Normal 11 7 3 15" xfId="22325"/>
    <cellStyle name="Normal 11 7 3 16" xfId="22326"/>
    <cellStyle name="Normal 11 7 3 17" xfId="22327"/>
    <cellStyle name="Normal 11 7 3 18" xfId="22328"/>
    <cellStyle name="Normal 11 7 3 19" xfId="22329"/>
    <cellStyle name="Normal 11 7 3 2" xfId="22330"/>
    <cellStyle name="Normal 11 7 3 2 10" xfId="22331"/>
    <cellStyle name="Normal 11 7 3 2 11" xfId="22332"/>
    <cellStyle name="Normal 11 7 3 2 12" xfId="22333"/>
    <cellStyle name="Normal 11 7 3 2 13" xfId="22334"/>
    <cellStyle name="Normal 11 7 3 2 14" xfId="22335"/>
    <cellStyle name="Normal 11 7 3 2 15" xfId="22336"/>
    <cellStyle name="Normal 11 7 3 2 2" xfId="22337"/>
    <cellStyle name="Normal 11 7 3 2 2 2" xfId="22338"/>
    <cellStyle name="Normal 11 7 3 2 2 2 2" xfId="22339"/>
    <cellStyle name="Normal 11 7 3 2 2 3" xfId="22340"/>
    <cellStyle name="Normal 11 7 3 2 2 4" xfId="22341"/>
    <cellStyle name="Normal 11 7 3 2 2 5" xfId="22342"/>
    <cellStyle name="Normal 11 7 3 2 2 6" xfId="22343"/>
    <cellStyle name="Normal 11 7 3 2 2 7" xfId="22344"/>
    <cellStyle name="Normal 11 7 3 2 3" xfId="22345"/>
    <cellStyle name="Normal 11 7 3 2 3 2" xfId="22346"/>
    <cellStyle name="Normal 11 7 3 2 3 3" xfId="22347"/>
    <cellStyle name="Normal 11 7 3 2 3 4" xfId="22348"/>
    <cellStyle name="Normal 11 7 3 2 4" xfId="22349"/>
    <cellStyle name="Normal 11 7 3 2 4 2" xfId="22350"/>
    <cellStyle name="Normal 11 7 3 2 4 3" xfId="22351"/>
    <cellStyle name="Normal 11 7 3 2 4 4" xfId="22352"/>
    <cellStyle name="Normal 11 7 3 2 5" xfId="22353"/>
    <cellStyle name="Normal 11 7 3 2 5 2" xfId="22354"/>
    <cellStyle name="Normal 11 7 3 2 5 3" xfId="22355"/>
    <cellStyle name="Normal 11 7 3 2 5 4" xfId="22356"/>
    <cellStyle name="Normal 11 7 3 2 6" xfId="22357"/>
    <cellStyle name="Normal 11 7 3 2 6 2" xfId="22358"/>
    <cellStyle name="Normal 11 7 3 2 6 3" xfId="22359"/>
    <cellStyle name="Normal 11 7 3 2 7" xfId="22360"/>
    <cellStyle name="Normal 11 7 3 2 7 2" xfId="22361"/>
    <cellStyle name="Normal 11 7 3 2 8" xfId="22362"/>
    <cellStyle name="Normal 11 7 3 2 8 2" xfId="22363"/>
    <cellStyle name="Normal 11 7 3 2 9" xfId="22364"/>
    <cellStyle name="Normal 11 7 3 2 9 2" xfId="22365"/>
    <cellStyle name="Normal 11 7 3 20" xfId="22366"/>
    <cellStyle name="Normal 11 7 3 3" xfId="22367"/>
    <cellStyle name="Normal 11 7 3 3 2" xfId="22368"/>
    <cellStyle name="Normal 11 7 3 3 2 2" xfId="22369"/>
    <cellStyle name="Normal 11 7 3 3 2 3" xfId="22370"/>
    <cellStyle name="Normal 11 7 3 3 2 4" xfId="22371"/>
    <cellStyle name="Normal 11 7 3 3 3" xfId="22372"/>
    <cellStyle name="Normal 11 7 3 3 3 2" xfId="22373"/>
    <cellStyle name="Normal 11 7 3 3 3 3" xfId="22374"/>
    <cellStyle name="Normal 11 7 3 3 4" xfId="22375"/>
    <cellStyle name="Normal 11 7 3 3 4 2" xfId="22376"/>
    <cellStyle name="Normal 11 7 3 3 5" xfId="22377"/>
    <cellStyle name="Normal 11 7 3 3 5 2" xfId="22378"/>
    <cellStyle name="Normal 11 7 3 3 6" xfId="22379"/>
    <cellStyle name="Normal 11 7 3 3 6 2" xfId="22380"/>
    <cellStyle name="Normal 11 7 3 3 7" xfId="22381"/>
    <cellStyle name="Normal 11 7 3 4" xfId="22382"/>
    <cellStyle name="Normal 11 7 3 4 2" xfId="22383"/>
    <cellStyle name="Normal 11 7 3 4 3" xfId="22384"/>
    <cellStyle name="Normal 11 7 3 4 4" xfId="22385"/>
    <cellStyle name="Normal 11 7 3 5" xfId="22386"/>
    <cellStyle name="Normal 11 7 3 5 2" xfId="22387"/>
    <cellStyle name="Normal 11 7 3 5 3" xfId="22388"/>
    <cellStyle name="Normal 11 7 3 5 4" xfId="22389"/>
    <cellStyle name="Normal 11 7 3 6" xfId="22390"/>
    <cellStyle name="Normal 11 7 3 6 2" xfId="22391"/>
    <cellStyle name="Normal 11 7 3 6 3" xfId="22392"/>
    <cellStyle name="Normal 11 7 3 6 4" xfId="22393"/>
    <cellStyle name="Normal 11 7 3 7" xfId="22394"/>
    <cellStyle name="Normal 11 7 3 7 2" xfId="22395"/>
    <cellStyle name="Normal 11 7 3 7 3" xfId="22396"/>
    <cellStyle name="Normal 11 7 3 8" xfId="22397"/>
    <cellStyle name="Normal 11 7 3 8 2" xfId="22398"/>
    <cellStyle name="Normal 11 7 3 9" xfId="22399"/>
    <cellStyle name="Normal 11 7 3 9 2" xfId="22400"/>
    <cellStyle name="Normal 11 7 4" xfId="1679"/>
    <cellStyle name="Normal 11 7 4 10" xfId="22401"/>
    <cellStyle name="Normal 11 7 4 10 2" xfId="22402"/>
    <cellStyle name="Normal 11 7 4 11" xfId="22403"/>
    <cellStyle name="Normal 11 7 4 12" xfId="22404"/>
    <cellStyle name="Normal 11 7 4 13" xfId="22405"/>
    <cellStyle name="Normal 11 7 4 14" xfId="22406"/>
    <cellStyle name="Normal 11 7 4 15" xfId="22407"/>
    <cellStyle name="Normal 11 7 4 16" xfId="22408"/>
    <cellStyle name="Normal 11 7 4 17" xfId="22409"/>
    <cellStyle name="Normal 11 7 4 18" xfId="22410"/>
    <cellStyle name="Normal 11 7 4 19" xfId="22411"/>
    <cellStyle name="Normal 11 7 4 2" xfId="22412"/>
    <cellStyle name="Normal 11 7 4 2 10" xfId="22413"/>
    <cellStyle name="Normal 11 7 4 2 11" xfId="22414"/>
    <cellStyle name="Normal 11 7 4 2 12" xfId="22415"/>
    <cellStyle name="Normal 11 7 4 2 13" xfId="22416"/>
    <cellStyle name="Normal 11 7 4 2 14" xfId="22417"/>
    <cellStyle name="Normal 11 7 4 2 15" xfId="22418"/>
    <cellStyle name="Normal 11 7 4 2 2" xfId="22419"/>
    <cellStyle name="Normal 11 7 4 2 2 2" xfId="22420"/>
    <cellStyle name="Normal 11 7 4 2 2 2 2" xfId="22421"/>
    <cellStyle name="Normal 11 7 4 2 2 3" xfId="22422"/>
    <cellStyle name="Normal 11 7 4 2 2 4" xfId="22423"/>
    <cellStyle name="Normal 11 7 4 2 2 5" xfId="22424"/>
    <cellStyle name="Normal 11 7 4 2 2 6" xfId="22425"/>
    <cellStyle name="Normal 11 7 4 2 2 7" xfId="22426"/>
    <cellStyle name="Normal 11 7 4 2 3" xfId="22427"/>
    <cellStyle name="Normal 11 7 4 2 3 2" xfId="22428"/>
    <cellStyle name="Normal 11 7 4 2 3 3" xfId="22429"/>
    <cellStyle name="Normal 11 7 4 2 3 4" xfId="22430"/>
    <cellStyle name="Normal 11 7 4 2 4" xfId="22431"/>
    <cellStyle name="Normal 11 7 4 2 4 2" xfId="22432"/>
    <cellStyle name="Normal 11 7 4 2 4 3" xfId="22433"/>
    <cellStyle name="Normal 11 7 4 2 4 4" xfId="22434"/>
    <cellStyle name="Normal 11 7 4 2 5" xfId="22435"/>
    <cellStyle name="Normal 11 7 4 2 5 2" xfId="22436"/>
    <cellStyle name="Normal 11 7 4 2 5 3" xfId="22437"/>
    <cellStyle name="Normal 11 7 4 2 5 4" xfId="22438"/>
    <cellStyle name="Normal 11 7 4 2 6" xfId="22439"/>
    <cellStyle name="Normal 11 7 4 2 6 2" xfId="22440"/>
    <cellStyle name="Normal 11 7 4 2 6 3" xfId="22441"/>
    <cellStyle name="Normal 11 7 4 2 7" xfId="22442"/>
    <cellStyle name="Normal 11 7 4 2 7 2" xfId="22443"/>
    <cellStyle name="Normal 11 7 4 2 8" xfId="22444"/>
    <cellStyle name="Normal 11 7 4 2 8 2" xfId="22445"/>
    <cellStyle name="Normal 11 7 4 2 9" xfId="22446"/>
    <cellStyle name="Normal 11 7 4 2 9 2" xfId="22447"/>
    <cellStyle name="Normal 11 7 4 20" xfId="22448"/>
    <cellStyle name="Normal 11 7 4 3" xfId="22449"/>
    <cellStyle name="Normal 11 7 4 3 2" xfId="22450"/>
    <cellStyle name="Normal 11 7 4 3 2 2" xfId="22451"/>
    <cellStyle name="Normal 11 7 4 3 2 3" xfId="22452"/>
    <cellStyle name="Normal 11 7 4 3 2 4" xfId="22453"/>
    <cellStyle name="Normal 11 7 4 3 3" xfId="22454"/>
    <cellStyle name="Normal 11 7 4 3 3 2" xfId="22455"/>
    <cellStyle name="Normal 11 7 4 3 3 3" xfId="22456"/>
    <cellStyle name="Normal 11 7 4 3 4" xfId="22457"/>
    <cellStyle name="Normal 11 7 4 3 4 2" xfId="22458"/>
    <cellStyle name="Normal 11 7 4 3 5" xfId="22459"/>
    <cellStyle name="Normal 11 7 4 3 5 2" xfId="22460"/>
    <cellStyle name="Normal 11 7 4 3 6" xfId="22461"/>
    <cellStyle name="Normal 11 7 4 3 6 2" xfId="22462"/>
    <cellStyle name="Normal 11 7 4 3 7" xfId="22463"/>
    <cellStyle name="Normal 11 7 4 4" xfId="22464"/>
    <cellStyle name="Normal 11 7 4 4 2" xfId="22465"/>
    <cellStyle name="Normal 11 7 4 4 3" xfId="22466"/>
    <cellStyle name="Normal 11 7 4 4 4" xfId="22467"/>
    <cellStyle name="Normal 11 7 4 5" xfId="22468"/>
    <cellStyle name="Normal 11 7 4 5 2" xfId="22469"/>
    <cellStyle name="Normal 11 7 4 5 3" xfId="22470"/>
    <cellStyle name="Normal 11 7 4 5 4" xfId="22471"/>
    <cellStyle name="Normal 11 7 4 6" xfId="22472"/>
    <cellStyle name="Normal 11 7 4 6 2" xfId="22473"/>
    <cellStyle name="Normal 11 7 4 6 3" xfId="22474"/>
    <cellStyle name="Normal 11 7 4 6 4" xfId="22475"/>
    <cellStyle name="Normal 11 7 4 7" xfId="22476"/>
    <cellStyle name="Normal 11 7 4 7 2" xfId="22477"/>
    <cellStyle name="Normal 11 7 4 7 3" xfId="22478"/>
    <cellStyle name="Normal 11 7 4 8" xfId="22479"/>
    <cellStyle name="Normal 11 7 4 8 2" xfId="22480"/>
    <cellStyle name="Normal 11 7 4 9" xfId="22481"/>
    <cellStyle name="Normal 11 7 4 9 2" xfId="22482"/>
    <cellStyle name="Normal 11 7 5" xfId="1680"/>
    <cellStyle name="Normal 11 7 5 10" xfId="22483"/>
    <cellStyle name="Normal 11 7 5 10 2" xfId="22484"/>
    <cellStyle name="Normal 11 7 5 11" xfId="22485"/>
    <cellStyle name="Normal 11 7 5 12" xfId="22486"/>
    <cellStyle name="Normal 11 7 5 13" xfId="22487"/>
    <cellStyle name="Normal 11 7 5 14" xfId="22488"/>
    <cellStyle name="Normal 11 7 5 15" xfId="22489"/>
    <cellStyle name="Normal 11 7 5 16" xfId="22490"/>
    <cellStyle name="Normal 11 7 5 17" xfId="22491"/>
    <cellStyle name="Normal 11 7 5 18" xfId="22492"/>
    <cellStyle name="Normal 11 7 5 19" xfId="22493"/>
    <cellStyle name="Normal 11 7 5 2" xfId="22494"/>
    <cellStyle name="Normal 11 7 5 2 10" xfId="22495"/>
    <cellStyle name="Normal 11 7 5 2 11" xfId="22496"/>
    <cellStyle name="Normal 11 7 5 2 12" xfId="22497"/>
    <cellStyle name="Normal 11 7 5 2 13" xfId="22498"/>
    <cellStyle name="Normal 11 7 5 2 14" xfId="22499"/>
    <cellStyle name="Normal 11 7 5 2 15" xfId="22500"/>
    <cellStyle name="Normal 11 7 5 2 2" xfId="22501"/>
    <cellStyle name="Normal 11 7 5 2 2 2" xfId="22502"/>
    <cellStyle name="Normal 11 7 5 2 2 2 2" xfId="22503"/>
    <cellStyle name="Normal 11 7 5 2 2 3" xfId="22504"/>
    <cellStyle name="Normal 11 7 5 2 2 4" xfId="22505"/>
    <cellStyle name="Normal 11 7 5 2 2 5" xfId="22506"/>
    <cellStyle name="Normal 11 7 5 2 2 6" xfId="22507"/>
    <cellStyle name="Normal 11 7 5 2 2 7" xfId="22508"/>
    <cellStyle name="Normal 11 7 5 2 3" xfId="22509"/>
    <cellStyle name="Normal 11 7 5 2 3 2" xfId="22510"/>
    <cellStyle name="Normal 11 7 5 2 3 3" xfId="22511"/>
    <cellStyle name="Normal 11 7 5 2 3 4" xfId="22512"/>
    <cellStyle name="Normal 11 7 5 2 4" xfId="22513"/>
    <cellStyle name="Normal 11 7 5 2 4 2" xfId="22514"/>
    <cellStyle name="Normal 11 7 5 2 4 3" xfId="22515"/>
    <cellStyle name="Normal 11 7 5 2 4 4" xfId="22516"/>
    <cellStyle name="Normal 11 7 5 2 5" xfId="22517"/>
    <cellStyle name="Normal 11 7 5 2 5 2" xfId="22518"/>
    <cellStyle name="Normal 11 7 5 2 5 3" xfId="22519"/>
    <cellStyle name="Normal 11 7 5 2 5 4" xfId="22520"/>
    <cellStyle name="Normal 11 7 5 2 6" xfId="22521"/>
    <cellStyle name="Normal 11 7 5 2 6 2" xfId="22522"/>
    <cellStyle name="Normal 11 7 5 2 6 3" xfId="22523"/>
    <cellStyle name="Normal 11 7 5 2 7" xfId="22524"/>
    <cellStyle name="Normal 11 7 5 2 7 2" xfId="22525"/>
    <cellStyle name="Normal 11 7 5 2 8" xfId="22526"/>
    <cellStyle name="Normal 11 7 5 2 8 2" xfId="22527"/>
    <cellStyle name="Normal 11 7 5 2 9" xfId="22528"/>
    <cellStyle name="Normal 11 7 5 2 9 2" xfId="22529"/>
    <cellStyle name="Normal 11 7 5 3" xfId="22530"/>
    <cellStyle name="Normal 11 7 5 3 2" xfId="22531"/>
    <cellStyle name="Normal 11 7 5 3 2 2" xfId="22532"/>
    <cellStyle name="Normal 11 7 5 3 2 3" xfId="22533"/>
    <cellStyle name="Normal 11 7 5 3 2 4" xfId="22534"/>
    <cellStyle name="Normal 11 7 5 3 3" xfId="22535"/>
    <cellStyle name="Normal 11 7 5 3 3 2" xfId="22536"/>
    <cellStyle name="Normal 11 7 5 3 3 3" xfId="22537"/>
    <cellStyle name="Normal 11 7 5 3 4" xfId="22538"/>
    <cellStyle name="Normal 11 7 5 3 4 2" xfId="22539"/>
    <cellStyle name="Normal 11 7 5 3 5" xfId="22540"/>
    <cellStyle name="Normal 11 7 5 3 5 2" xfId="22541"/>
    <cellStyle name="Normal 11 7 5 3 6" xfId="22542"/>
    <cellStyle name="Normal 11 7 5 3 6 2" xfId="22543"/>
    <cellStyle name="Normal 11 7 5 3 7" xfId="22544"/>
    <cellStyle name="Normal 11 7 5 4" xfId="22545"/>
    <cellStyle name="Normal 11 7 5 4 2" xfId="22546"/>
    <cellStyle name="Normal 11 7 5 4 3" xfId="22547"/>
    <cellStyle name="Normal 11 7 5 4 4" xfId="22548"/>
    <cellStyle name="Normal 11 7 5 5" xfId="22549"/>
    <cellStyle name="Normal 11 7 5 5 2" xfId="22550"/>
    <cellStyle name="Normal 11 7 5 5 3" xfId="22551"/>
    <cellStyle name="Normal 11 7 5 5 4" xfId="22552"/>
    <cellStyle name="Normal 11 7 5 6" xfId="22553"/>
    <cellStyle name="Normal 11 7 5 6 2" xfId="22554"/>
    <cellStyle name="Normal 11 7 5 6 3" xfId="22555"/>
    <cellStyle name="Normal 11 7 5 6 4" xfId="22556"/>
    <cellStyle name="Normal 11 7 5 7" xfId="22557"/>
    <cellStyle name="Normal 11 7 5 7 2" xfId="22558"/>
    <cellStyle name="Normal 11 7 5 7 3" xfId="22559"/>
    <cellStyle name="Normal 11 7 5 8" xfId="22560"/>
    <cellStyle name="Normal 11 7 5 8 2" xfId="22561"/>
    <cellStyle name="Normal 11 7 5 9" xfId="22562"/>
    <cellStyle name="Normal 11 7 5 9 2" xfId="22563"/>
    <cellStyle name="Normal 11 7 6" xfId="1681"/>
    <cellStyle name="Normal 11 7 6 10" xfId="22564"/>
    <cellStyle name="Normal 11 7 6 10 2" xfId="22565"/>
    <cellStyle name="Normal 11 7 6 11" xfId="22566"/>
    <cellStyle name="Normal 11 7 6 12" xfId="22567"/>
    <cellStyle name="Normal 11 7 6 13" xfId="22568"/>
    <cellStyle name="Normal 11 7 6 14" xfId="22569"/>
    <cellStyle name="Normal 11 7 6 15" xfId="22570"/>
    <cellStyle name="Normal 11 7 6 16" xfId="22571"/>
    <cellStyle name="Normal 11 7 6 17" xfId="22572"/>
    <cellStyle name="Normal 11 7 6 18" xfId="22573"/>
    <cellStyle name="Normal 11 7 6 19" xfId="22574"/>
    <cellStyle name="Normal 11 7 6 2" xfId="22575"/>
    <cellStyle name="Normal 11 7 6 2 10" xfId="22576"/>
    <cellStyle name="Normal 11 7 6 2 11" xfId="22577"/>
    <cellStyle name="Normal 11 7 6 2 12" xfId="22578"/>
    <cellStyle name="Normal 11 7 6 2 13" xfId="22579"/>
    <cellStyle name="Normal 11 7 6 2 14" xfId="22580"/>
    <cellStyle name="Normal 11 7 6 2 15" xfId="22581"/>
    <cellStyle name="Normal 11 7 6 2 2" xfId="22582"/>
    <cellStyle name="Normal 11 7 6 2 2 2" xfId="22583"/>
    <cellStyle name="Normal 11 7 6 2 2 2 2" xfId="22584"/>
    <cellStyle name="Normal 11 7 6 2 2 3" xfId="22585"/>
    <cellStyle name="Normal 11 7 6 2 2 4" xfId="22586"/>
    <cellStyle name="Normal 11 7 6 2 2 5" xfId="22587"/>
    <cellStyle name="Normal 11 7 6 2 2 6" xfId="22588"/>
    <cellStyle name="Normal 11 7 6 2 2 7" xfId="22589"/>
    <cellStyle name="Normal 11 7 6 2 3" xfId="22590"/>
    <cellStyle name="Normal 11 7 6 2 3 2" xfId="22591"/>
    <cellStyle name="Normal 11 7 6 2 3 3" xfId="22592"/>
    <cellStyle name="Normal 11 7 6 2 3 4" xfId="22593"/>
    <cellStyle name="Normal 11 7 6 2 4" xfId="22594"/>
    <cellStyle name="Normal 11 7 6 2 4 2" xfId="22595"/>
    <cellStyle name="Normal 11 7 6 2 4 3" xfId="22596"/>
    <cellStyle name="Normal 11 7 6 2 4 4" xfId="22597"/>
    <cellStyle name="Normal 11 7 6 2 5" xfId="22598"/>
    <cellStyle name="Normal 11 7 6 2 5 2" xfId="22599"/>
    <cellStyle name="Normal 11 7 6 2 5 3" xfId="22600"/>
    <cellStyle name="Normal 11 7 6 2 5 4" xfId="22601"/>
    <cellStyle name="Normal 11 7 6 2 6" xfId="22602"/>
    <cellStyle name="Normal 11 7 6 2 6 2" xfId="22603"/>
    <cellStyle name="Normal 11 7 6 2 6 3" xfId="22604"/>
    <cellStyle name="Normal 11 7 6 2 7" xfId="22605"/>
    <cellStyle name="Normal 11 7 6 2 7 2" xfId="22606"/>
    <cellStyle name="Normal 11 7 6 2 8" xfId="22607"/>
    <cellStyle name="Normal 11 7 6 2 8 2" xfId="22608"/>
    <cellStyle name="Normal 11 7 6 2 9" xfId="22609"/>
    <cellStyle name="Normal 11 7 6 2 9 2" xfId="22610"/>
    <cellStyle name="Normal 11 7 6 3" xfId="22611"/>
    <cellStyle name="Normal 11 7 6 3 2" xfId="22612"/>
    <cellStyle name="Normal 11 7 6 3 2 2" xfId="22613"/>
    <cellStyle name="Normal 11 7 6 3 2 3" xfId="22614"/>
    <cellStyle name="Normal 11 7 6 3 2 4" xfId="22615"/>
    <cellStyle name="Normal 11 7 6 3 3" xfId="22616"/>
    <cellStyle name="Normal 11 7 6 3 3 2" xfId="22617"/>
    <cellStyle name="Normal 11 7 6 3 3 3" xfId="22618"/>
    <cellStyle name="Normal 11 7 6 3 4" xfId="22619"/>
    <cellStyle name="Normal 11 7 6 3 4 2" xfId="22620"/>
    <cellStyle name="Normal 11 7 6 3 5" xfId="22621"/>
    <cellStyle name="Normal 11 7 6 3 5 2" xfId="22622"/>
    <cellStyle name="Normal 11 7 6 3 6" xfId="22623"/>
    <cellStyle name="Normal 11 7 6 3 6 2" xfId="22624"/>
    <cellStyle name="Normal 11 7 6 3 7" xfId="22625"/>
    <cellStyle name="Normal 11 7 6 4" xfId="22626"/>
    <cellStyle name="Normal 11 7 6 4 2" xfId="22627"/>
    <cellStyle name="Normal 11 7 6 4 3" xfId="22628"/>
    <cellStyle name="Normal 11 7 6 4 4" xfId="22629"/>
    <cellStyle name="Normal 11 7 6 5" xfId="22630"/>
    <cellStyle name="Normal 11 7 6 5 2" xfId="22631"/>
    <cellStyle name="Normal 11 7 6 5 3" xfId="22632"/>
    <cellStyle name="Normal 11 7 6 5 4" xfId="22633"/>
    <cellStyle name="Normal 11 7 6 6" xfId="22634"/>
    <cellStyle name="Normal 11 7 6 6 2" xfId="22635"/>
    <cellStyle name="Normal 11 7 6 6 3" xfId="22636"/>
    <cellStyle name="Normal 11 7 6 6 4" xfId="22637"/>
    <cellStyle name="Normal 11 7 6 7" xfId="22638"/>
    <cellStyle name="Normal 11 7 6 7 2" xfId="22639"/>
    <cellStyle name="Normal 11 7 6 7 3" xfId="22640"/>
    <cellStyle name="Normal 11 7 6 8" xfId="22641"/>
    <cellStyle name="Normal 11 7 6 8 2" xfId="22642"/>
    <cellStyle name="Normal 11 7 6 9" xfId="22643"/>
    <cellStyle name="Normal 11 7 6 9 2" xfId="22644"/>
    <cellStyle name="Normal 11 7 7" xfId="1682"/>
    <cellStyle name="Normal 11 7 7 10" xfId="22645"/>
    <cellStyle name="Normal 11 7 7 10 2" xfId="22646"/>
    <cellStyle name="Normal 11 7 7 11" xfId="22647"/>
    <cellStyle name="Normal 11 7 7 12" xfId="22648"/>
    <cellStyle name="Normal 11 7 7 13" xfId="22649"/>
    <cellStyle name="Normal 11 7 7 14" xfId="22650"/>
    <cellStyle name="Normal 11 7 7 15" xfId="22651"/>
    <cellStyle name="Normal 11 7 7 16" xfId="22652"/>
    <cellStyle name="Normal 11 7 7 17" xfId="22653"/>
    <cellStyle name="Normal 11 7 7 18" xfId="22654"/>
    <cellStyle name="Normal 11 7 7 19" xfId="22655"/>
    <cellStyle name="Normal 11 7 7 2" xfId="22656"/>
    <cellStyle name="Normal 11 7 7 2 10" xfId="22657"/>
    <cellStyle name="Normal 11 7 7 2 11" xfId="22658"/>
    <cellStyle name="Normal 11 7 7 2 12" xfId="22659"/>
    <cellStyle name="Normal 11 7 7 2 13" xfId="22660"/>
    <cellStyle name="Normal 11 7 7 2 14" xfId="22661"/>
    <cellStyle name="Normal 11 7 7 2 15" xfId="22662"/>
    <cellStyle name="Normal 11 7 7 2 2" xfId="22663"/>
    <cellStyle name="Normal 11 7 7 2 2 2" xfId="22664"/>
    <cellStyle name="Normal 11 7 7 2 2 2 2" xfId="22665"/>
    <cellStyle name="Normal 11 7 7 2 2 3" xfId="22666"/>
    <cellStyle name="Normal 11 7 7 2 2 4" xfId="22667"/>
    <cellStyle name="Normal 11 7 7 2 2 5" xfId="22668"/>
    <cellStyle name="Normal 11 7 7 2 2 6" xfId="22669"/>
    <cellStyle name="Normal 11 7 7 2 2 7" xfId="22670"/>
    <cellStyle name="Normal 11 7 7 2 3" xfId="22671"/>
    <cellStyle name="Normal 11 7 7 2 3 2" xfId="22672"/>
    <cellStyle name="Normal 11 7 7 2 3 3" xfId="22673"/>
    <cellStyle name="Normal 11 7 7 2 3 4" xfId="22674"/>
    <cellStyle name="Normal 11 7 7 2 4" xfId="22675"/>
    <cellStyle name="Normal 11 7 7 2 4 2" xfId="22676"/>
    <cellStyle name="Normal 11 7 7 2 4 3" xfId="22677"/>
    <cellStyle name="Normal 11 7 7 2 4 4" xfId="22678"/>
    <cellStyle name="Normal 11 7 7 2 5" xfId="22679"/>
    <cellStyle name="Normal 11 7 7 2 5 2" xfId="22680"/>
    <cellStyle name="Normal 11 7 7 2 5 3" xfId="22681"/>
    <cellStyle name="Normal 11 7 7 2 5 4" xfId="22682"/>
    <cellStyle name="Normal 11 7 7 2 6" xfId="22683"/>
    <cellStyle name="Normal 11 7 7 2 6 2" xfId="22684"/>
    <cellStyle name="Normal 11 7 7 2 6 3" xfId="22685"/>
    <cellStyle name="Normal 11 7 7 2 7" xfId="22686"/>
    <cellStyle name="Normal 11 7 7 2 7 2" xfId="22687"/>
    <cellStyle name="Normal 11 7 7 2 8" xfId="22688"/>
    <cellStyle name="Normal 11 7 7 2 8 2" xfId="22689"/>
    <cellStyle name="Normal 11 7 7 2 9" xfId="22690"/>
    <cellStyle name="Normal 11 7 7 2 9 2" xfId="22691"/>
    <cellStyle name="Normal 11 7 7 3" xfId="22692"/>
    <cellStyle name="Normal 11 7 7 3 2" xfId="22693"/>
    <cellStyle name="Normal 11 7 7 3 2 2" xfId="22694"/>
    <cellStyle name="Normal 11 7 7 3 2 3" xfId="22695"/>
    <cellStyle name="Normal 11 7 7 3 2 4" xfId="22696"/>
    <cellStyle name="Normal 11 7 7 3 3" xfId="22697"/>
    <cellStyle name="Normal 11 7 7 3 3 2" xfId="22698"/>
    <cellStyle name="Normal 11 7 7 3 3 3" xfId="22699"/>
    <cellStyle name="Normal 11 7 7 3 4" xfId="22700"/>
    <cellStyle name="Normal 11 7 7 3 4 2" xfId="22701"/>
    <cellStyle name="Normal 11 7 7 3 5" xfId="22702"/>
    <cellStyle name="Normal 11 7 7 3 5 2" xfId="22703"/>
    <cellStyle name="Normal 11 7 7 3 6" xfId="22704"/>
    <cellStyle name="Normal 11 7 7 3 6 2" xfId="22705"/>
    <cellStyle name="Normal 11 7 7 3 7" xfId="22706"/>
    <cellStyle name="Normal 11 7 7 4" xfId="22707"/>
    <cellStyle name="Normal 11 7 7 4 2" xfId="22708"/>
    <cellStyle name="Normal 11 7 7 4 3" xfId="22709"/>
    <cellStyle name="Normal 11 7 7 4 4" xfId="22710"/>
    <cellStyle name="Normal 11 7 7 5" xfId="22711"/>
    <cellStyle name="Normal 11 7 7 5 2" xfId="22712"/>
    <cellStyle name="Normal 11 7 7 5 3" xfId="22713"/>
    <cellStyle name="Normal 11 7 7 5 4" xfId="22714"/>
    <cellStyle name="Normal 11 7 7 6" xfId="22715"/>
    <cellStyle name="Normal 11 7 7 6 2" xfId="22716"/>
    <cellStyle name="Normal 11 7 7 6 3" xfId="22717"/>
    <cellStyle name="Normal 11 7 7 6 4" xfId="22718"/>
    <cellStyle name="Normal 11 7 7 7" xfId="22719"/>
    <cellStyle name="Normal 11 7 7 7 2" xfId="22720"/>
    <cellStyle name="Normal 11 7 7 7 3" xfId="22721"/>
    <cellStyle name="Normal 11 7 7 8" xfId="22722"/>
    <cellStyle name="Normal 11 7 7 8 2" xfId="22723"/>
    <cellStyle name="Normal 11 7 7 9" xfId="22724"/>
    <cellStyle name="Normal 11 7 7 9 2" xfId="22725"/>
    <cellStyle name="Normal 11 7 8" xfId="1683"/>
    <cellStyle name="Normal 11 7 8 10" xfId="22726"/>
    <cellStyle name="Normal 11 7 8 10 2" xfId="22727"/>
    <cellStyle name="Normal 11 7 8 11" xfId="22728"/>
    <cellStyle name="Normal 11 7 8 12" xfId="22729"/>
    <cellStyle name="Normal 11 7 8 13" xfId="22730"/>
    <cellStyle name="Normal 11 7 8 14" xfId="22731"/>
    <cellStyle name="Normal 11 7 8 15" xfId="22732"/>
    <cellStyle name="Normal 11 7 8 16" xfId="22733"/>
    <cellStyle name="Normal 11 7 8 17" xfId="22734"/>
    <cellStyle name="Normal 11 7 8 2" xfId="22735"/>
    <cellStyle name="Normal 11 7 8 2 10" xfId="22736"/>
    <cellStyle name="Normal 11 7 8 2 11" xfId="22737"/>
    <cellStyle name="Normal 11 7 8 2 2" xfId="22738"/>
    <cellStyle name="Normal 11 7 8 2 2 2" xfId="22739"/>
    <cellStyle name="Normal 11 7 8 2 2 3" xfId="22740"/>
    <cellStyle name="Normal 11 7 8 2 2 4" xfId="22741"/>
    <cellStyle name="Normal 11 7 8 2 3" xfId="22742"/>
    <cellStyle name="Normal 11 7 8 2 3 2" xfId="22743"/>
    <cellStyle name="Normal 11 7 8 2 3 3" xfId="22744"/>
    <cellStyle name="Normal 11 7 8 2 3 4" xfId="22745"/>
    <cellStyle name="Normal 11 7 8 2 4" xfId="22746"/>
    <cellStyle name="Normal 11 7 8 2 4 2" xfId="22747"/>
    <cellStyle name="Normal 11 7 8 2 4 3" xfId="22748"/>
    <cellStyle name="Normal 11 7 8 2 4 4" xfId="22749"/>
    <cellStyle name="Normal 11 7 8 2 5" xfId="22750"/>
    <cellStyle name="Normal 11 7 8 2 5 2" xfId="22751"/>
    <cellStyle name="Normal 11 7 8 2 5 3" xfId="22752"/>
    <cellStyle name="Normal 11 7 8 2 5 4" xfId="22753"/>
    <cellStyle name="Normal 11 7 8 2 6" xfId="22754"/>
    <cellStyle name="Normal 11 7 8 2 6 2" xfId="22755"/>
    <cellStyle name="Normal 11 7 8 2 7" xfId="22756"/>
    <cellStyle name="Normal 11 7 8 2 7 2" xfId="22757"/>
    <cellStyle name="Normal 11 7 8 2 8" xfId="22758"/>
    <cellStyle name="Normal 11 7 8 2 8 2" xfId="22759"/>
    <cellStyle name="Normal 11 7 8 2 9" xfId="22760"/>
    <cellStyle name="Normal 11 7 8 2 9 2" xfId="22761"/>
    <cellStyle name="Normal 11 7 8 3" xfId="22762"/>
    <cellStyle name="Normal 11 7 8 3 2" xfId="22763"/>
    <cellStyle name="Normal 11 7 8 3 2 2" xfId="22764"/>
    <cellStyle name="Normal 11 7 8 3 2 3" xfId="22765"/>
    <cellStyle name="Normal 11 7 8 3 2 4" xfId="22766"/>
    <cellStyle name="Normal 11 7 8 3 3" xfId="22767"/>
    <cellStyle name="Normal 11 7 8 3 3 2" xfId="22768"/>
    <cellStyle name="Normal 11 7 8 3 3 3" xfId="22769"/>
    <cellStyle name="Normal 11 7 8 3 4" xfId="22770"/>
    <cellStyle name="Normal 11 7 8 3 4 2" xfId="22771"/>
    <cellStyle name="Normal 11 7 8 3 5" xfId="22772"/>
    <cellStyle name="Normal 11 7 8 3 5 2" xfId="22773"/>
    <cellStyle name="Normal 11 7 8 3 6" xfId="22774"/>
    <cellStyle name="Normal 11 7 8 3 6 2" xfId="22775"/>
    <cellStyle name="Normal 11 7 8 3 7" xfId="22776"/>
    <cellStyle name="Normal 11 7 8 4" xfId="22777"/>
    <cellStyle name="Normal 11 7 8 4 2" xfId="22778"/>
    <cellStyle name="Normal 11 7 8 4 3" xfId="22779"/>
    <cellStyle name="Normal 11 7 8 4 4" xfId="22780"/>
    <cellStyle name="Normal 11 7 8 5" xfId="22781"/>
    <cellStyle name="Normal 11 7 8 5 2" xfId="22782"/>
    <cellStyle name="Normal 11 7 8 5 3" xfId="22783"/>
    <cellStyle name="Normal 11 7 8 5 4" xfId="22784"/>
    <cellStyle name="Normal 11 7 8 6" xfId="22785"/>
    <cellStyle name="Normal 11 7 8 6 2" xfId="22786"/>
    <cellStyle name="Normal 11 7 8 6 3" xfId="22787"/>
    <cellStyle name="Normal 11 7 8 6 4" xfId="22788"/>
    <cellStyle name="Normal 11 7 8 7" xfId="22789"/>
    <cellStyle name="Normal 11 7 8 7 2" xfId="22790"/>
    <cellStyle name="Normal 11 7 8 7 3" xfId="22791"/>
    <cellStyle name="Normal 11 7 8 8" xfId="22792"/>
    <cellStyle name="Normal 11 7 8 8 2" xfId="22793"/>
    <cellStyle name="Normal 11 7 8 9" xfId="22794"/>
    <cellStyle name="Normal 11 7 8 9 2" xfId="22795"/>
    <cellStyle name="Normal 11 7 9" xfId="1684"/>
    <cellStyle name="Normal 11 7 9 10" xfId="22796"/>
    <cellStyle name="Normal 11 7 9 10 2" xfId="22797"/>
    <cellStyle name="Normal 11 7 9 11" xfId="22798"/>
    <cellStyle name="Normal 11 7 9 12" xfId="22799"/>
    <cellStyle name="Normal 11 7 9 13" xfId="22800"/>
    <cellStyle name="Normal 11 7 9 14" xfId="22801"/>
    <cellStyle name="Normal 11 7 9 15" xfId="22802"/>
    <cellStyle name="Normal 11 7 9 16" xfId="22803"/>
    <cellStyle name="Normal 11 7 9 17" xfId="22804"/>
    <cellStyle name="Normal 11 7 9 2" xfId="22805"/>
    <cellStyle name="Normal 11 7 9 2 10" xfId="22806"/>
    <cellStyle name="Normal 11 7 9 2 11" xfId="22807"/>
    <cellStyle name="Normal 11 7 9 2 2" xfId="22808"/>
    <cellStyle name="Normal 11 7 9 2 2 2" xfId="22809"/>
    <cellStyle name="Normal 11 7 9 2 2 3" xfId="22810"/>
    <cellStyle name="Normal 11 7 9 2 2 4" xfId="22811"/>
    <cellStyle name="Normal 11 7 9 2 3" xfId="22812"/>
    <cellStyle name="Normal 11 7 9 2 3 2" xfId="22813"/>
    <cellStyle name="Normal 11 7 9 2 3 3" xfId="22814"/>
    <cellStyle name="Normal 11 7 9 2 3 4" xfId="22815"/>
    <cellStyle name="Normal 11 7 9 2 4" xfId="22816"/>
    <cellStyle name="Normal 11 7 9 2 4 2" xfId="22817"/>
    <cellStyle name="Normal 11 7 9 2 4 3" xfId="22818"/>
    <cellStyle name="Normal 11 7 9 2 4 4" xfId="22819"/>
    <cellStyle name="Normal 11 7 9 2 5" xfId="22820"/>
    <cellStyle name="Normal 11 7 9 2 5 2" xfId="22821"/>
    <cellStyle name="Normal 11 7 9 2 5 3" xfId="22822"/>
    <cellStyle name="Normal 11 7 9 2 5 4" xfId="22823"/>
    <cellStyle name="Normal 11 7 9 2 6" xfId="22824"/>
    <cellStyle name="Normal 11 7 9 2 6 2" xfId="22825"/>
    <cellStyle name="Normal 11 7 9 2 7" xfId="22826"/>
    <cellStyle name="Normal 11 7 9 2 7 2" xfId="22827"/>
    <cellStyle name="Normal 11 7 9 2 8" xfId="22828"/>
    <cellStyle name="Normal 11 7 9 2 8 2" xfId="22829"/>
    <cellStyle name="Normal 11 7 9 2 9" xfId="22830"/>
    <cellStyle name="Normal 11 7 9 2 9 2" xfId="22831"/>
    <cellStyle name="Normal 11 7 9 3" xfId="22832"/>
    <cellStyle name="Normal 11 7 9 3 2" xfId="22833"/>
    <cellStyle name="Normal 11 7 9 3 2 2" xfId="22834"/>
    <cellStyle name="Normal 11 7 9 3 2 3" xfId="22835"/>
    <cellStyle name="Normal 11 7 9 3 2 4" xfId="22836"/>
    <cellStyle name="Normal 11 7 9 3 3" xfId="22837"/>
    <cellStyle name="Normal 11 7 9 3 3 2" xfId="22838"/>
    <cellStyle name="Normal 11 7 9 3 3 3" xfId="22839"/>
    <cellStyle name="Normal 11 7 9 3 4" xfId="22840"/>
    <cellStyle name="Normal 11 7 9 3 4 2" xfId="22841"/>
    <cellStyle name="Normal 11 7 9 3 5" xfId="22842"/>
    <cellStyle name="Normal 11 7 9 3 5 2" xfId="22843"/>
    <cellStyle name="Normal 11 7 9 3 6" xfId="22844"/>
    <cellStyle name="Normal 11 7 9 3 6 2" xfId="22845"/>
    <cellStyle name="Normal 11 7 9 3 7" xfId="22846"/>
    <cellStyle name="Normal 11 7 9 4" xfId="22847"/>
    <cellStyle name="Normal 11 7 9 4 2" xfId="22848"/>
    <cellStyle name="Normal 11 7 9 4 3" xfId="22849"/>
    <cellStyle name="Normal 11 7 9 4 4" xfId="22850"/>
    <cellStyle name="Normal 11 7 9 5" xfId="22851"/>
    <cellStyle name="Normal 11 7 9 5 2" xfId="22852"/>
    <cellStyle name="Normal 11 7 9 5 3" xfId="22853"/>
    <cellStyle name="Normal 11 7 9 5 4" xfId="22854"/>
    <cellStyle name="Normal 11 7 9 6" xfId="22855"/>
    <cellStyle name="Normal 11 7 9 6 2" xfId="22856"/>
    <cellStyle name="Normal 11 7 9 6 3" xfId="22857"/>
    <cellStyle name="Normal 11 7 9 6 4" xfId="22858"/>
    <cellStyle name="Normal 11 7 9 7" xfId="22859"/>
    <cellStyle name="Normal 11 7 9 7 2" xfId="22860"/>
    <cellStyle name="Normal 11 7 9 7 3" xfId="22861"/>
    <cellStyle name="Normal 11 7 9 8" xfId="22862"/>
    <cellStyle name="Normal 11 7 9 8 2" xfId="22863"/>
    <cellStyle name="Normal 11 7 9 9" xfId="22864"/>
    <cellStyle name="Normal 11 7 9 9 2" xfId="22865"/>
    <cellStyle name="Normal 11 8" xfId="60"/>
    <cellStyle name="Normal 11 8 10" xfId="1686"/>
    <cellStyle name="Normal 11 8 10 10" xfId="22867"/>
    <cellStyle name="Normal 11 8 10 11" xfId="22868"/>
    <cellStyle name="Normal 11 8 10 12" xfId="22869"/>
    <cellStyle name="Normal 11 8 10 13" xfId="22870"/>
    <cellStyle name="Normal 11 8 10 14" xfId="22871"/>
    <cellStyle name="Normal 11 8 10 15" xfId="22872"/>
    <cellStyle name="Normal 11 8 10 2" xfId="22873"/>
    <cellStyle name="Normal 11 8 10 2 2" xfId="22874"/>
    <cellStyle name="Normal 11 8 10 2 2 2" xfId="22875"/>
    <cellStyle name="Normal 11 8 10 2 3" xfId="22876"/>
    <cellStyle name="Normal 11 8 10 2 3 2" xfId="22877"/>
    <cellStyle name="Normal 11 8 10 2 4" xfId="22878"/>
    <cellStyle name="Normal 11 8 10 2 4 2" xfId="22879"/>
    <cellStyle name="Normal 11 8 10 2 5" xfId="22880"/>
    <cellStyle name="Normal 11 8 10 2 5 2" xfId="22881"/>
    <cellStyle name="Normal 11 8 10 2 6" xfId="22882"/>
    <cellStyle name="Normal 11 8 10 2 7" xfId="22883"/>
    <cellStyle name="Normal 11 8 10 2 8" xfId="22884"/>
    <cellStyle name="Normal 11 8 10 2 9" xfId="22885"/>
    <cellStyle name="Normal 11 8 10 3" xfId="22886"/>
    <cellStyle name="Normal 11 8 10 3 2" xfId="22887"/>
    <cellStyle name="Normal 11 8 10 3 2 2" xfId="22888"/>
    <cellStyle name="Normal 11 8 10 3 3" xfId="22889"/>
    <cellStyle name="Normal 11 8 10 3 4" xfId="22890"/>
    <cellStyle name="Normal 11 8 10 3 5" xfId="22891"/>
    <cellStyle name="Normal 11 8 10 4" xfId="22892"/>
    <cellStyle name="Normal 11 8 10 4 2" xfId="22893"/>
    <cellStyle name="Normal 11 8 10 5" xfId="22894"/>
    <cellStyle name="Normal 11 8 10 5 2" xfId="22895"/>
    <cellStyle name="Normal 11 8 10 6" xfId="22896"/>
    <cellStyle name="Normal 11 8 10 6 2" xfId="22897"/>
    <cellStyle name="Normal 11 8 10 7" xfId="22898"/>
    <cellStyle name="Normal 11 8 10 7 2" xfId="22899"/>
    <cellStyle name="Normal 11 8 10 8" xfId="22900"/>
    <cellStyle name="Normal 11 8 10 9" xfId="22901"/>
    <cellStyle name="Normal 11 8 11" xfId="1687"/>
    <cellStyle name="Normal 11 8 11 2" xfId="22902"/>
    <cellStyle name="Normal 11 8 11 2 2" xfId="22903"/>
    <cellStyle name="Normal 11 8 11 3" xfId="22904"/>
    <cellStyle name="Normal 11 8 11 3 2" xfId="22905"/>
    <cellStyle name="Normal 11 8 11 4" xfId="22906"/>
    <cellStyle name="Normal 11 8 11 4 2" xfId="22907"/>
    <cellStyle name="Normal 11 8 11 5" xfId="22908"/>
    <cellStyle name="Normal 11 8 11 5 2" xfId="22909"/>
    <cellStyle name="Normal 11 8 11 6" xfId="22910"/>
    <cellStyle name="Normal 11 8 11 7" xfId="22911"/>
    <cellStyle name="Normal 11 8 11 8" xfId="22912"/>
    <cellStyle name="Normal 11 8 11 9" xfId="22913"/>
    <cellStyle name="Normal 11 8 12" xfId="1688"/>
    <cellStyle name="Normal 11 8 12 2" xfId="22914"/>
    <cellStyle name="Normal 11 8 12 2 2" xfId="22915"/>
    <cellStyle name="Normal 11 8 12 3" xfId="22916"/>
    <cellStyle name="Normal 11 8 12 4" xfId="22917"/>
    <cellStyle name="Normal 11 8 12 5" xfId="22918"/>
    <cellStyle name="Normal 11 8 13" xfId="1689"/>
    <cellStyle name="Normal 11 8 13 2" xfId="22919"/>
    <cellStyle name="Normal 11 8 14" xfId="1690"/>
    <cellStyle name="Normal 11 8 14 2" xfId="22920"/>
    <cellStyle name="Normal 11 8 15" xfId="11057"/>
    <cellStyle name="Normal 11 8 15 2" xfId="22921"/>
    <cellStyle name="Normal 11 8 16" xfId="22866"/>
    <cellStyle name="Normal 11 8 16 2" xfId="22922"/>
    <cellStyle name="Normal 11 8 17" xfId="22923"/>
    <cellStyle name="Normal 11 8 18" xfId="22924"/>
    <cellStyle name="Normal 11 8 19" xfId="22925"/>
    <cellStyle name="Normal 11 8 2" xfId="1685"/>
    <cellStyle name="Normal 11 8 2 10" xfId="22926"/>
    <cellStyle name="Normal 11 8 2 11" xfId="22927"/>
    <cellStyle name="Normal 11 8 2 12" xfId="22928"/>
    <cellStyle name="Normal 11 8 2 13" xfId="22929"/>
    <cellStyle name="Normal 11 8 2 14" xfId="22930"/>
    <cellStyle name="Normal 11 8 2 15" xfId="22931"/>
    <cellStyle name="Normal 11 8 2 16" xfId="22932"/>
    <cellStyle name="Normal 11 8 2 17" xfId="22933"/>
    <cellStyle name="Normal 11 8 2 18" xfId="22934"/>
    <cellStyle name="Normal 11 8 2 19" xfId="22935"/>
    <cellStyle name="Normal 11 8 2 2" xfId="22936"/>
    <cellStyle name="Normal 11 8 2 2 10" xfId="22937"/>
    <cellStyle name="Normal 11 8 2 2 11" xfId="22938"/>
    <cellStyle name="Normal 11 8 2 2 12" xfId="22939"/>
    <cellStyle name="Normal 11 8 2 2 13" xfId="22940"/>
    <cellStyle name="Normal 11 8 2 2 14" xfId="22941"/>
    <cellStyle name="Normal 11 8 2 2 15" xfId="22942"/>
    <cellStyle name="Normal 11 8 2 2 2" xfId="22943"/>
    <cellStyle name="Normal 11 8 2 2 2 2" xfId="22944"/>
    <cellStyle name="Normal 11 8 2 2 2 2 2" xfId="22945"/>
    <cellStyle name="Normal 11 8 2 2 2 3" xfId="22946"/>
    <cellStyle name="Normal 11 8 2 2 2 4" xfId="22947"/>
    <cellStyle name="Normal 11 8 2 2 2 5" xfId="22948"/>
    <cellStyle name="Normal 11 8 2 2 3" xfId="22949"/>
    <cellStyle name="Normal 11 8 2 2 3 2" xfId="22950"/>
    <cellStyle name="Normal 11 8 2 2 4" xfId="22951"/>
    <cellStyle name="Normal 11 8 2 2 4 2" xfId="22952"/>
    <cellStyle name="Normal 11 8 2 2 5" xfId="22953"/>
    <cellStyle name="Normal 11 8 2 2 5 2" xfId="22954"/>
    <cellStyle name="Normal 11 8 2 2 6" xfId="22955"/>
    <cellStyle name="Normal 11 8 2 2 6 2" xfId="22956"/>
    <cellStyle name="Normal 11 8 2 2 7" xfId="22957"/>
    <cellStyle name="Normal 11 8 2 2 8" xfId="22958"/>
    <cellStyle name="Normal 11 8 2 2 9" xfId="22959"/>
    <cellStyle name="Normal 11 8 2 20" xfId="22960"/>
    <cellStyle name="Normal 11 8 2 3" xfId="22961"/>
    <cellStyle name="Normal 11 8 2 3 2" xfId="22962"/>
    <cellStyle name="Normal 11 8 2 3 2 2" xfId="22963"/>
    <cellStyle name="Normal 11 8 2 3 3" xfId="22964"/>
    <cellStyle name="Normal 11 8 2 3 4" xfId="22965"/>
    <cellStyle name="Normal 11 8 2 3 5" xfId="22966"/>
    <cellStyle name="Normal 11 8 2 3 6" xfId="22967"/>
    <cellStyle name="Normal 11 8 2 3 7" xfId="22968"/>
    <cellStyle name="Normal 11 8 2 4" xfId="22969"/>
    <cellStyle name="Normal 11 8 2 4 2" xfId="22970"/>
    <cellStyle name="Normal 11 8 2 4 3" xfId="22971"/>
    <cellStyle name="Normal 11 8 2 4 4" xfId="22972"/>
    <cellStyle name="Normal 11 8 2 5" xfId="22973"/>
    <cellStyle name="Normal 11 8 2 5 2" xfId="22974"/>
    <cellStyle name="Normal 11 8 2 5 3" xfId="22975"/>
    <cellStyle name="Normal 11 8 2 5 4" xfId="22976"/>
    <cellStyle name="Normal 11 8 2 6" xfId="22977"/>
    <cellStyle name="Normal 11 8 2 6 2" xfId="22978"/>
    <cellStyle name="Normal 11 8 2 6 3" xfId="22979"/>
    <cellStyle name="Normal 11 8 2 7" xfId="22980"/>
    <cellStyle name="Normal 11 8 2 7 2" xfId="22981"/>
    <cellStyle name="Normal 11 8 2 7 3" xfId="22982"/>
    <cellStyle name="Normal 11 8 2 8" xfId="22983"/>
    <cellStyle name="Normal 11 8 2 8 2" xfId="22984"/>
    <cellStyle name="Normal 11 8 2 9" xfId="22985"/>
    <cellStyle name="Normal 11 8 2 9 2" xfId="22986"/>
    <cellStyle name="Normal 11 8 20" xfId="22987"/>
    <cellStyle name="Normal 11 8 21" xfId="22988"/>
    <cellStyle name="Normal 11 8 22" xfId="22989"/>
    <cellStyle name="Normal 11 8 23" xfId="22990"/>
    <cellStyle name="Normal 11 8 24" xfId="22991"/>
    <cellStyle name="Normal 11 8 25" xfId="22992"/>
    <cellStyle name="Normal 11 8 26" xfId="22993"/>
    <cellStyle name="Normal 11 8 27" xfId="22994"/>
    <cellStyle name="Normal 11 8 3" xfId="1692"/>
    <cellStyle name="Normal 11 8 3 10" xfId="22995"/>
    <cellStyle name="Normal 11 8 3 11" xfId="22996"/>
    <cellStyle name="Normal 11 8 3 12" xfId="22997"/>
    <cellStyle name="Normal 11 8 3 13" xfId="22998"/>
    <cellStyle name="Normal 11 8 3 14" xfId="22999"/>
    <cellStyle name="Normal 11 8 3 15" xfId="23000"/>
    <cellStyle name="Normal 11 8 3 16" xfId="23001"/>
    <cellStyle name="Normal 11 8 3 17" xfId="23002"/>
    <cellStyle name="Normal 11 8 3 18" xfId="23003"/>
    <cellStyle name="Normal 11 8 3 19" xfId="23004"/>
    <cellStyle name="Normal 11 8 3 2" xfId="23005"/>
    <cellStyle name="Normal 11 8 3 2 10" xfId="23006"/>
    <cellStyle name="Normal 11 8 3 2 11" xfId="23007"/>
    <cellStyle name="Normal 11 8 3 2 12" xfId="23008"/>
    <cellStyle name="Normal 11 8 3 2 13" xfId="23009"/>
    <cellStyle name="Normal 11 8 3 2 14" xfId="23010"/>
    <cellStyle name="Normal 11 8 3 2 15" xfId="23011"/>
    <cellStyle name="Normal 11 8 3 2 2" xfId="23012"/>
    <cellStyle name="Normal 11 8 3 2 2 2" xfId="23013"/>
    <cellStyle name="Normal 11 8 3 2 2 2 2" xfId="23014"/>
    <cellStyle name="Normal 11 8 3 2 2 3" xfId="23015"/>
    <cellStyle name="Normal 11 8 3 2 2 4" xfId="23016"/>
    <cellStyle name="Normal 11 8 3 2 2 5" xfId="23017"/>
    <cellStyle name="Normal 11 8 3 2 3" xfId="23018"/>
    <cellStyle name="Normal 11 8 3 2 3 2" xfId="23019"/>
    <cellStyle name="Normal 11 8 3 2 4" xfId="23020"/>
    <cellStyle name="Normal 11 8 3 2 4 2" xfId="23021"/>
    <cellStyle name="Normal 11 8 3 2 5" xfId="23022"/>
    <cellStyle name="Normal 11 8 3 2 5 2" xfId="23023"/>
    <cellStyle name="Normal 11 8 3 2 6" xfId="23024"/>
    <cellStyle name="Normal 11 8 3 2 6 2" xfId="23025"/>
    <cellStyle name="Normal 11 8 3 2 7" xfId="23026"/>
    <cellStyle name="Normal 11 8 3 2 8" xfId="23027"/>
    <cellStyle name="Normal 11 8 3 2 9" xfId="23028"/>
    <cellStyle name="Normal 11 8 3 20" xfId="23029"/>
    <cellStyle name="Normal 11 8 3 3" xfId="23030"/>
    <cellStyle name="Normal 11 8 3 3 2" xfId="23031"/>
    <cellStyle name="Normal 11 8 3 3 2 2" xfId="23032"/>
    <cellStyle name="Normal 11 8 3 3 3" xfId="23033"/>
    <cellStyle name="Normal 11 8 3 3 4" xfId="23034"/>
    <cellStyle name="Normal 11 8 3 3 5" xfId="23035"/>
    <cellStyle name="Normal 11 8 3 3 6" xfId="23036"/>
    <cellStyle name="Normal 11 8 3 3 7" xfId="23037"/>
    <cellStyle name="Normal 11 8 3 4" xfId="23038"/>
    <cellStyle name="Normal 11 8 3 4 2" xfId="23039"/>
    <cellStyle name="Normal 11 8 3 4 3" xfId="23040"/>
    <cellStyle name="Normal 11 8 3 5" xfId="23041"/>
    <cellStyle name="Normal 11 8 3 5 2" xfId="23042"/>
    <cellStyle name="Normal 11 8 3 5 3" xfId="23043"/>
    <cellStyle name="Normal 11 8 3 6" xfId="23044"/>
    <cellStyle name="Normal 11 8 3 6 2" xfId="23045"/>
    <cellStyle name="Normal 11 8 3 6 3" xfId="23046"/>
    <cellStyle name="Normal 11 8 3 7" xfId="23047"/>
    <cellStyle name="Normal 11 8 3 7 2" xfId="23048"/>
    <cellStyle name="Normal 11 8 3 7 3" xfId="23049"/>
    <cellStyle name="Normal 11 8 3 8" xfId="23050"/>
    <cellStyle name="Normal 11 8 3 9" xfId="23051"/>
    <cellStyle name="Normal 11 8 4" xfId="1693"/>
    <cellStyle name="Normal 11 8 4 10" xfId="23052"/>
    <cellStyle name="Normal 11 8 4 11" xfId="23053"/>
    <cellStyle name="Normal 11 8 4 12" xfId="23054"/>
    <cellStyle name="Normal 11 8 4 13" xfId="23055"/>
    <cellStyle name="Normal 11 8 4 14" xfId="23056"/>
    <cellStyle name="Normal 11 8 4 15" xfId="23057"/>
    <cellStyle name="Normal 11 8 4 16" xfId="23058"/>
    <cellStyle name="Normal 11 8 4 17" xfId="23059"/>
    <cellStyle name="Normal 11 8 4 18" xfId="23060"/>
    <cellStyle name="Normal 11 8 4 19" xfId="23061"/>
    <cellStyle name="Normal 11 8 4 2" xfId="23062"/>
    <cellStyle name="Normal 11 8 4 2 10" xfId="23063"/>
    <cellStyle name="Normal 11 8 4 2 11" xfId="23064"/>
    <cellStyle name="Normal 11 8 4 2 12" xfId="23065"/>
    <cellStyle name="Normal 11 8 4 2 13" xfId="23066"/>
    <cellStyle name="Normal 11 8 4 2 2" xfId="23067"/>
    <cellStyle name="Normal 11 8 4 2 2 2" xfId="23068"/>
    <cellStyle name="Normal 11 8 4 2 2 2 2" xfId="23069"/>
    <cellStyle name="Normal 11 8 4 2 2 3" xfId="23070"/>
    <cellStyle name="Normal 11 8 4 2 2 4" xfId="23071"/>
    <cellStyle name="Normal 11 8 4 2 2 5" xfId="23072"/>
    <cellStyle name="Normal 11 8 4 2 3" xfId="23073"/>
    <cellStyle name="Normal 11 8 4 2 3 2" xfId="23074"/>
    <cellStyle name="Normal 11 8 4 2 4" xfId="23075"/>
    <cellStyle name="Normal 11 8 4 2 4 2" xfId="23076"/>
    <cellStyle name="Normal 11 8 4 2 5" xfId="23077"/>
    <cellStyle name="Normal 11 8 4 2 5 2" xfId="23078"/>
    <cellStyle name="Normal 11 8 4 2 6" xfId="23079"/>
    <cellStyle name="Normal 11 8 4 2 6 2" xfId="23080"/>
    <cellStyle name="Normal 11 8 4 2 7" xfId="23081"/>
    <cellStyle name="Normal 11 8 4 2 8" xfId="23082"/>
    <cellStyle name="Normal 11 8 4 2 9" xfId="23083"/>
    <cellStyle name="Normal 11 8 4 20" xfId="23084"/>
    <cellStyle name="Normal 11 8 4 3" xfId="23085"/>
    <cellStyle name="Normal 11 8 4 3 2" xfId="23086"/>
    <cellStyle name="Normal 11 8 4 3 2 2" xfId="23087"/>
    <cellStyle name="Normal 11 8 4 3 3" xfId="23088"/>
    <cellStyle name="Normal 11 8 4 3 4" xfId="23089"/>
    <cellStyle name="Normal 11 8 4 3 5" xfId="23090"/>
    <cellStyle name="Normal 11 8 4 4" xfId="23091"/>
    <cellStyle name="Normal 11 8 4 4 2" xfId="23092"/>
    <cellStyle name="Normal 11 8 4 5" xfId="23093"/>
    <cellStyle name="Normal 11 8 4 5 2" xfId="23094"/>
    <cellStyle name="Normal 11 8 4 6" xfId="23095"/>
    <cellStyle name="Normal 11 8 4 6 2" xfId="23096"/>
    <cellStyle name="Normal 11 8 4 7" xfId="23097"/>
    <cellStyle name="Normal 11 8 4 7 2" xfId="23098"/>
    <cellStyle name="Normal 11 8 4 8" xfId="23099"/>
    <cellStyle name="Normal 11 8 4 9" xfId="23100"/>
    <cellStyle name="Normal 11 8 5" xfId="1694"/>
    <cellStyle name="Normal 11 8 5 10" xfId="23101"/>
    <cellStyle name="Normal 11 8 5 11" xfId="23102"/>
    <cellStyle name="Normal 11 8 5 12" xfId="23103"/>
    <cellStyle name="Normal 11 8 5 13" xfId="23104"/>
    <cellStyle name="Normal 11 8 5 14" xfId="23105"/>
    <cellStyle name="Normal 11 8 5 15" xfId="23106"/>
    <cellStyle name="Normal 11 8 5 16" xfId="23107"/>
    <cellStyle name="Normal 11 8 5 17" xfId="23108"/>
    <cellStyle name="Normal 11 8 5 18" xfId="23109"/>
    <cellStyle name="Normal 11 8 5 19" xfId="23110"/>
    <cellStyle name="Normal 11 8 5 2" xfId="23111"/>
    <cellStyle name="Normal 11 8 5 2 10" xfId="23112"/>
    <cellStyle name="Normal 11 8 5 2 11" xfId="23113"/>
    <cellStyle name="Normal 11 8 5 2 12" xfId="23114"/>
    <cellStyle name="Normal 11 8 5 2 13" xfId="23115"/>
    <cellStyle name="Normal 11 8 5 2 2" xfId="23116"/>
    <cellStyle name="Normal 11 8 5 2 2 2" xfId="23117"/>
    <cellStyle name="Normal 11 8 5 2 2 2 2" xfId="23118"/>
    <cellStyle name="Normal 11 8 5 2 2 3" xfId="23119"/>
    <cellStyle name="Normal 11 8 5 2 2 4" xfId="23120"/>
    <cellStyle name="Normal 11 8 5 2 2 5" xfId="23121"/>
    <cellStyle name="Normal 11 8 5 2 3" xfId="23122"/>
    <cellStyle name="Normal 11 8 5 2 3 2" xfId="23123"/>
    <cellStyle name="Normal 11 8 5 2 4" xfId="23124"/>
    <cellStyle name="Normal 11 8 5 2 4 2" xfId="23125"/>
    <cellStyle name="Normal 11 8 5 2 5" xfId="23126"/>
    <cellStyle name="Normal 11 8 5 2 5 2" xfId="23127"/>
    <cellStyle name="Normal 11 8 5 2 6" xfId="23128"/>
    <cellStyle name="Normal 11 8 5 2 6 2" xfId="23129"/>
    <cellStyle name="Normal 11 8 5 2 7" xfId="23130"/>
    <cellStyle name="Normal 11 8 5 2 8" xfId="23131"/>
    <cellStyle name="Normal 11 8 5 2 9" xfId="23132"/>
    <cellStyle name="Normal 11 8 5 3" xfId="23133"/>
    <cellStyle name="Normal 11 8 5 3 2" xfId="23134"/>
    <cellStyle name="Normal 11 8 5 3 2 2" xfId="23135"/>
    <cellStyle name="Normal 11 8 5 3 3" xfId="23136"/>
    <cellStyle name="Normal 11 8 5 3 4" xfId="23137"/>
    <cellStyle name="Normal 11 8 5 3 5" xfId="23138"/>
    <cellStyle name="Normal 11 8 5 4" xfId="23139"/>
    <cellStyle name="Normal 11 8 5 4 2" xfId="23140"/>
    <cellStyle name="Normal 11 8 5 5" xfId="23141"/>
    <cellStyle name="Normal 11 8 5 5 2" xfId="23142"/>
    <cellStyle name="Normal 11 8 5 6" xfId="23143"/>
    <cellStyle name="Normal 11 8 5 6 2" xfId="23144"/>
    <cellStyle name="Normal 11 8 5 7" xfId="23145"/>
    <cellStyle name="Normal 11 8 5 7 2" xfId="23146"/>
    <cellStyle name="Normal 11 8 5 8" xfId="23147"/>
    <cellStyle name="Normal 11 8 5 9" xfId="23148"/>
    <cellStyle name="Normal 11 8 6" xfId="1695"/>
    <cellStyle name="Normal 11 8 6 10" xfId="23149"/>
    <cellStyle name="Normal 11 8 6 11" xfId="23150"/>
    <cellStyle name="Normal 11 8 6 12" xfId="23151"/>
    <cellStyle name="Normal 11 8 6 13" xfId="23152"/>
    <cellStyle name="Normal 11 8 6 14" xfId="23153"/>
    <cellStyle name="Normal 11 8 6 15" xfId="23154"/>
    <cellStyle name="Normal 11 8 6 16" xfId="23155"/>
    <cellStyle name="Normal 11 8 6 17" xfId="23156"/>
    <cellStyle name="Normal 11 8 6 18" xfId="23157"/>
    <cellStyle name="Normal 11 8 6 19" xfId="23158"/>
    <cellStyle name="Normal 11 8 6 2" xfId="23159"/>
    <cellStyle name="Normal 11 8 6 2 10" xfId="23160"/>
    <cellStyle name="Normal 11 8 6 2 11" xfId="23161"/>
    <cellStyle name="Normal 11 8 6 2 12" xfId="23162"/>
    <cellStyle name="Normal 11 8 6 2 13" xfId="23163"/>
    <cellStyle name="Normal 11 8 6 2 2" xfId="23164"/>
    <cellStyle name="Normal 11 8 6 2 2 2" xfId="23165"/>
    <cellStyle name="Normal 11 8 6 2 2 2 2" xfId="23166"/>
    <cellStyle name="Normal 11 8 6 2 2 3" xfId="23167"/>
    <cellStyle name="Normal 11 8 6 2 2 4" xfId="23168"/>
    <cellStyle name="Normal 11 8 6 2 2 5" xfId="23169"/>
    <cellStyle name="Normal 11 8 6 2 3" xfId="23170"/>
    <cellStyle name="Normal 11 8 6 2 3 2" xfId="23171"/>
    <cellStyle name="Normal 11 8 6 2 4" xfId="23172"/>
    <cellStyle name="Normal 11 8 6 2 4 2" xfId="23173"/>
    <cellStyle name="Normal 11 8 6 2 5" xfId="23174"/>
    <cellStyle name="Normal 11 8 6 2 5 2" xfId="23175"/>
    <cellStyle name="Normal 11 8 6 2 6" xfId="23176"/>
    <cellStyle name="Normal 11 8 6 2 6 2" xfId="23177"/>
    <cellStyle name="Normal 11 8 6 2 7" xfId="23178"/>
    <cellStyle name="Normal 11 8 6 2 8" xfId="23179"/>
    <cellStyle name="Normal 11 8 6 2 9" xfId="23180"/>
    <cellStyle name="Normal 11 8 6 3" xfId="23181"/>
    <cellStyle name="Normal 11 8 6 3 2" xfId="23182"/>
    <cellStyle name="Normal 11 8 6 3 2 2" xfId="23183"/>
    <cellStyle name="Normal 11 8 6 3 3" xfId="23184"/>
    <cellStyle name="Normal 11 8 6 3 4" xfId="23185"/>
    <cellStyle name="Normal 11 8 6 3 5" xfId="23186"/>
    <cellStyle name="Normal 11 8 6 4" xfId="23187"/>
    <cellStyle name="Normal 11 8 6 4 2" xfId="23188"/>
    <cellStyle name="Normal 11 8 6 5" xfId="23189"/>
    <cellStyle name="Normal 11 8 6 5 2" xfId="23190"/>
    <cellStyle name="Normal 11 8 6 6" xfId="23191"/>
    <cellStyle name="Normal 11 8 6 6 2" xfId="23192"/>
    <cellStyle name="Normal 11 8 6 7" xfId="23193"/>
    <cellStyle name="Normal 11 8 6 7 2" xfId="23194"/>
    <cellStyle name="Normal 11 8 6 8" xfId="23195"/>
    <cellStyle name="Normal 11 8 6 9" xfId="23196"/>
    <cellStyle name="Normal 11 8 7" xfId="1696"/>
    <cellStyle name="Normal 11 8 7 10" xfId="23197"/>
    <cellStyle name="Normal 11 8 7 11" xfId="23198"/>
    <cellStyle name="Normal 11 8 7 12" xfId="23199"/>
    <cellStyle name="Normal 11 8 7 13" xfId="23200"/>
    <cellStyle name="Normal 11 8 7 14" xfId="23201"/>
    <cellStyle name="Normal 11 8 7 15" xfId="23202"/>
    <cellStyle name="Normal 11 8 7 16" xfId="23203"/>
    <cellStyle name="Normal 11 8 7 17" xfId="23204"/>
    <cellStyle name="Normal 11 8 7 18" xfId="23205"/>
    <cellStyle name="Normal 11 8 7 2" xfId="23206"/>
    <cellStyle name="Normal 11 8 7 2 10" xfId="23207"/>
    <cellStyle name="Normal 11 8 7 2 11" xfId="23208"/>
    <cellStyle name="Normal 11 8 7 2 12" xfId="23209"/>
    <cellStyle name="Normal 11 8 7 2 13" xfId="23210"/>
    <cellStyle name="Normal 11 8 7 2 2" xfId="23211"/>
    <cellStyle name="Normal 11 8 7 2 2 2" xfId="23212"/>
    <cellStyle name="Normal 11 8 7 2 2 2 2" xfId="23213"/>
    <cellStyle name="Normal 11 8 7 2 2 3" xfId="23214"/>
    <cellStyle name="Normal 11 8 7 2 2 4" xfId="23215"/>
    <cellStyle name="Normal 11 8 7 2 2 5" xfId="23216"/>
    <cellStyle name="Normal 11 8 7 2 3" xfId="23217"/>
    <cellStyle name="Normal 11 8 7 2 3 2" xfId="23218"/>
    <cellStyle name="Normal 11 8 7 2 4" xfId="23219"/>
    <cellStyle name="Normal 11 8 7 2 4 2" xfId="23220"/>
    <cellStyle name="Normal 11 8 7 2 5" xfId="23221"/>
    <cellStyle name="Normal 11 8 7 2 5 2" xfId="23222"/>
    <cellStyle name="Normal 11 8 7 2 6" xfId="23223"/>
    <cellStyle name="Normal 11 8 7 2 6 2" xfId="23224"/>
    <cellStyle name="Normal 11 8 7 2 7" xfId="23225"/>
    <cellStyle name="Normal 11 8 7 2 8" xfId="23226"/>
    <cellStyle name="Normal 11 8 7 2 9" xfId="23227"/>
    <cellStyle name="Normal 11 8 7 3" xfId="23228"/>
    <cellStyle name="Normal 11 8 7 3 2" xfId="23229"/>
    <cellStyle name="Normal 11 8 7 3 2 2" xfId="23230"/>
    <cellStyle name="Normal 11 8 7 3 3" xfId="23231"/>
    <cellStyle name="Normal 11 8 7 3 4" xfId="23232"/>
    <cellStyle name="Normal 11 8 7 3 5" xfId="23233"/>
    <cellStyle name="Normal 11 8 7 4" xfId="23234"/>
    <cellStyle name="Normal 11 8 7 4 2" xfId="23235"/>
    <cellStyle name="Normal 11 8 7 5" xfId="23236"/>
    <cellStyle name="Normal 11 8 7 5 2" xfId="23237"/>
    <cellStyle name="Normal 11 8 7 6" xfId="23238"/>
    <cellStyle name="Normal 11 8 7 6 2" xfId="23239"/>
    <cellStyle name="Normal 11 8 7 7" xfId="23240"/>
    <cellStyle name="Normal 11 8 7 7 2" xfId="23241"/>
    <cellStyle name="Normal 11 8 7 8" xfId="23242"/>
    <cellStyle name="Normal 11 8 7 9" xfId="23243"/>
    <cellStyle name="Normal 11 8 8" xfId="1697"/>
    <cellStyle name="Normal 11 8 8 10" xfId="23244"/>
    <cellStyle name="Normal 11 8 8 11" xfId="23245"/>
    <cellStyle name="Normal 11 8 8 12" xfId="23246"/>
    <cellStyle name="Normal 11 8 8 13" xfId="23247"/>
    <cellStyle name="Normal 11 8 8 14" xfId="23248"/>
    <cellStyle name="Normal 11 8 8 15" xfId="23249"/>
    <cellStyle name="Normal 11 8 8 16" xfId="23250"/>
    <cellStyle name="Normal 11 8 8 2" xfId="23251"/>
    <cellStyle name="Normal 11 8 8 2 2" xfId="23252"/>
    <cellStyle name="Normal 11 8 8 2 2 2" xfId="23253"/>
    <cellStyle name="Normal 11 8 8 2 3" xfId="23254"/>
    <cellStyle name="Normal 11 8 8 2 3 2" xfId="23255"/>
    <cellStyle name="Normal 11 8 8 2 4" xfId="23256"/>
    <cellStyle name="Normal 11 8 8 2 4 2" xfId="23257"/>
    <cellStyle name="Normal 11 8 8 2 5" xfId="23258"/>
    <cellStyle name="Normal 11 8 8 2 5 2" xfId="23259"/>
    <cellStyle name="Normal 11 8 8 2 6" xfId="23260"/>
    <cellStyle name="Normal 11 8 8 2 7" xfId="23261"/>
    <cellStyle name="Normal 11 8 8 2 8" xfId="23262"/>
    <cellStyle name="Normal 11 8 8 2 9" xfId="23263"/>
    <cellStyle name="Normal 11 8 8 3" xfId="23264"/>
    <cellStyle name="Normal 11 8 8 3 2" xfId="23265"/>
    <cellStyle name="Normal 11 8 8 3 2 2" xfId="23266"/>
    <cellStyle name="Normal 11 8 8 3 3" xfId="23267"/>
    <cellStyle name="Normal 11 8 8 3 4" xfId="23268"/>
    <cellStyle name="Normal 11 8 8 3 5" xfId="23269"/>
    <cellStyle name="Normal 11 8 8 4" xfId="23270"/>
    <cellStyle name="Normal 11 8 8 4 2" xfId="23271"/>
    <cellStyle name="Normal 11 8 8 5" xfId="23272"/>
    <cellStyle name="Normal 11 8 8 5 2" xfId="23273"/>
    <cellStyle name="Normal 11 8 8 6" xfId="23274"/>
    <cellStyle name="Normal 11 8 8 6 2" xfId="23275"/>
    <cellStyle name="Normal 11 8 8 7" xfId="23276"/>
    <cellStyle name="Normal 11 8 8 7 2" xfId="23277"/>
    <cellStyle name="Normal 11 8 8 8" xfId="23278"/>
    <cellStyle name="Normal 11 8 8 9" xfId="23279"/>
    <cellStyle name="Normal 11 8 9" xfId="1698"/>
    <cellStyle name="Normal 11 8 9 10" xfId="23280"/>
    <cellStyle name="Normal 11 8 9 11" xfId="23281"/>
    <cellStyle name="Normal 11 8 9 12" xfId="23282"/>
    <cellStyle name="Normal 11 8 9 13" xfId="23283"/>
    <cellStyle name="Normal 11 8 9 14" xfId="23284"/>
    <cellStyle name="Normal 11 8 9 15" xfId="23285"/>
    <cellStyle name="Normal 11 8 9 16" xfId="23286"/>
    <cellStyle name="Normal 11 8 9 2" xfId="23287"/>
    <cellStyle name="Normal 11 8 9 2 2" xfId="23288"/>
    <cellStyle name="Normal 11 8 9 2 2 2" xfId="23289"/>
    <cellStyle name="Normal 11 8 9 2 3" xfId="23290"/>
    <cellStyle name="Normal 11 8 9 2 3 2" xfId="23291"/>
    <cellStyle name="Normal 11 8 9 2 4" xfId="23292"/>
    <cellStyle name="Normal 11 8 9 2 4 2" xfId="23293"/>
    <cellStyle name="Normal 11 8 9 2 5" xfId="23294"/>
    <cellStyle name="Normal 11 8 9 2 5 2" xfId="23295"/>
    <cellStyle name="Normal 11 8 9 2 6" xfId="23296"/>
    <cellStyle name="Normal 11 8 9 2 7" xfId="23297"/>
    <cellStyle name="Normal 11 8 9 2 8" xfId="23298"/>
    <cellStyle name="Normal 11 8 9 2 9" xfId="23299"/>
    <cellStyle name="Normal 11 8 9 3" xfId="23300"/>
    <cellStyle name="Normal 11 8 9 3 2" xfId="23301"/>
    <cellStyle name="Normal 11 8 9 3 2 2" xfId="23302"/>
    <cellStyle name="Normal 11 8 9 3 3" xfId="23303"/>
    <cellStyle name="Normal 11 8 9 3 4" xfId="23304"/>
    <cellStyle name="Normal 11 8 9 3 5" xfId="23305"/>
    <cellStyle name="Normal 11 8 9 4" xfId="23306"/>
    <cellStyle name="Normal 11 8 9 4 2" xfId="23307"/>
    <cellStyle name="Normal 11 8 9 5" xfId="23308"/>
    <cellStyle name="Normal 11 8 9 5 2" xfId="23309"/>
    <cellStyle name="Normal 11 8 9 6" xfId="23310"/>
    <cellStyle name="Normal 11 8 9 6 2" xfId="23311"/>
    <cellStyle name="Normal 11 8 9 7" xfId="23312"/>
    <cellStyle name="Normal 11 8 9 7 2" xfId="23313"/>
    <cellStyle name="Normal 11 8 9 8" xfId="23314"/>
    <cellStyle name="Normal 11 8 9 9" xfId="23315"/>
    <cellStyle name="Normal 11 9" xfId="61"/>
    <cellStyle name="Normal 11 9 10" xfId="1700"/>
    <cellStyle name="Normal 11 9 10 10" xfId="23317"/>
    <cellStyle name="Normal 11 9 10 11" xfId="23318"/>
    <cellStyle name="Normal 11 9 10 12" xfId="23319"/>
    <cellStyle name="Normal 11 9 10 13" xfId="23320"/>
    <cellStyle name="Normal 11 9 10 14" xfId="23321"/>
    <cellStyle name="Normal 11 9 10 15" xfId="23322"/>
    <cellStyle name="Normal 11 9 10 2" xfId="23323"/>
    <cellStyle name="Normal 11 9 10 2 2" xfId="23324"/>
    <cellStyle name="Normal 11 9 10 2 2 2" xfId="23325"/>
    <cellStyle name="Normal 11 9 10 2 3" xfId="23326"/>
    <cellStyle name="Normal 11 9 10 2 3 2" xfId="23327"/>
    <cellStyle name="Normal 11 9 10 2 4" xfId="23328"/>
    <cellStyle name="Normal 11 9 10 2 4 2" xfId="23329"/>
    <cellStyle name="Normal 11 9 10 2 5" xfId="23330"/>
    <cellStyle name="Normal 11 9 10 2 5 2" xfId="23331"/>
    <cellStyle name="Normal 11 9 10 2 6" xfId="23332"/>
    <cellStyle name="Normal 11 9 10 2 7" xfId="23333"/>
    <cellStyle name="Normal 11 9 10 2 8" xfId="23334"/>
    <cellStyle name="Normal 11 9 10 2 9" xfId="23335"/>
    <cellStyle name="Normal 11 9 10 3" xfId="23336"/>
    <cellStyle name="Normal 11 9 10 3 2" xfId="23337"/>
    <cellStyle name="Normal 11 9 10 3 2 2" xfId="23338"/>
    <cellStyle name="Normal 11 9 10 3 3" xfId="23339"/>
    <cellStyle name="Normal 11 9 10 3 4" xfId="23340"/>
    <cellStyle name="Normal 11 9 10 3 5" xfId="23341"/>
    <cellStyle name="Normal 11 9 10 4" xfId="23342"/>
    <cellStyle name="Normal 11 9 10 4 2" xfId="23343"/>
    <cellStyle name="Normal 11 9 10 5" xfId="23344"/>
    <cellStyle name="Normal 11 9 10 5 2" xfId="23345"/>
    <cellStyle name="Normal 11 9 10 6" xfId="23346"/>
    <cellStyle name="Normal 11 9 10 6 2" xfId="23347"/>
    <cellStyle name="Normal 11 9 10 7" xfId="23348"/>
    <cellStyle name="Normal 11 9 10 7 2" xfId="23349"/>
    <cellStyle name="Normal 11 9 10 8" xfId="23350"/>
    <cellStyle name="Normal 11 9 10 9" xfId="23351"/>
    <cellStyle name="Normal 11 9 11" xfId="1701"/>
    <cellStyle name="Normal 11 9 11 2" xfId="23352"/>
    <cellStyle name="Normal 11 9 11 2 2" xfId="23353"/>
    <cellStyle name="Normal 11 9 11 3" xfId="23354"/>
    <cellStyle name="Normal 11 9 11 3 2" xfId="23355"/>
    <cellStyle name="Normal 11 9 11 4" xfId="23356"/>
    <cellStyle name="Normal 11 9 11 4 2" xfId="23357"/>
    <cellStyle name="Normal 11 9 11 5" xfId="23358"/>
    <cellStyle name="Normal 11 9 11 5 2" xfId="23359"/>
    <cellStyle name="Normal 11 9 11 6" xfId="23360"/>
    <cellStyle name="Normal 11 9 11 7" xfId="23361"/>
    <cellStyle name="Normal 11 9 11 8" xfId="23362"/>
    <cellStyle name="Normal 11 9 11 9" xfId="23363"/>
    <cellStyle name="Normal 11 9 12" xfId="1702"/>
    <cellStyle name="Normal 11 9 12 2" xfId="23364"/>
    <cellStyle name="Normal 11 9 12 2 2" xfId="23365"/>
    <cellStyle name="Normal 11 9 12 3" xfId="23366"/>
    <cellStyle name="Normal 11 9 12 4" xfId="23367"/>
    <cellStyle name="Normal 11 9 12 5" xfId="23368"/>
    <cellStyle name="Normal 11 9 13" xfId="1703"/>
    <cellStyle name="Normal 11 9 13 2" xfId="23369"/>
    <cellStyle name="Normal 11 9 14" xfId="1704"/>
    <cellStyle name="Normal 11 9 14 2" xfId="23370"/>
    <cellStyle name="Normal 11 9 15" xfId="11042"/>
    <cellStyle name="Normal 11 9 15 2" xfId="23371"/>
    <cellStyle name="Normal 11 9 16" xfId="23316"/>
    <cellStyle name="Normal 11 9 16 2" xfId="23372"/>
    <cellStyle name="Normal 11 9 17" xfId="23373"/>
    <cellStyle name="Normal 11 9 18" xfId="23374"/>
    <cellStyle name="Normal 11 9 19" xfId="23375"/>
    <cellStyle name="Normal 11 9 2" xfId="1699"/>
    <cellStyle name="Normal 11 9 2 10" xfId="23376"/>
    <cellStyle name="Normal 11 9 2 11" xfId="23377"/>
    <cellStyle name="Normal 11 9 2 12" xfId="23378"/>
    <cellStyle name="Normal 11 9 2 13" xfId="23379"/>
    <cellStyle name="Normal 11 9 2 14" xfId="23380"/>
    <cellStyle name="Normal 11 9 2 15" xfId="23381"/>
    <cellStyle name="Normal 11 9 2 16" xfId="23382"/>
    <cellStyle name="Normal 11 9 2 17" xfId="23383"/>
    <cellStyle name="Normal 11 9 2 18" xfId="23384"/>
    <cellStyle name="Normal 11 9 2 19" xfId="23385"/>
    <cellStyle name="Normal 11 9 2 2" xfId="23386"/>
    <cellStyle name="Normal 11 9 2 2 10" xfId="23387"/>
    <cellStyle name="Normal 11 9 2 2 11" xfId="23388"/>
    <cellStyle name="Normal 11 9 2 2 12" xfId="23389"/>
    <cellStyle name="Normal 11 9 2 2 13" xfId="23390"/>
    <cellStyle name="Normal 11 9 2 2 14" xfId="23391"/>
    <cellStyle name="Normal 11 9 2 2 15" xfId="23392"/>
    <cellStyle name="Normal 11 9 2 2 2" xfId="23393"/>
    <cellStyle name="Normal 11 9 2 2 2 2" xfId="23394"/>
    <cellStyle name="Normal 11 9 2 2 2 2 2" xfId="23395"/>
    <cellStyle name="Normal 11 9 2 2 2 3" xfId="23396"/>
    <cellStyle name="Normal 11 9 2 2 2 4" xfId="23397"/>
    <cellStyle name="Normal 11 9 2 2 2 5" xfId="23398"/>
    <cellStyle name="Normal 11 9 2 2 3" xfId="23399"/>
    <cellStyle name="Normal 11 9 2 2 3 2" xfId="23400"/>
    <cellStyle name="Normal 11 9 2 2 4" xfId="23401"/>
    <cellStyle name="Normal 11 9 2 2 4 2" xfId="23402"/>
    <cellStyle name="Normal 11 9 2 2 5" xfId="23403"/>
    <cellStyle name="Normal 11 9 2 2 5 2" xfId="23404"/>
    <cellStyle name="Normal 11 9 2 2 6" xfId="23405"/>
    <cellStyle name="Normal 11 9 2 2 6 2" xfId="23406"/>
    <cellStyle name="Normal 11 9 2 2 7" xfId="23407"/>
    <cellStyle name="Normal 11 9 2 2 8" xfId="23408"/>
    <cellStyle name="Normal 11 9 2 2 9" xfId="23409"/>
    <cellStyle name="Normal 11 9 2 20" xfId="23410"/>
    <cellStyle name="Normal 11 9 2 3" xfId="23411"/>
    <cellStyle name="Normal 11 9 2 3 2" xfId="23412"/>
    <cellStyle name="Normal 11 9 2 3 2 2" xfId="23413"/>
    <cellStyle name="Normal 11 9 2 3 3" xfId="23414"/>
    <cellStyle name="Normal 11 9 2 3 4" xfId="23415"/>
    <cellStyle name="Normal 11 9 2 3 5" xfId="23416"/>
    <cellStyle name="Normal 11 9 2 3 6" xfId="23417"/>
    <cellStyle name="Normal 11 9 2 3 7" xfId="23418"/>
    <cellStyle name="Normal 11 9 2 4" xfId="23419"/>
    <cellStyle name="Normal 11 9 2 4 2" xfId="23420"/>
    <cellStyle name="Normal 11 9 2 4 3" xfId="23421"/>
    <cellStyle name="Normal 11 9 2 4 4" xfId="23422"/>
    <cellStyle name="Normal 11 9 2 5" xfId="23423"/>
    <cellStyle name="Normal 11 9 2 5 2" xfId="23424"/>
    <cellStyle name="Normal 11 9 2 5 3" xfId="23425"/>
    <cellStyle name="Normal 11 9 2 5 4" xfId="23426"/>
    <cellStyle name="Normal 11 9 2 6" xfId="23427"/>
    <cellStyle name="Normal 11 9 2 6 2" xfId="23428"/>
    <cellStyle name="Normal 11 9 2 6 3" xfId="23429"/>
    <cellStyle name="Normal 11 9 2 7" xfId="23430"/>
    <cellStyle name="Normal 11 9 2 7 2" xfId="23431"/>
    <cellStyle name="Normal 11 9 2 7 3" xfId="23432"/>
    <cellStyle name="Normal 11 9 2 8" xfId="23433"/>
    <cellStyle name="Normal 11 9 2 8 2" xfId="23434"/>
    <cellStyle name="Normal 11 9 2 9" xfId="23435"/>
    <cellStyle name="Normal 11 9 2 9 2" xfId="23436"/>
    <cellStyle name="Normal 11 9 20" xfId="23437"/>
    <cellStyle name="Normal 11 9 21" xfId="23438"/>
    <cellStyle name="Normal 11 9 22" xfId="23439"/>
    <cellStyle name="Normal 11 9 23" xfId="23440"/>
    <cellStyle name="Normal 11 9 24" xfId="23441"/>
    <cellStyle name="Normal 11 9 25" xfId="23442"/>
    <cellStyle name="Normal 11 9 26" xfId="23443"/>
    <cellStyle name="Normal 11 9 27" xfId="23444"/>
    <cellStyle name="Normal 11 9 3" xfId="1706"/>
    <cellStyle name="Normal 11 9 3 10" xfId="23445"/>
    <cellStyle name="Normal 11 9 3 11" xfId="23446"/>
    <cellStyle name="Normal 11 9 3 12" xfId="23447"/>
    <cellStyle name="Normal 11 9 3 13" xfId="23448"/>
    <cellStyle name="Normal 11 9 3 14" xfId="23449"/>
    <cellStyle name="Normal 11 9 3 15" xfId="23450"/>
    <cellStyle name="Normal 11 9 3 16" xfId="23451"/>
    <cellStyle name="Normal 11 9 3 17" xfId="23452"/>
    <cellStyle name="Normal 11 9 3 18" xfId="23453"/>
    <cellStyle name="Normal 11 9 3 19" xfId="23454"/>
    <cellStyle name="Normal 11 9 3 2" xfId="23455"/>
    <cellStyle name="Normal 11 9 3 2 10" xfId="23456"/>
    <cellStyle name="Normal 11 9 3 2 11" xfId="23457"/>
    <cellStyle name="Normal 11 9 3 2 12" xfId="23458"/>
    <cellStyle name="Normal 11 9 3 2 13" xfId="23459"/>
    <cellStyle name="Normal 11 9 3 2 14" xfId="23460"/>
    <cellStyle name="Normal 11 9 3 2 15" xfId="23461"/>
    <cellStyle name="Normal 11 9 3 2 2" xfId="23462"/>
    <cellStyle name="Normal 11 9 3 2 2 2" xfId="23463"/>
    <cellStyle name="Normal 11 9 3 2 2 2 2" xfId="23464"/>
    <cellStyle name="Normal 11 9 3 2 2 3" xfId="23465"/>
    <cellStyle name="Normal 11 9 3 2 2 4" xfId="23466"/>
    <cellStyle name="Normal 11 9 3 2 2 5" xfId="23467"/>
    <cellStyle name="Normal 11 9 3 2 3" xfId="23468"/>
    <cellStyle name="Normal 11 9 3 2 3 2" xfId="23469"/>
    <cellStyle name="Normal 11 9 3 2 4" xfId="23470"/>
    <cellStyle name="Normal 11 9 3 2 4 2" xfId="23471"/>
    <cellStyle name="Normal 11 9 3 2 5" xfId="23472"/>
    <cellStyle name="Normal 11 9 3 2 5 2" xfId="23473"/>
    <cellStyle name="Normal 11 9 3 2 6" xfId="23474"/>
    <cellStyle name="Normal 11 9 3 2 6 2" xfId="23475"/>
    <cellStyle name="Normal 11 9 3 2 7" xfId="23476"/>
    <cellStyle name="Normal 11 9 3 2 8" xfId="23477"/>
    <cellStyle name="Normal 11 9 3 2 9" xfId="23478"/>
    <cellStyle name="Normal 11 9 3 20" xfId="23479"/>
    <cellStyle name="Normal 11 9 3 3" xfId="23480"/>
    <cellStyle name="Normal 11 9 3 3 2" xfId="23481"/>
    <cellStyle name="Normal 11 9 3 3 2 2" xfId="23482"/>
    <cellStyle name="Normal 11 9 3 3 3" xfId="23483"/>
    <cellStyle name="Normal 11 9 3 3 4" xfId="23484"/>
    <cellStyle name="Normal 11 9 3 3 5" xfId="23485"/>
    <cellStyle name="Normal 11 9 3 3 6" xfId="23486"/>
    <cellStyle name="Normal 11 9 3 3 7" xfId="23487"/>
    <cellStyle name="Normal 11 9 3 4" xfId="23488"/>
    <cellStyle name="Normal 11 9 3 4 2" xfId="23489"/>
    <cellStyle name="Normal 11 9 3 4 3" xfId="23490"/>
    <cellStyle name="Normal 11 9 3 5" xfId="23491"/>
    <cellStyle name="Normal 11 9 3 5 2" xfId="23492"/>
    <cellStyle name="Normal 11 9 3 5 3" xfId="23493"/>
    <cellStyle name="Normal 11 9 3 6" xfId="23494"/>
    <cellStyle name="Normal 11 9 3 6 2" xfId="23495"/>
    <cellStyle name="Normal 11 9 3 6 3" xfId="23496"/>
    <cellStyle name="Normal 11 9 3 7" xfId="23497"/>
    <cellStyle name="Normal 11 9 3 7 2" xfId="23498"/>
    <cellStyle name="Normal 11 9 3 7 3" xfId="23499"/>
    <cellStyle name="Normal 11 9 3 8" xfId="23500"/>
    <cellStyle name="Normal 11 9 3 9" xfId="23501"/>
    <cellStyle name="Normal 11 9 4" xfId="1707"/>
    <cellStyle name="Normal 11 9 4 10" xfId="23502"/>
    <cellStyle name="Normal 11 9 4 11" xfId="23503"/>
    <cellStyle name="Normal 11 9 4 12" xfId="23504"/>
    <cellStyle name="Normal 11 9 4 13" xfId="23505"/>
    <cellStyle name="Normal 11 9 4 14" xfId="23506"/>
    <cellStyle name="Normal 11 9 4 15" xfId="23507"/>
    <cellStyle name="Normal 11 9 4 16" xfId="23508"/>
    <cellStyle name="Normal 11 9 4 17" xfId="23509"/>
    <cellStyle name="Normal 11 9 4 18" xfId="23510"/>
    <cellStyle name="Normal 11 9 4 19" xfId="23511"/>
    <cellStyle name="Normal 11 9 4 2" xfId="23512"/>
    <cellStyle name="Normal 11 9 4 2 10" xfId="23513"/>
    <cellStyle name="Normal 11 9 4 2 11" xfId="23514"/>
    <cellStyle name="Normal 11 9 4 2 12" xfId="23515"/>
    <cellStyle name="Normal 11 9 4 2 13" xfId="23516"/>
    <cellStyle name="Normal 11 9 4 2 2" xfId="23517"/>
    <cellStyle name="Normal 11 9 4 2 2 2" xfId="23518"/>
    <cellStyle name="Normal 11 9 4 2 2 2 2" xfId="23519"/>
    <cellStyle name="Normal 11 9 4 2 2 3" xfId="23520"/>
    <cellStyle name="Normal 11 9 4 2 2 4" xfId="23521"/>
    <cellStyle name="Normal 11 9 4 2 2 5" xfId="23522"/>
    <cellStyle name="Normal 11 9 4 2 3" xfId="23523"/>
    <cellStyle name="Normal 11 9 4 2 3 2" xfId="23524"/>
    <cellStyle name="Normal 11 9 4 2 4" xfId="23525"/>
    <cellStyle name="Normal 11 9 4 2 4 2" xfId="23526"/>
    <cellStyle name="Normal 11 9 4 2 5" xfId="23527"/>
    <cellStyle name="Normal 11 9 4 2 5 2" xfId="23528"/>
    <cellStyle name="Normal 11 9 4 2 6" xfId="23529"/>
    <cellStyle name="Normal 11 9 4 2 6 2" xfId="23530"/>
    <cellStyle name="Normal 11 9 4 2 7" xfId="23531"/>
    <cellStyle name="Normal 11 9 4 2 8" xfId="23532"/>
    <cellStyle name="Normal 11 9 4 2 9" xfId="23533"/>
    <cellStyle name="Normal 11 9 4 20" xfId="23534"/>
    <cellStyle name="Normal 11 9 4 3" xfId="23535"/>
    <cellStyle name="Normal 11 9 4 3 2" xfId="23536"/>
    <cellStyle name="Normal 11 9 4 3 2 2" xfId="23537"/>
    <cellStyle name="Normal 11 9 4 3 3" xfId="23538"/>
    <cellStyle name="Normal 11 9 4 3 4" xfId="23539"/>
    <cellStyle name="Normal 11 9 4 3 5" xfId="23540"/>
    <cellStyle name="Normal 11 9 4 4" xfId="23541"/>
    <cellStyle name="Normal 11 9 4 4 2" xfId="23542"/>
    <cellStyle name="Normal 11 9 4 5" xfId="23543"/>
    <cellStyle name="Normal 11 9 4 5 2" xfId="23544"/>
    <cellStyle name="Normal 11 9 4 6" xfId="23545"/>
    <cellStyle name="Normal 11 9 4 6 2" xfId="23546"/>
    <cellStyle name="Normal 11 9 4 7" xfId="23547"/>
    <cellStyle name="Normal 11 9 4 7 2" xfId="23548"/>
    <cellStyle name="Normal 11 9 4 8" xfId="23549"/>
    <cellStyle name="Normal 11 9 4 9" xfId="23550"/>
    <cellStyle name="Normal 11 9 5" xfId="1708"/>
    <cellStyle name="Normal 11 9 5 10" xfId="23551"/>
    <cellStyle name="Normal 11 9 5 11" xfId="23552"/>
    <cellStyle name="Normal 11 9 5 12" xfId="23553"/>
    <cellStyle name="Normal 11 9 5 13" xfId="23554"/>
    <cellStyle name="Normal 11 9 5 14" xfId="23555"/>
    <cellStyle name="Normal 11 9 5 15" xfId="23556"/>
    <cellStyle name="Normal 11 9 5 16" xfId="23557"/>
    <cellStyle name="Normal 11 9 5 17" xfId="23558"/>
    <cellStyle name="Normal 11 9 5 18" xfId="23559"/>
    <cellStyle name="Normal 11 9 5 19" xfId="23560"/>
    <cellStyle name="Normal 11 9 5 2" xfId="23561"/>
    <cellStyle name="Normal 11 9 5 2 10" xfId="23562"/>
    <cellStyle name="Normal 11 9 5 2 11" xfId="23563"/>
    <cellStyle name="Normal 11 9 5 2 12" xfId="23564"/>
    <cellStyle name="Normal 11 9 5 2 13" xfId="23565"/>
    <cellStyle name="Normal 11 9 5 2 2" xfId="23566"/>
    <cellStyle name="Normal 11 9 5 2 2 2" xfId="23567"/>
    <cellStyle name="Normal 11 9 5 2 2 2 2" xfId="23568"/>
    <cellStyle name="Normal 11 9 5 2 2 3" xfId="23569"/>
    <cellStyle name="Normal 11 9 5 2 2 4" xfId="23570"/>
    <cellStyle name="Normal 11 9 5 2 2 5" xfId="23571"/>
    <cellStyle name="Normal 11 9 5 2 3" xfId="23572"/>
    <cellStyle name="Normal 11 9 5 2 3 2" xfId="23573"/>
    <cellStyle name="Normal 11 9 5 2 4" xfId="23574"/>
    <cellStyle name="Normal 11 9 5 2 4 2" xfId="23575"/>
    <cellStyle name="Normal 11 9 5 2 5" xfId="23576"/>
    <cellStyle name="Normal 11 9 5 2 5 2" xfId="23577"/>
    <cellStyle name="Normal 11 9 5 2 6" xfId="23578"/>
    <cellStyle name="Normal 11 9 5 2 6 2" xfId="23579"/>
    <cellStyle name="Normal 11 9 5 2 7" xfId="23580"/>
    <cellStyle name="Normal 11 9 5 2 8" xfId="23581"/>
    <cellStyle name="Normal 11 9 5 2 9" xfId="23582"/>
    <cellStyle name="Normal 11 9 5 3" xfId="23583"/>
    <cellStyle name="Normal 11 9 5 3 2" xfId="23584"/>
    <cellStyle name="Normal 11 9 5 3 2 2" xfId="23585"/>
    <cellStyle name="Normal 11 9 5 3 3" xfId="23586"/>
    <cellStyle name="Normal 11 9 5 3 4" xfId="23587"/>
    <cellStyle name="Normal 11 9 5 3 5" xfId="23588"/>
    <cellStyle name="Normal 11 9 5 4" xfId="23589"/>
    <cellStyle name="Normal 11 9 5 4 2" xfId="23590"/>
    <cellStyle name="Normal 11 9 5 5" xfId="23591"/>
    <cellStyle name="Normal 11 9 5 5 2" xfId="23592"/>
    <cellStyle name="Normal 11 9 5 6" xfId="23593"/>
    <cellStyle name="Normal 11 9 5 6 2" xfId="23594"/>
    <cellStyle name="Normal 11 9 5 7" xfId="23595"/>
    <cellStyle name="Normal 11 9 5 7 2" xfId="23596"/>
    <cellStyle name="Normal 11 9 5 8" xfId="23597"/>
    <cellStyle name="Normal 11 9 5 9" xfId="23598"/>
    <cellStyle name="Normal 11 9 6" xfId="1709"/>
    <cellStyle name="Normal 11 9 6 10" xfId="23599"/>
    <cellStyle name="Normal 11 9 6 11" xfId="23600"/>
    <cellStyle name="Normal 11 9 6 12" xfId="23601"/>
    <cellStyle name="Normal 11 9 6 13" xfId="23602"/>
    <cellStyle name="Normal 11 9 6 14" xfId="23603"/>
    <cellStyle name="Normal 11 9 6 15" xfId="23604"/>
    <cellStyle name="Normal 11 9 6 16" xfId="23605"/>
    <cellStyle name="Normal 11 9 6 17" xfId="23606"/>
    <cellStyle name="Normal 11 9 6 18" xfId="23607"/>
    <cellStyle name="Normal 11 9 6 19" xfId="23608"/>
    <cellStyle name="Normal 11 9 6 2" xfId="23609"/>
    <cellStyle name="Normal 11 9 6 2 10" xfId="23610"/>
    <cellStyle name="Normal 11 9 6 2 11" xfId="23611"/>
    <cellStyle name="Normal 11 9 6 2 12" xfId="23612"/>
    <cellStyle name="Normal 11 9 6 2 13" xfId="23613"/>
    <cellStyle name="Normal 11 9 6 2 2" xfId="23614"/>
    <cellStyle name="Normal 11 9 6 2 2 2" xfId="23615"/>
    <cellStyle name="Normal 11 9 6 2 2 2 2" xfId="23616"/>
    <cellStyle name="Normal 11 9 6 2 2 3" xfId="23617"/>
    <cellStyle name="Normal 11 9 6 2 2 4" xfId="23618"/>
    <cellStyle name="Normal 11 9 6 2 2 5" xfId="23619"/>
    <cellStyle name="Normal 11 9 6 2 3" xfId="23620"/>
    <cellStyle name="Normal 11 9 6 2 3 2" xfId="23621"/>
    <cellStyle name="Normal 11 9 6 2 4" xfId="23622"/>
    <cellStyle name="Normal 11 9 6 2 4 2" xfId="23623"/>
    <cellStyle name="Normal 11 9 6 2 5" xfId="23624"/>
    <cellStyle name="Normal 11 9 6 2 5 2" xfId="23625"/>
    <cellStyle name="Normal 11 9 6 2 6" xfId="23626"/>
    <cellStyle name="Normal 11 9 6 2 6 2" xfId="23627"/>
    <cellStyle name="Normal 11 9 6 2 7" xfId="23628"/>
    <cellStyle name="Normal 11 9 6 2 8" xfId="23629"/>
    <cellStyle name="Normal 11 9 6 2 9" xfId="23630"/>
    <cellStyle name="Normal 11 9 6 3" xfId="23631"/>
    <cellStyle name="Normal 11 9 6 3 2" xfId="23632"/>
    <cellStyle name="Normal 11 9 6 3 2 2" xfId="23633"/>
    <cellStyle name="Normal 11 9 6 3 3" xfId="23634"/>
    <cellStyle name="Normal 11 9 6 3 4" xfId="23635"/>
    <cellStyle name="Normal 11 9 6 3 5" xfId="23636"/>
    <cellStyle name="Normal 11 9 6 4" xfId="23637"/>
    <cellStyle name="Normal 11 9 6 4 2" xfId="23638"/>
    <cellStyle name="Normal 11 9 6 5" xfId="23639"/>
    <cellStyle name="Normal 11 9 6 5 2" xfId="23640"/>
    <cellStyle name="Normal 11 9 6 6" xfId="23641"/>
    <cellStyle name="Normal 11 9 6 6 2" xfId="23642"/>
    <cellStyle name="Normal 11 9 6 7" xfId="23643"/>
    <cellStyle name="Normal 11 9 6 7 2" xfId="23644"/>
    <cellStyle name="Normal 11 9 6 8" xfId="23645"/>
    <cellStyle name="Normal 11 9 6 9" xfId="23646"/>
    <cellStyle name="Normal 11 9 7" xfId="1710"/>
    <cellStyle name="Normal 11 9 7 10" xfId="23647"/>
    <cellStyle name="Normal 11 9 7 11" xfId="23648"/>
    <cellStyle name="Normal 11 9 7 12" xfId="23649"/>
    <cellStyle name="Normal 11 9 7 13" xfId="23650"/>
    <cellStyle name="Normal 11 9 7 14" xfId="23651"/>
    <cellStyle name="Normal 11 9 7 15" xfId="23652"/>
    <cellStyle name="Normal 11 9 7 16" xfId="23653"/>
    <cellStyle name="Normal 11 9 7 17" xfId="23654"/>
    <cellStyle name="Normal 11 9 7 18" xfId="23655"/>
    <cellStyle name="Normal 11 9 7 2" xfId="23656"/>
    <cellStyle name="Normal 11 9 7 2 10" xfId="23657"/>
    <cellStyle name="Normal 11 9 7 2 11" xfId="23658"/>
    <cellStyle name="Normal 11 9 7 2 12" xfId="23659"/>
    <cellStyle name="Normal 11 9 7 2 13" xfId="23660"/>
    <cellStyle name="Normal 11 9 7 2 2" xfId="23661"/>
    <cellStyle name="Normal 11 9 7 2 2 2" xfId="23662"/>
    <cellStyle name="Normal 11 9 7 2 2 2 2" xfId="23663"/>
    <cellStyle name="Normal 11 9 7 2 2 3" xfId="23664"/>
    <cellStyle name="Normal 11 9 7 2 2 4" xfId="23665"/>
    <cellStyle name="Normal 11 9 7 2 2 5" xfId="23666"/>
    <cellStyle name="Normal 11 9 7 2 3" xfId="23667"/>
    <cellStyle name="Normal 11 9 7 2 3 2" xfId="23668"/>
    <cellStyle name="Normal 11 9 7 2 4" xfId="23669"/>
    <cellStyle name="Normal 11 9 7 2 4 2" xfId="23670"/>
    <cellStyle name="Normal 11 9 7 2 5" xfId="23671"/>
    <cellStyle name="Normal 11 9 7 2 5 2" xfId="23672"/>
    <cellStyle name="Normal 11 9 7 2 6" xfId="23673"/>
    <cellStyle name="Normal 11 9 7 2 6 2" xfId="23674"/>
    <cellStyle name="Normal 11 9 7 2 7" xfId="23675"/>
    <cellStyle name="Normal 11 9 7 2 8" xfId="23676"/>
    <cellStyle name="Normal 11 9 7 2 9" xfId="23677"/>
    <cellStyle name="Normal 11 9 7 3" xfId="23678"/>
    <cellStyle name="Normal 11 9 7 3 2" xfId="23679"/>
    <cellStyle name="Normal 11 9 7 3 2 2" xfId="23680"/>
    <cellStyle name="Normal 11 9 7 3 3" xfId="23681"/>
    <cellStyle name="Normal 11 9 7 3 4" xfId="23682"/>
    <cellStyle name="Normal 11 9 7 3 5" xfId="23683"/>
    <cellStyle name="Normal 11 9 7 4" xfId="23684"/>
    <cellStyle name="Normal 11 9 7 4 2" xfId="23685"/>
    <cellStyle name="Normal 11 9 7 5" xfId="23686"/>
    <cellStyle name="Normal 11 9 7 5 2" xfId="23687"/>
    <cellStyle name="Normal 11 9 7 6" xfId="23688"/>
    <cellStyle name="Normal 11 9 7 6 2" xfId="23689"/>
    <cellStyle name="Normal 11 9 7 7" xfId="23690"/>
    <cellStyle name="Normal 11 9 7 7 2" xfId="23691"/>
    <cellStyle name="Normal 11 9 7 8" xfId="23692"/>
    <cellStyle name="Normal 11 9 7 9" xfId="23693"/>
    <cellStyle name="Normal 11 9 8" xfId="1711"/>
    <cellStyle name="Normal 11 9 8 10" xfId="23694"/>
    <cellStyle name="Normal 11 9 8 11" xfId="23695"/>
    <cellStyle name="Normal 11 9 8 12" xfId="23696"/>
    <cellStyle name="Normal 11 9 8 13" xfId="23697"/>
    <cellStyle name="Normal 11 9 8 14" xfId="23698"/>
    <cellStyle name="Normal 11 9 8 15" xfId="23699"/>
    <cellStyle name="Normal 11 9 8 16" xfId="23700"/>
    <cellStyle name="Normal 11 9 8 2" xfId="23701"/>
    <cellStyle name="Normal 11 9 8 2 2" xfId="23702"/>
    <cellStyle name="Normal 11 9 8 2 2 2" xfId="23703"/>
    <cellStyle name="Normal 11 9 8 2 3" xfId="23704"/>
    <cellStyle name="Normal 11 9 8 2 3 2" xfId="23705"/>
    <cellStyle name="Normal 11 9 8 2 4" xfId="23706"/>
    <cellStyle name="Normal 11 9 8 2 4 2" xfId="23707"/>
    <cellStyle name="Normal 11 9 8 2 5" xfId="23708"/>
    <cellStyle name="Normal 11 9 8 2 5 2" xfId="23709"/>
    <cellStyle name="Normal 11 9 8 2 6" xfId="23710"/>
    <cellStyle name="Normal 11 9 8 2 7" xfId="23711"/>
    <cellStyle name="Normal 11 9 8 2 8" xfId="23712"/>
    <cellStyle name="Normal 11 9 8 2 9" xfId="23713"/>
    <cellStyle name="Normal 11 9 8 3" xfId="23714"/>
    <cellStyle name="Normal 11 9 8 3 2" xfId="23715"/>
    <cellStyle name="Normal 11 9 8 3 2 2" xfId="23716"/>
    <cellStyle name="Normal 11 9 8 3 3" xfId="23717"/>
    <cellStyle name="Normal 11 9 8 3 4" xfId="23718"/>
    <cellStyle name="Normal 11 9 8 3 5" xfId="23719"/>
    <cellStyle name="Normal 11 9 8 4" xfId="23720"/>
    <cellStyle name="Normal 11 9 8 4 2" xfId="23721"/>
    <cellStyle name="Normal 11 9 8 5" xfId="23722"/>
    <cellStyle name="Normal 11 9 8 5 2" xfId="23723"/>
    <cellStyle name="Normal 11 9 8 6" xfId="23724"/>
    <cellStyle name="Normal 11 9 8 6 2" xfId="23725"/>
    <cellStyle name="Normal 11 9 8 7" xfId="23726"/>
    <cellStyle name="Normal 11 9 8 7 2" xfId="23727"/>
    <cellStyle name="Normal 11 9 8 8" xfId="23728"/>
    <cellStyle name="Normal 11 9 8 9" xfId="23729"/>
    <cellStyle name="Normal 11 9 9" xfId="1712"/>
    <cellStyle name="Normal 11 9 9 10" xfId="23730"/>
    <cellStyle name="Normal 11 9 9 11" xfId="23731"/>
    <cellStyle name="Normal 11 9 9 12" xfId="23732"/>
    <cellStyle name="Normal 11 9 9 13" xfId="23733"/>
    <cellStyle name="Normal 11 9 9 14" xfId="23734"/>
    <cellStyle name="Normal 11 9 9 15" xfId="23735"/>
    <cellStyle name="Normal 11 9 9 16" xfId="23736"/>
    <cellStyle name="Normal 11 9 9 2" xfId="23737"/>
    <cellStyle name="Normal 11 9 9 2 2" xfId="23738"/>
    <cellStyle name="Normal 11 9 9 2 2 2" xfId="23739"/>
    <cellStyle name="Normal 11 9 9 2 3" xfId="23740"/>
    <cellStyle name="Normal 11 9 9 2 3 2" xfId="23741"/>
    <cellStyle name="Normal 11 9 9 2 4" xfId="23742"/>
    <cellStyle name="Normal 11 9 9 2 4 2" xfId="23743"/>
    <cellStyle name="Normal 11 9 9 2 5" xfId="23744"/>
    <cellStyle name="Normal 11 9 9 2 5 2" xfId="23745"/>
    <cellStyle name="Normal 11 9 9 2 6" xfId="23746"/>
    <cellStyle name="Normal 11 9 9 2 7" xfId="23747"/>
    <cellStyle name="Normal 11 9 9 2 8" xfId="23748"/>
    <cellStyle name="Normal 11 9 9 2 9" xfId="23749"/>
    <cellStyle name="Normal 11 9 9 3" xfId="23750"/>
    <cellStyle name="Normal 11 9 9 3 2" xfId="23751"/>
    <cellStyle name="Normal 11 9 9 3 2 2" xfId="23752"/>
    <cellStyle name="Normal 11 9 9 3 3" xfId="23753"/>
    <cellStyle name="Normal 11 9 9 3 4" xfId="23754"/>
    <cellStyle name="Normal 11 9 9 3 5" xfId="23755"/>
    <cellStyle name="Normal 11 9 9 4" xfId="23756"/>
    <cellStyle name="Normal 11 9 9 4 2" xfId="23757"/>
    <cellStyle name="Normal 11 9 9 5" xfId="23758"/>
    <cellStyle name="Normal 11 9 9 5 2" xfId="23759"/>
    <cellStyle name="Normal 11 9 9 6" xfId="23760"/>
    <cellStyle name="Normal 11 9 9 6 2" xfId="23761"/>
    <cellStyle name="Normal 11 9 9 7" xfId="23762"/>
    <cellStyle name="Normal 11 9 9 7 2" xfId="23763"/>
    <cellStyle name="Normal 11 9 9 8" xfId="23764"/>
    <cellStyle name="Normal 11 9 9 9" xfId="23765"/>
    <cellStyle name="Normal 12" xfId="62"/>
    <cellStyle name="Normal 12 10" xfId="23767"/>
    <cellStyle name="Normal 12 10 10" xfId="23768"/>
    <cellStyle name="Normal 12 10 10 10" xfId="23769"/>
    <cellStyle name="Normal 12 10 10 11" xfId="23770"/>
    <cellStyle name="Normal 12 10 10 12" xfId="23771"/>
    <cellStyle name="Normal 12 10 10 13" xfId="23772"/>
    <cellStyle name="Normal 12 10 10 14" xfId="23773"/>
    <cellStyle name="Normal 12 10 10 2" xfId="23774"/>
    <cellStyle name="Normal 12 10 10 2 2" xfId="23775"/>
    <cellStyle name="Normal 12 10 10 2 2 2" xfId="23776"/>
    <cellStyle name="Normal 12 10 10 2 3" xfId="23777"/>
    <cellStyle name="Normal 12 10 10 2 3 2" xfId="23778"/>
    <cellStyle name="Normal 12 10 10 2 4" xfId="23779"/>
    <cellStyle name="Normal 12 10 10 2 4 2" xfId="23780"/>
    <cellStyle name="Normal 12 10 10 2 5" xfId="23781"/>
    <cellStyle name="Normal 12 10 10 2 5 2" xfId="23782"/>
    <cellStyle name="Normal 12 10 10 2 6" xfId="23783"/>
    <cellStyle name="Normal 12 10 10 2 7" xfId="23784"/>
    <cellStyle name="Normal 12 10 10 2 8" xfId="23785"/>
    <cellStyle name="Normal 12 10 10 2 9" xfId="23786"/>
    <cellStyle name="Normal 12 10 10 3" xfId="23787"/>
    <cellStyle name="Normal 12 10 10 3 2" xfId="23788"/>
    <cellStyle name="Normal 12 10 10 3 2 2" xfId="23789"/>
    <cellStyle name="Normal 12 10 10 3 3" xfId="23790"/>
    <cellStyle name="Normal 12 10 10 3 4" xfId="23791"/>
    <cellStyle name="Normal 12 10 10 3 5" xfId="23792"/>
    <cellStyle name="Normal 12 10 10 4" xfId="23793"/>
    <cellStyle name="Normal 12 10 10 4 2" xfId="23794"/>
    <cellStyle name="Normal 12 10 10 5" xfId="23795"/>
    <cellStyle name="Normal 12 10 10 5 2" xfId="23796"/>
    <cellStyle name="Normal 12 10 10 6" xfId="23797"/>
    <cellStyle name="Normal 12 10 10 6 2" xfId="23798"/>
    <cellStyle name="Normal 12 10 10 7" xfId="23799"/>
    <cellStyle name="Normal 12 10 10 7 2" xfId="23800"/>
    <cellStyle name="Normal 12 10 10 8" xfId="23801"/>
    <cellStyle name="Normal 12 10 10 9" xfId="23802"/>
    <cellStyle name="Normal 12 10 11" xfId="23803"/>
    <cellStyle name="Normal 12 10 11 2" xfId="23804"/>
    <cellStyle name="Normal 12 10 11 2 2" xfId="23805"/>
    <cellStyle name="Normal 12 10 11 3" xfId="23806"/>
    <cellStyle name="Normal 12 10 11 3 2" xfId="23807"/>
    <cellStyle name="Normal 12 10 11 4" xfId="23808"/>
    <cellStyle name="Normal 12 10 11 4 2" xfId="23809"/>
    <cellStyle name="Normal 12 10 11 5" xfId="23810"/>
    <cellStyle name="Normal 12 10 11 5 2" xfId="23811"/>
    <cellStyle name="Normal 12 10 11 6" xfId="23812"/>
    <cellStyle name="Normal 12 10 11 7" xfId="23813"/>
    <cellStyle name="Normal 12 10 11 8" xfId="23814"/>
    <cellStyle name="Normal 12 10 11 9" xfId="23815"/>
    <cellStyle name="Normal 12 10 12" xfId="23816"/>
    <cellStyle name="Normal 12 10 12 2" xfId="23817"/>
    <cellStyle name="Normal 12 10 12 2 2" xfId="23818"/>
    <cellStyle name="Normal 12 10 12 3" xfId="23819"/>
    <cellStyle name="Normal 12 10 12 4" xfId="23820"/>
    <cellStyle name="Normal 12 10 12 5" xfId="23821"/>
    <cellStyle name="Normal 12 10 13" xfId="23822"/>
    <cellStyle name="Normal 12 10 13 2" xfId="23823"/>
    <cellStyle name="Normal 12 10 14" xfId="23824"/>
    <cellStyle name="Normal 12 10 14 2" xfId="23825"/>
    <cellStyle name="Normal 12 10 15" xfId="23826"/>
    <cellStyle name="Normal 12 10 15 2" xfId="23827"/>
    <cellStyle name="Normal 12 10 16" xfId="23828"/>
    <cellStyle name="Normal 12 10 16 2" xfId="23829"/>
    <cellStyle name="Normal 12 10 17" xfId="23830"/>
    <cellStyle name="Normal 12 10 18" xfId="23831"/>
    <cellStyle name="Normal 12 10 19" xfId="23832"/>
    <cellStyle name="Normal 12 10 2" xfId="23833"/>
    <cellStyle name="Normal 12 10 2 10" xfId="23834"/>
    <cellStyle name="Normal 12 10 2 11" xfId="23835"/>
    <cellStyle name="Normal 12 10 2 12" xfId="23836"/>
    <cellStyle name="Normal 12 10 2 13" xfId="23837"/>
    <cellStyle name="Normal 12 10 2 14" xfId="23838"/>
    <cellStyle name="Normal 12 10 2 15" xfId="23839"/>
    <cellStyle name="Normal 12 10 2 16" xfId="23840"/>
    <cellStyle name="Normal 12 10 2 17" xfId="23841"/>
    <cellStyle name="Normal 12 10 2 18" xfId="23842"/>
    <cellStyle name="Normal 12 10 2 2" xfId="23843"/>
    <cellStyle name="Normal 12 10 2 2 10" xfId="23844"/>
    <cellStyle name="Normal 12 10 2 2 11" xfId="23845"/>
    <cellStyle name="Normal 12 10 2 2 12" xfId="23846"/>
    <cellStyle name="Normal 12 10 2 2 13" xfId="23847"/>
    <cellStyle name="Normal 12 10 2 2 2" xfId="23848"/>
    <cellStyle name="Normal 12 10 2 2 2 2" xfId="23849"/>
    <cellStyle name="Normal 12 10 2 2 2 2 2" xfId="23850"/>
    <cellStyle name="Normal 12 10 2 2 2 3" xfId="23851"/>
    <cellStyle name="Normal 12 10 2 2 2 4" xfId="23852"/>
    <cellStyle name="Normal 12 10 2 2 2 5" xfId="23853"/>
    <cellStyle name="Normal 12 10 2 2 3" xfId="23854"/>
    <cellStyle name="Normal 12 10 2 2 3 2" xfId="23855"/>
    <cellStyle name="Normal 12 10 2 2 4" xfId="23856"/>
    <cellStyle name="Normal 12 10 2 2 4 2" xfId="23857"/>
    <cellStyle name="Normal 12 10 2 2 5" xfId="23858"/>
    <cellStyle name="Normal 12 10 2 2 5 2" xfId="23859"/>
    <cellStyle name="Normal 12 10 2 2 6" xfId="23860"/>
    <cellStyle name="Normal 12 10 2 2 6 2" xfId="23861"/>
    <cellStyle name="Normal 12 10 2 2 7" xfId="23862"/>
    <cellStyle name="Normal 12 10 2 2 8" xfId="23863"/>
    <cellStyle name="Normal 12 10 2 2 9" xfId="23864"/>
    <cellStyle name="Normal 12 10 2 3" xfId="23865"/>
    <cellStyle name="Normal 12 10 2 3 2" xfId="23866"/>
    <cellStyle name="Normal 12 10 2 3 2 2" xfId="23867"/>
    <cellStyle name="Normal 12 10 2 3 3" xfId="23868"/>
    <cellStyle name="Normal 12 10 2 3 4" xfId="23869"/>
    <cellStyle name="Normal 12 10 2 3 5" xfId="23870"/>
    <cellStyle name="Normal 12 10 2 4" xfId="23871"/>
    <cellStyle name="Normal 12 10 2 4 2" xfId="23872"/>
    <cellStyle name="Normal 12 10 2 5" xfId="23873"/>
    <cellStyle name="Normal 12 10 2 5 2" xfId="23874"/>
    <cellStyle name="Normal 12 10 2 6" xfId="23875"/>
    <cellStyle name="Normal 12 10 2 6 2" xfId="23876"/>
    <cellStyle name="Normal 12 10 2 7" xfId="23877"/>
    <cellStyle name="Normal 12 10 2 7 2" xfId="23878"/>
    <cellStyle name="Normal 12 10 2 8" xfId="23879"/>
    <cellStyle name="Normal 12 10 2 9" xfId="23880"/>
    <cellStyle name="Normal 12 10 20" xfId="23881"/>
    <cellStyle name="Normal 12 10 21" xfId="23882"/>
    <cellStyle name="Normal 12 10 22" xfId="23883"/>
    <cellStyle name="Normal 12 10 23" xfId="23884"/>
    <cellStyle name="Normal 12 10 24" xfId="23885"/>
    <cellStyle name="Normal 12 10 25" xfId="23886"/>
    <cellStyle name="Normal 12 10 3" xfId="23887"/>
    <cellStyle name="Normal 12 10 3 10" xfId="23888"/>
    <cellStyle name="Normal 12 10 3 11" xfId="23889"/>
    <cellStyle name="Normal 12 10 3 12" xfId="23890"/>
    <cellStyle name="Normal 12 10 3 13" xfId="23891"/>
    <cellStyle name="Normal 12 10 3 14" xfId="23892"/>
    <cellStyle name="Normal 12 10 3 15" xfId="23893"/>
    <cellStyle name="Normal 12 10 3 16" xfId="23894"/>
    <cellStyle name="Normal 12 10 3 17" xfId="23895"/>
    <cellStyle name="Normal 12 10 3 18" xfId="23896"/>
    <cellStyle name="Normal 12 10 3 2" xfId="23897"/>
    <cellStyle name="Normal 12 10 3 2 10" xfId="23898"/>
    <cellStyle name="Normal 12 10 3 2 11" xfId="23899"/>
    <cellStyle name="Normal 12 10 3 2 12" xfId="23900"/>
    <cellStyle name="Normal 12 10 3 2 13" xfId="23901"/>
    <cellStyle name="Normal 12 10 3 2 2" xfId="23902"/>
    <cellStyle name="Normal 12 10 3 2 2 2" xfId="23903"/>
    <cellStyle name="Normal 12 10 3 2 2 2 2" xfId="23904"/>
    <cellStyle name="Normal 12 10 3 2 2 3" xfId="23905"/>
    <cellStyle name="Normal 12 10 3 2 2 4" xfId="23906"/>
    <cellStyle name="Normal 12 10 3 2 2 5" xfId="23907"/>
    <cellStyle name="Normal 12 10 3 2 3" xfId="23908"/>
    <cellStyle name="Normal 12 10 3 2 3 2" xfId="23909"/>
    <cellStyle name="Normal 12 10 3 2 4" xfId="23910"/>
    <cellStyle name="Normal 12 10 3 2 4 2" xfId="23911"/>
    <cellStyle name="Normal 12 10 3 2 5" xfId="23912"/>
    <cellStyle name="Normal 12 10 3 2 5 2" xfId="23913"/>
    <cellStyle name="Normal 12 10 3 2 6" xfId="23914"/>
    <cellStyle name="Normal 12 10 3 2 6 2" xfId="23915"/>
    <cellStyle name="Normal 12 10 3 2 7" xfId="23916"/>
    <cellStyle name="Normal 12 10 3 2 8" xfId="23917"/>
    <cellStyle name="Normal 12 10 3 2 9" xfId="23918"/>
    <cellStyle name="Normal 12 10 3 3" xfId="23919"/>
    <cellStyle name="Normal 12 10 3 3 2" xfId="23920"/>
    <cellStyle name="Normal 12 10 3 3 2 2" xfId="23921"/>
    <cellStyle name="Normal 12 10 3 3 3" xfId="23922"/>
    <cellStyle name="Normal 12 10 3 3 4" xfId="23923"/>
    <cellStyle name="Normal 12 10 3 3 5" xfId="23924"/>
    <cellStyle name="Normal 12 10 3 4" xfId="23925"/>
    <cellStyle name="Normal 12 10 3 4 2" xfId="23926"/>
    <cellStyle name="Normal 12 10 3 5" xfId="23927"/>
    <cellStyle name="Normal 12 10 3 5 2" xfId="23928"/>
    <cellStyle name="Normal 12 10 3 6" xfId="23929"/>
    <cellStyle name="Normal 12 10 3 6 2" xfId="23930"/>
    <cellStyle name="Normal 12 10 3 7" xfId="23931"/>
    <cellStyle name="Normal 12 10 3 7 2" xfId="23932"/>
    <cellStyle name="Normal 12 10 3 8" xfId="23933"/>
    <cellStyle name="Normal 12 10 3 9" xfId="23934"/>
    <cellStyle name="Normal 12 10 4" xfId="23935"/>
    <cellStyle name="Normal 12 10 4 10" xfId="23936"/>
    <cellStyle name="Normal 12 10 4 11" xfId="23937"/>
    <cellStyle name="Normal 12 10 4 12" xfId="23938"/>
    <cellStyle name="Normal 12 10 4 13" xfId="23939"/>
    <cellStyle name="Normal 12 10 4 14" xfId="23940"/>
    <cellStyle name="Normal 12 10 4 15" xfId="23941"/>
    <cellStyle name="Normal 12 10 4 16" xfId="23942"/>
    <cellStyle name="Normal 12 10 4 17" xfId="23943"/>
    <cellStyle name="Normal 12 10 4 18" xfId="23944"/>
    <cellStyle name="Normal 12 10 4 2" xfId="23945"/>
    <cellStyle name="Normal 12 10 4 2 10" xfId="23946"/>
    <cellStyle name="Normal 12 10 4 2 11" xfId="23947"/>
    <cellStyle name="Normal 12 10 4 2 12" xfId="23948"/>
    <cellStyle name="Normal 12 10 4 2 13" xfId="23949"/>
    <cellStyle name="Normal 12 10 4 2 2" xfId="23950"/>
    <cellStyle name="Normal 12 10 4 2 2 2" xfId="23951"/>
    <cellStyle name="Normal 12 10 4 2 2 2 2" xfId="23952"/>
    <cellStyle name="Normal 12 10 4 2 2 3" xfId="23953"/>
    <cellStyle name="Normal 12 10 4 2 2 4" xfId="23954"/>
    <cellStyle name="Normal 12 10 4 2 2 5" xfId="23955"/>
    <cellStyle name="Normal 12 10 4 2 3" xfId="23956"/>
    <cellStyle name="Normal 12 10 4 2 3 2" xfId="23957"/>
    <cellStyle name="Normal 12 10 4 2 4" xfId="23958"/>
    <cellStyle name="Normal 12 10 4 2 4 2" xfId="23959"/>
    <cellStyle name="Normal 12 10 4 2 5" xfId="23960"/>
    <cellStyle name="Normal 12 10 4 2 5 2" xfId="23961"/>
    <cellStyle name="Normal 12 10 4 2 6" xfId="23962"/>
    <cellStyle name="Normal 12 10 4 2 6 2" xfId="23963"/>
    <cellStyle name="Normal 12 10 4 2 7" xfId="23964"/>
    <cellStyle name="Normal 12 10 4 2 8" xfId="23965"/>
    <cellStyle name="Normal 12 10 4 2 9" xfId="23966"/>
    <cellStyle name="Normal 12 10 4 3" xfId="23967"/>
    <cellStyle name="Normal 12 10 4 3 2" xfId="23968"/>
    <cellStyle name="Normal 12 10 4 3 2 2" xfId="23969"/>
    <cellStyle name="Normal 12 10 4 3 3" xfId="23970"/>
    <cellStyle name="Normal 12 10 4 3 4" xfId="23971"/>
    <cellStyle name="Normal 12 10 4 3 5" xfId="23972"/>
    <cellStyle name="Normal 12 10 4 4" xfId="23973"/>
    <cellStyle name="Normal 12 10 4 4 2" xfId="23974"/>
    <cellStyle name="Normal 12 10 4 5" xfId="23975"/>
    <cellStyle name="Normal 12 10 4 5 2" xfId="23976"/>
    <cellStyle name="Normal 12 10 4 6" xfId="23977"/>
    <cellStyle name="Normal 12 10 4 6 2" xfId="23978"/>
    <cellStyle name="Normal 12 10 4 7" xfId="23979"/>
    <cellStyle name="Normal 12 10 4 7 2" xfId="23980"/>
    <cellStyle name="Normal 12 10 4 8" xfId="23981"/>
    <cellStyle name="Normal 12 10 4 9" xfId="23982"/>
    <cellStyle name="Normal 12 10 5" xfId="23983"/>
    <cellStyle name="Normal 12 10 5 10" xfId="23984"/>
    <cellStyle name="Normal 12 10 5 11" xfId="23985"/>
    <cellStyle name="Normal 12 10 5 12" xfId="23986"/>
    <cellStyle name="Normal 12 10 5 13" xfId="23987"/>
    <cellStyle name="Normal 12 10 5 14" xfId="23988"/>
    <cellStyle name="Normal 12 10 5 15" xfId="23989"/>
    <cellStyle name="Normal 12 10 5 16" xfId="23990"/>
    <cellStyle name="Normal 12 10 5 17" xfId="23991"/>
    <cellStyle name="Normal 12 10 5 2" xfId="23992"/>
    <cellStyle name="Normal 12 10 5 2 10" xfId="23993"/>
    <cellStyle name="Normal 12 10 5 2 11" xfId="23994"/>
    <cellStyle name="Normal 12 10 5 2 12" xfId="23995"/>
    <cellStyle name="Normal 12 10 5 2 13" xfId="23996"/>
    <cellStyle name="Normal 12 10 5 2 2" xfId="23997"/>
    <cellStyle name="Normal 12 10 5 2 2 2" xfId="23998"/>
    <cellStyle name="Normal 12 10 5 2 2 2 2" xfId="23999"/>
    <cellStyle name="Normal 12 10 5 2 2 3" xfId="24000"/>
    <cellStyle name="Normal 12 10 5 2 2 4" xfId="24001"/>
    <cellStyle name="Normal 12 10 5 2 2 5" xfId="24002"/>
    <cellStyle name="Normal 12 10 5 2 3" xfId="24003"/>
    <cellStyle name="Normal 12 10 5 2 3 2" xfId="24004"/>
    <cellStyle name="Normal 12 10 5 2 4" xfId="24005"/>
    <cellStyle name="Normal 12 10 5 2 4 2" xfId="24006"/>
    <cellStyle name="Normal 12 10 5 2 5" xfId="24007"/>
    <cellStyle name="Normal 12 10 5 2 5 2" xfId="24008"/>
    <cellStyle name="Normal 12 10 5 2 6" xfId="24009"/>
    <cellStyle name="Normal 12 10 5 2 6 2" xfId="24010"/>
    <cellStyle name="Normal 12 10 5 2 7" xfId="24011"/>
    <cellStyle name="Normal 12 10 5 2 8" xfId="24012"/>
    <cellStyle name="Normal 12 10 5 2 9" xfId="24013"/>
    <cellStyle name="Normal 12 10 5 3" xfId="24014"/>
    <cellStyle name="Normal 12 10 5 3 2" xfId="24015"/>
    <cellStyle name="Normal 12 10 5 3 2 2" xfId="24016"/>
    <cellStyle name="Normal 12 10 5 3 3" xfId="24017"/>
    <cellStyle name="Normal 12 10 5 3 4" xfId="24018"/>
    <cellStyle name="Normal 12 10 5 3 5" xfId="24019"/>
    <cellStyle name="Normal 12 10 5 4" xfId="24020"/>
    <cellStyle name="Normal 12 10 5 4 2" xfId="24021"/>
    <cellStyle name="Normal 12 10 5 5" xfId="24022"/>
    <cellStyle name="Normal 12 10 5 5 2" xfId="24023"/>
    <cellStyle name="Normal 12 10 5 6" xfId="24024"/>
    <cellStyle name="Normal 12 10 5 6 2" xfId="24025"/>
    <cellStyle name="Normal 12 10 5 7" xfId="24026"/>
    <cellStyle name="Normal 12 10 5 7 2" xfId="24027"/>
    <cellStyle name="Normal 12 10 5 8" xfId="24028"/>
    <cellStyle name="Normal 12 10 5 9" xfId="24029"/>
    <cellStyle name="Normal 12 10 6" xfId="24030"/>
    <cellStyle name="Normal 12 10 6 10" xfId="24031"/>
    <cellStyle name="Normal 12 10 6 11" xfId="24032"/>
    <cellStyle name="Normal 12 10 6 12" xfId="24033"/>
    <cellStyle name="Normal 12 10 6 13" xfId="24034"/>
    <cellStyle name="Normal 12 10 6 14" xfId="24035"/>
    <cellStyle name="Normal 12 10 6 15" xfId="24036"/>
    <cellStyle name="Normal 12 10 6 16" xfId="24037"/>
    <cellStyle name="Normal 12 10 6 17" xfId="24038"/>
    <cellStyle name="Normal 12 10 6 2" xfId="24039"/>
    <cellStyle name="Normal 12 10 6 2 10" xfId="24040"/>
    <cellStyle name="Normal 12 10 6 2 11" xfId="24041"/>
    <cellStyle name="Normal 12 10 6 2 12" xfId="24042"/>
    <cellStyle name="Normal 12 10 6 2 13" xfId="24043"/>
    <cellStyle name="Normal 12 10 6 2 2" xfId="24044"/>
    <cellStyle name="Normal 12 10 6 2 2 2" xfId="24045"/>
    <cellStyle name="Normal 12 10 6 2 2 2 2" xfId="24046"/>
    <cellStyle name="Normal 12 10 6 2 2 3" xfId="24047"/>
    <cellStyle name="Normal 12 10 6 2 2 4" xfId="24048"/>
    <cellStyle name="Normal 12 10 6 2 2 5" xfId="24049"/>
    <cellStyle name="Normal 12 10 6 2 3" xfId="24050"/>
    <cellStyle name="Normal 12 10 6 2 3 2" xfId="24051"/>
    <cellStyle name="Normal 12 10 6 2 4" xfId="24052"/>
    <cellStyle name="Normal 12 10 6 2 4 2" xfId="24053"/>
    <cellStyle name="Normal 12 10 6 2 5" xfId="24054"/>
    <cellStyle name="Normal 12 10 6 2 5 2" xfId="24055"/>
    <cellStyle name="Normal 12 10 6 2 6" xfId="24056"/>
    <cellStyle name="Normal 12 10 6 2 6 2" xfId="24057"/>
    <cellStyle name="Normal 12 10 6 2 7" xfId="24058"/>
    <cellStyle name="Normal 12 10 6 2 8" xfId="24059"/>
    <cellStyle name="Normal 12 10 6 2 9" xfId="24060"/>
    <cellStyle name="Normal 12 10 6 3" xfId="24061"/>
    <cellStyle name="Normal 12 10 6 3 2" xfId="24062"/>
    <cellStyle name="Normal 12 10 6 3 2 2" xfId="24063"/>
    <cellStyle name="Normal 12 10 6 3 3" xfId="24064"/>
    <cellStyle name="Normal 12 10 6 3 4" xfId="24065"/>
    <cellStyle name="Normal 12 10 6 3 5" xfId="24066"/>
    <cellStyle name="Normal 12 10 6 4" xfId="24067"/>
    <cellStyle name="Normal 12 10 6 4 2" xfId="24068"/>
    <cellStyle name="Normal 12 10 6 5" xfId="24069"/>
    <cellStyle name="Normal 12 10 6 5 2" xfId="24070"/>
    <cellStyle name="Normal 12 10 6 6" xfId="24071"/>
    <cellStyle name="Normal 12 10 6 6 2" xfId="24072"/>
    <cellStyle name="Normal 12 10 6 7" xfId="24073"/>
    <cellStyle name="Normal 12 10 6 7 2" xfId="24074"/>
    <cellStyle name="Normal 12 10 6 8" xfId="24075"/>
    <cellStyle name="Normal 12 10 6 9" xfId="24076"/>
    <cellStyle name="Normal 12 10 7" xfId="24077"/>
    <cellStyle name="Normal 12 10 7 10" xfId="24078"/>
    <cellStyle name="Normal 12 10 7 11" xfId="24079"/>
    <cellStyle name="Normal 12 10 7 12" xfId="24080"/>
    <cellStyle name="Normal 12 10 7 13" xfId="24081"/>
    <cellStyle name="Normal 12 10 7 14" xfId="24082"/>
    <cellStyle name="Normal 12 10 7 15" xfId="24083"/>
    <cellStyle name="Normal 12 10 7 16" xfId="24084"/>
    <cellStyle name="Normal 12 10 7 17" xfId="24085"/>
    <cellStyle name="Normal 12 10 7 2" xfId="24086"/>
    <cellStyle name="Normal 12 10 7 2 10" xfId="24087"/>
    <cellStyle name="Normal 12 10 7 2 11" xfId="24088"/>
    <cellStyle name="Normal 12 10 7 2 12" xfId="24089"/>
    <cellStyle name="Normal 12 10 7 2 13" xfId="24090"/>
    <cellStyle name="Normal 12 10 7 2 2" xfId="24091"/>
    <cellStyle name="Normal 12 10 7 2 2 2" xfId="24092"/>
    <cellStyle name="Normal 12 10 7 2 2 2 2" xfId="24093"/>
    <cellStyle name="Normal 12 10 7 2 2 3" xfId="24094"/>
    <cellStyle name="Normal 12 10 7 2 2 4" xfId="24095"/>
    <cellStyle name="Normal 12 10 7 2 2 5" xfId="24096"/>
    <cellStyle name="Normal 12 10 7 2 3" xfId="24097"/>
    <cellStyle name="Normal 12 10 7 2 3 2" xfId="24098"/>
    <cellStyle name="Normal 12 10 7 2 4" xfId="24099"/>
    <cellStyle name="Normal 12 10 7 2 4 2" xfId="24100"/>
    <cellStyle name="Normal 12 10 7 2 5" xfId="24101"/>
    <cellStyle name="Normal 12 10 7 2 5 2" xfId="24102"/>
    <cellStyle name="Normal 12 10 7 2 6" xfId="24103"/>
    <cellStyle name="Normal 12 10 7 2 6 2" xfId="24104"/>
    <cellStyle name="Normal 12 10 7 2 7" xfId="24105"/>
    <cellStyle name="Normal 12 10 7 2 8" xfId="24106"/>
    <cellStyle name="Normal 12 10 7 2 9" xfId="24107"/>
    <cellStyle name="Normal 12 10 7 3" xfId="24108"/>
    <cellStyle name="Normal 12 10 7 3 2" xfId="24109"/>
    <cellStyle name="Normal 12 10 7 3 2 2" xfId="24110"/>
    <cellStyle name="Normal 12 10 7 3 3" xfId="24111"/>
    <cellStyle name="Normal 12 10 7 3 4" xfId="24112"/>
    <cellStyle name="Normal 12 10 7 3 5" xfId="24113"/>
    <cellStyle name="Normal 12 10 7 4" xfId="24114"/>
    <cellStyle name="Normal 12 10 7 4 2" xfId="24115"/>
    <cellStyle name="Normal 12 10 7 5" xfId="24116"/>
    <cellStyle name="Normal 12 10 7 5 2" xfId="24117"/>
    <cellStyle name="Normal 12 10 7 6" xfId="24118"/>
    <cellStyle name="Normal 12 10 7 6 2" xfId="24119"/>
    <cellStyle name="Normal 12 10 7 7" xfId="24120"/>
    <cellStyle name="Normal 12 10 7 7 2" xfId="24121"/>
    <cellStyle name="Normal 12 10 7 8" xfId="24122"/>
    <cellStyle name="Normal 12 10 7 9" xfId="24123"/>
    <cellStyle name="Normal 12 10 8" xfId="24124"/>
    <cellStyle name="Normal 12 10 8 10" xfId="24125"/>
    <cellStyle name="Normal 12 10 8 11" xfId="24126"/>
    <cellStyle name="Normal 12 10 8 12" xfId="24127"/>
    <cellStyle name="Normal 12 10 8 13" xfId="24128"/>
    <cellStyle name="Normal 12 10 8 14" xfId="24129"/>
    <cellStyle name="Normal 12 10 8 15" xfId="24130"/>
    <cellStyle name="Normal 12 10 8 2" xfId="24131"/>
    <cellStyle name="Normal 12 10 8 2 2" xfId="24132"/>
    <cellStyle name="Normal 12 10 8 2 2 2" xfId="24133"/>
    <cellStyle name="Normal 12 10 8 2 3" xfId="24134"/>
    <cellStyle name="Normal 12 10 8 2 3 2" xfId="24135"/>
    <cellStyle name="Normal 12 10 8 2 4" xfId="24136"/>
    <cellStyle name="Normal 12 10 8 2 4 2" xfId="24137"/>
    <cellStyle name="Normal 12 10 8 2 5" xfId="24138"/>
    <cellStyle name="Normal 12 10 8 2 5 2" xfId="24139"/>
    <cellStyle name="Normal 12 10 8 2 6" xfId="24140"/>
    <cellStyle name="Normal 12 10 8 2 7" xfId="24141"/>
    <cellStyle name="Normal 12 10 8 2 8" xfId="24142"/>
    <cellStyle name="Normal 12 10 8 2 9" xfId="24143"/>
    <cellStyle name="Normal 12 10 8 3" xfId="24144"/>
    <cellStyle name="Normal 12 10 8 3 2" xfId="24145"/>
    <cellStyle name="Normal 12 10 8 3 2 2" xfId="24146"/>
    <cellStyle name="Normal 12 10 8 3 3" xfId="24147"/>
    <cellStyle name="Normal 12 10 8 3 4" xfId="24148"/>
    <cellStyle name="Normal 12 10 8 3 5" xfId="24149"/>
    <cellStyle name="Normal 12 10 8 4" xfId="24150"/>
    <cellStyle name="Normal 12 10 8 4 2" xfId="24151"/>
    <cellStyle name="Normal 12 10 8 5" xfId="24152"/>
    <cellStyle name="Normal 12 10 8 5 2" xfId="24153"/>
    <cellStyle name="Normal 12 10 8 6" xfId="24154"/>
    <cellStyle name="Normal 12 10 8 6 2" xfId="24155"/>
    <cellStyle name="Normal 12 10 8 7" xfId="24156"/>
    <cellStyle name="Normal 12 10 8 7 2" xfId="24157"/>
    <cellStyle name="Normal 12 10 8 8" xfId="24158"/>
    <cellStyle name="Normal 12 10 8 9" xfId="24159"/>
    <cellStyle name="Normal 12 10 9" xfId="24160"/>
    <cellStyle name="Normal 12 10 9 10" xfId="24161"/>
    <cellStyle name="Normal 12 10 9 11" xfId="24162"/>
    <cellStyle name="Normal 12 10 9 12" xfId="24163"/>
    <cellStyle name="Normal 12 10 9 13" xfId="24164"/>
    <cellStyle name="Normal 12 10 9 14" xfId="24165"/>
    <cellStyle name="Normal 12 10 9 15" xfId="24166"/>
    <cellStyle name="Normal 12 10 9 2" xfId="24167"/>
    <cellStyle name="Normal 12 10 9 2 2" xfId="24168"/>
    <cellStyle name="Normal 12 10 9 2 2 2" xfId="24169"/>
    <cellStyle name="Normal 12 10 9 2 3" xfId="24170"/>
    <cellStyle name="Normal 12 10 9 2 3 2" xfId="24171"/>
    <cellStyle name="Normal 12 10 9 2 4" xfId="24172"/>
    <cellStyle name="Normal 12 10 9 2 4 2" xfId="24173"/>
    <cellStyle name="Normal 12 10 9 2 5" xfId="24174"/>
    <cellStyle name="Normal 12 10 9 2 5 2" xfId="24175"/>
    <cellStyle name="Normal 12 10 9 2 6" xfId="24176"/>
    <cellStyle name="Normal 12 10 9 2 7" xfId="24177"/>
    <cellStyle name="Normal 12 10 9 2 8" xfId="24178"/>
    <cellStyle name="Normal 12 10 9 2 9" xfId="24179"/>
    <cellStyle name="Normal 12 10 9 3" xfId="24180"/>
    <cellStyle name="Normal 12 10 9 3 2" xfId="24181"/>
    <cellStyle name="Normal 12 10 9 3 2 2" xfId="24182"/>
    <cellStyle name="Normal 12 10 9 3 3" xfId="24183"/>
    <cellStyle name="Normal 12 10 9 3 4" xfId="24184"/>
    <cellStyle name="Normal 12 10 9 3 5" xfId="24185"/>
    <cellStyle name="Normal 12 10 9 4" xfId="24186"/>
    <cellStyle name="Normal 12 10 9 4 2" xfId="24187"/>
    <cellStyle name="Normal 12 10 9 5" xfId="24188"/>
    <cellStyle name="Normal 12 10 9 5 2" xfId="24189"/>
    <cellStyle name="Normal 12 10 9 6" xfId="24190"/>
    <cellStyle name="Normal 12 10 9 6 2" xfId="24191"/>
    <cellStyle name="Normal 12 10 9 7" xfId="24192"/>
    <cellStyle name="Normal 12 10 9 7 2" xfId="24193"/>
    <cellStyle name="Normal 12 10 9 8" xfId="24194"/>
    <cellStyle name="Normal 12 10 9 9" xfId="24195"/>
    <cellStyle name="Normal 12 11" xfId="24196"/>
    <cellStyle name="Normal 12 11 10" xfId="24197"/>
    <cellStyle name="Normal 12 11 11" xfId="24198"/>
    <cellStyle name="Normal 12 11 12" xfId="24199"/>
    <cellStyle name="Normal 12 11 13" xfId="24200"/>
    <cellStyle name="Normal 12 11 14" xfId="24201"/>
    <cellStyle name="Normal 12 11 15" xfId="24202"/>
    <cellStyle name="Normal 12 11 16" xfId="24203"/>
    <cellStyle name="Normal 12 11 17" xfId="24204"/>
    <cellStyle name="Normal 12 11 18" xfId="24205"/>
    <cellStyle name="Normal 12 11 2" xfId="24206"/>
    <cellStyle name="Normal 12 11 2 10" xfId="24207"/>
    <cellStyle name="Normal 12 11 2 11" xfId="24208"/>
    <cellStyle name="Normal 12 11 2 12" xfId="24209"/>
    <cellStyle name="Normal 12 11 2 13" xfId="24210"/>
    <cellStyle name="Normal 12 11 2 2" xfId="24211"/>
    <cellStyle name="Normal 12 11 2 2 2" xfId="24212"/>
    <cellStyle name="Normal 12 11 2 2 2 2" xfId="24213"/>
    <cellStyle name="Normal 12 11 2 2 3" xfId="24214"/>
    <cellStyle name="Normal 12 11 2 2 4" xfId="24215"/>
    <cellStyle name="Normal 12 11 2 2 5" xfId="24216"/>
    <cellStyle name="Normal 12 11 2 3" xfId="24217"/>
    <cellStyle name="Normal 12 11 2 3 2" xfId="24218"/>
    <cellStyle name="Normal 12 11 2 4" xfId="24219"/>
    <cellStyle name="Normal 12 11 2 4 2" xfId="24220"/>
    <cellStyle name="Normal 12 11 2 5" xfId="24221"/>
    <cellStyle name="Normal 12 11 2 5 2" xfId="24222"/>
    <cellStyle name="Normal 12 11 2 6" xfId="24223"/>
    <cellStyle name="Normal 12 11 2 6 2" xfId="24224"/>
    <cellStyle name="Normal 12 11 2 7" xfId="24225"/>
    <cellStyle name="Normal 12 11 2 8" xfId="24226"/>
    <cellStyle name="Normal 12 11 2 9" xfId="24227"/>
    <cellStyle name="Normal 12 11 3" xfId="24228"/>
    <cellStyle name="Normal 12 11 3 2" xfId="24229"/>
    <cellStyle name="Normal 12 11 3 2 2" xfId="24230"/>
    <cellStyle name="Normal 12 11 3 3" xfId="24231"/>
    <cellStyle name="Normal 12 11 3 4" xfId="24232"/>
    <cellStyle name="Normal 12 11 3 5" xfId="24233"/>
    <cellStyle name="Normal 12 11 4" xfId="24234"/>
    <cellStyle name="Normal 12 11 4 2" xfId="24235"/>
    <cellStyle name="Normal 12 11 5" xfId="24236"/>
    <cellStyle name="Normal 12 11 5 2" xfId="24237"/>
    <cellStyle name="Normal 12 11 6" xfId="24238"/>
    <cellStyle name="Normal 12 11 6 2" xfId="24239"/>
    <cellStyle name="Normal 12 11 7" xfId="24240"/>
    <cellStyle name="Normal 12 11 7 2" xfId="24241"/>
    <cellStyle name="Normal 12 11 8" xfId="24242"/>
    <cellStyle name="Normal 12 11 9" xfId="24243"/>
    <cellStyle name="Normal 12 12" xfId="24244"/>
    <cellStyle name="Normal 12 12 10" xfId="24245"/>
    <cellStyle name="Normal 12 12 11" xfId="24246"/>
    <cellStyle name="Normal 12 12 12" xfId="24247"/>
    <cellStyle name="Normal 12 12 13" xfId="24248"/>
    <cellStyle name="Normal 12 12 14" xfId="24249"/>
    <cellStyle name="Normal 12 12 15" xfId="24250"/>
    <cellStyle name="Normal 12 12 16" xfId="24251"/>
    <cellStyle name="Normal 12 12 17" xfId="24252"/>
    <cellStyle name="Normal 12 12 18" xfId="24253"/>
    <cellStyle name="Normal 12 12 2" xfId="24254"/>
    <cellStyle name="Normal 12 12 2 10" xfId="24255"/>
    <cellStyle name="Normal 12 12 2 11" xfId="24256"/>
    <cellStyle name="Normal 12 12 2 12" xfId="24257"/>
    <cellStyle name="Normal 12 12 2 13" xfId="24258"/>
    <cellStyle name="Normal 12 12 2 2" xfId="24259"/>
    <cellStyle name="Normal 12 12 2 2 2" xfId="24260"/>
    <cellStyle name="Normal 12 12 2 2 2 2" xfId="24261"/>
    <cellStyle name="Normal 12 12 2 2 3" xfId="24262"/>
    <cellStyle name="Normal 12 12 2 2 4" xfId="24263"/>
    <cellStyle name="Normal 12 12 2 2 5" xfId="24264"/>
    <cellStyle name="Normal 12 12 2 3" xfId="24265"/>
    <cellStyle name="Normal 12 12 2 3 2" xfId="24266"/>
    <cellStyle name="Normal 12 12 2 4" xfId="24267"/>
    <cellStyle name="Normal 12 12 2 4 2" xfId="24268"/>
    <cellStyle name="Normal 12 12 2 5" xfId="24269"/>
    <cellStyle name="Normal 12 12 2 5 2" xfId="24270"/>
    <cellStyle name="Normal 12 12 2 6" xfId="24271"/>
    <cellStyle name="Normal 12 12 2 6 2" xfId="24272"/>
    <cellStyle name="Normal 12 12 2 7" xfId="24273"/>
    <cellStyle name="Normal 12 12 2 8" xfId="24274"/>
    <cellStyle name="Normal 12 12 2 9" xfId="24275"/>
    <cellStyle name="Normal 12 12 3" xfId="24276"/>
    <cellStyle name="Normal 12 12 3 2" xfId="24277"/>
    <cellStyle name="Normal 12 12 3 2 2" xfId="24278"/>
    <cellStyle name="Normal 12 12 3 3" xfId="24279"/>
    <cellStyle name="Normal 12 12 3 4" xfId="24280"/>
    <cellStyle name="Normal 12 12 3 5" xfId="24281"/>
    <cellStyle name="Normal 12 12 4" xfId="24282"/>
    <cellStyle name="Normal 12 12 4 2" xfId="24283"/>
    <cellStyle name="Normal 12 12 5" xfId="24284"/>
    <cellStyle name="Normal 12 12 5 2" xfId="24285"/>
    <cellStyle name="Normal 12 12 6" xfId="24286"/>
    <cellStyle name="Normal 12 12 6 2" xfId="24287"/>
    <cellStyle name="Normal 12 12 7" xfId="24288"/>
    <cellStyle name="Normal 12 12 7 2" xfId="24289"/>
    <cellStyle name="Normal 12 12 8" xfId="24290"/>
    <cellStyle name="Normal 12 12 9" xfId="24291"/>
    <cellStyle name="Normal 12 13" xfId="24292"/>
    <cellStyle name="Normal 12 13 10" xfId="24293"/>
    <cellStyle name="Normal 12 13 11" xfId="24294"/>
    <cellStyle name="Normal 12 13 12" xfId="24295"/>
    <cellStyle name="Normal 12 13 13" xfId="24296"/>
    <cellStyle name="Normal 12 13 14" xfId="24297"/>
    <cellStyle name="Normal 12 13 15" xfId="24298"/>
    <cellStyle name="Normal 12 13 16" xfId="24299"/>
    <cellStyle name="Normal 12 13 17" xfId="24300"/>
    <cellStyle name="Normal 12 13 18" xfId="24301"/>
    <cellStyle name="Normal 12 13 2" xfId="24302"/>
    <cellStyle name="Normal 12 13 2 10" xfId="24303"/>
    <cellStyle name="Normal 12 13 2 11" xfId="24304"/>
    <cellStyle name="Normal 12 13 2 12" xfId="24305"/>
    <cellStyle name="Normal 12 13 2 13" xfId="24306"/>
    <cellStyle name="Normal 12 13 2 2" xfId="24307"/>
    <cellStyle name="Normal 12 13 2 2 2" xfId="24308"/>
    <cellStyle name="Normal 12 13 2 2 2 2" xfId="24309"/>
    <cellStyle name="Normal 12 13 2 2 3" xfId="24310"/>
    <cellStyle name="Normal 12 13 2 2 4" xfId="24311"/>
    <cellStyle name="Normal 12 13 2 2 5" xfId="24312"/>
    <cellStyle name="Normal 12 13 2 3" xfId="24313"/>
    <cellStyle name="Normal 12 13 2 3 2" xfId="24314"/>
    <cellStyle name="Normal 12 13 2 4" xfId="24315"/>
    <cellStyle name="Normal 12 13 2 4 2" xfId="24316"/>
    <cellStyle name="Normal 12 13 2 5" xfId="24317"/>
    <cellStyle name="Normal 12 13 2 5 2" xfId="24318"/>
    <cellStyle name="Normal 12 13 2 6" xfId="24319"/>
    <cellStyle name="Normal 12 13 2 6 2" xfId="24320"/>
    <cellStyle name="Normal 12 13 2 7" xfId="24321"/>
    <cellStyle name="Normal 12 13 2 8" xfId="24322"/>
    <cellStyle name="Normal 12 13 2 9" xfId="24323"/>
    <cellStyle name="Normal 12 13 3" xfId="24324"/>
    <cellStyle name="Normal 12 13 3 2" xfId="24325"/>
    <cellStyle name="Normal 12 13 3 2 2" xfId="24326"/>
    <cellStyle name="Normal 12 13 3 3" xfId="24327"/>
    <cellStyle name="Normal 12 13 3 4" xfId="24328"/>
    <cellStyle name="Normal 12 13 3 5" xfId="24329"/>
    <cellStyle name="Normal 12 13 4" xfId="24330"/>
    <cellStyle name="Normal 12 13 4 2" xfId="24331"/>
    <cellStyle name="Normal 12 13 5" xfId="24332"/>
    <cellStyle name="Normal 12 13 5 2" xfId="24333"/>
    <cellStyle name="Normal 12 13 6" xfId="24334"/>
    <cellStyle name="Normal 12 13 6 2" xfId="24335"/>
    <cellStyle name="Normal 12 13 7" xfId="24336"/>
    <cellStyle name="Normal 12 13 7 2" xfId="24337"/>
    <cellStyle name="Normal 12 13 8" xfId="24338"/>
    <cellStyle name="Normal 12 13 9" xfId="24339"/>
    <cellStyle name="Normal 12 14" xfId="24340"/>
    <cellStyle name="Normal 12 14 10" xfId="24341"/>
    <cellStyle name="Normal 12 14 11" xfId="24342"/>
    <cellStyle name="Normal 12 14 12" xfId="24343"/>
    <cellStyle name="Normal 12 14 13" xfId="24344"/>
    <cellStyle name="Normal 12 14 14" xfId="24345"/>
    <cellStyle name="Normal 12 14 15" xfId="24346"/>
    <cellStyle name="Normal 12 14 16" xfId="24347"/>
    <cellStyle name="Normal 12 14 17" xfId="24348"/>
    <cellStyle name="Normal 12 14 18" xfId="24349"/>
    <cellStyle name="Normal 12 14 2" xfId="24350"/>
    <cellStyle name="Normal 12 14 2 10" xfId="24351"/>
    <cellStyle name="Normal 12 14 2 11" xfId="24352"/>
    <cellStyle name="Normal 12 14 2 12" xfId="24353"/>
    <cellStyle name="Normal 12 14 2 13" xfId="24354"/>
    <cellStyle name="Normal 12 14 2 2" xfId="24355"/>
    <cellStyle name="Normal 12 14 2 2 2" xfId="24356"/>
    <cellStyle name="Normal 12 14 2 2 2 2" xfId="24357"/>
    <cellStyle name="Normal 12 14 2 2 3" xfId="24358"/>
    <cellStyle name="Normal 12 14 2 2 4" xfId="24359"/>
    <cellStyle name="Normal 12 14 2 2 5" xfId="24360"/>
    <cellStyle name="Normal 12 14 2 3" xfId="24361"/>
    <cellStyle name="Normal 12 14 2 3 2" xfId="24362"/>
    <cellStyle name="Normal 12 14 2 4" xfId="24363"/>
    <cellStyle name="Normal 12 14 2 4 2" xfId="24364"/>
    <cellStyle name="Normal 12 14 2 5" xfId="24365"/>
    <cellStyle name="Normal 12 14 2 5 2" xfId="24366"/>
    <cellStyle name="Normal 12 14 2 6" xfId="24367"/>
    <cellStyle name="Normal 12 14 2 6 2" xfId="24368"/>
    <cellStyle name="Normal 12 14 2 7" xfId="24369"/>
    <cellStyle name="Normal 12 14 2 8" xfId="24370"/>
    <cellStyle name="Normal 12 14 2 9" xfId="24371"/>
    <cellStyle name="Normal 12 14 3" xfId="24372"/>
    <cellStyle name="Normal 12 14 3 2" xfId="24373"/>
    <cellStyle name="Normal 12 14 3 2 2" xfId="24374"/>
    <cellStyle name="Normal 12 14 3 3" xfId="24375"/>
    <cellStyle name="Normal 12 14 3 4" xfId="24376"/>
    <cellStyle name="Normal 12 14 3 5" xfId="24377"/>
    <cellStyle name="Normal 12 14 4" xfId="24378"/>
    <cellStyle name="Normal 12 14 4 2" xfId="24379"/>
    <cellStyle name="Normal 12 14 5" xfId="24380"/>
    <cellStyle name="Normal 12 14 5 2" xfId="24381"/>
    <cellStyle name="Normal 12 14 6" xfId="24382"/>
    <cellStyle name="Normal 12 14 6 2" xfId="24383"/>
    <cellStyle name="Normal 12 14 7" xfId="24384"/>
    <cellStyle name="Normal 12 14 7 2" xfId="24385"/>
    <cellStyle name="Normal 12 14 8" xfId="24386"/>
    <cellStyle name="Normal 12 14 9" xfId="24387"/>
    <cellStyle name="Normal 12 15" xfId="24388"/>
    <cellStyle name="Normal 12 15 10" xfId="24389"/>
    <cellStyle name="Normal 12 15 11" xfId="24390"/>
    <cellStyle name="Normal 12 15 12" xfId="24391"/>
    <cellStyle name="Normal 12 15 13" xfId="24392"/>
    <cellStyle name="Normal 12 15 14" xfId="24393"/>
    <cellStyle name="Normal 12 15 15" xfId="24394"/>
    <cellStyle name="Normal 12 15 16" xfId="24395"/>
    <cellStyle name="Normal 12 15 17" xfId="24396"/>
    <cellStyle name="Normal 12 15 18" xfId="24397"/>
    <cellStyle name="Normal 12 15 2" xfId="24398"/>
    <cellStyle name="Normal 12 15 2 10" xfId="24399"/>
    <cellStyle name="Normal 12 15 2 11" xfId="24400"/>
    <cellStyle name="Normal 12 15 2 12" xfId="24401"/>
    <cellStyle name="Normal 12 15 2 13" xfId="24402"/>
    <cellStyle name="Normal 12 15 2 2" xfId="24403"/>
    <cellStyle name="Normal 12 15 2 2 2" xfId="24404"/>
    <cellStyle name="Normal 12 15 2 2 2 2" xfId="24405"/>
    <cellStyle name="Normal 12 15 2 2 3" xfId="24406"/>
    <cellStyle name="Normal 12 15 2 2 4" xfId="24407"/>
    <cellStyle name="Normal 12 15 2 2 5" xfId="24408"/>
    <cellStyle name="Normal 12 15 2 3" xfId="24409"/>
    <cellStyle name="Normal 12 15 2 3 2" xfId="24410"/>
    <cellStyle name="Normal 12 15 2 4" xfId="24411"/>
    <cellStyle name="Normal 12 15 2 4 2" xfId="24412"/>
    <cellStyle name="Normal 12 15 2 5" xfId="24413"/>
    <cellStyle name="Normal 12 15 2 5 2" xfId="24414"/>
    <cellStyle name="Normal 12 15 2 6" xfId="24415"/>
    <cellStyle name="Normal 12 15 2 6 2" xfId="24416"/>
    <cellStyle name="Normal 12 15 2 7" xfId="24417"/>
    <cellStyle name="Normal 12 15 2 8" xfId="24418"/>
    <cellStyle name="Normal 12 15 2 9" xfId="24419"/>
    <cellStyle name="Normal 12 15 3" xfId="24420"/>
    <cellStyle name="Normal 12 15 3 2" xfId="24421"/>
    <cellStyle name="Normal 12 15 3 2 2" xfId="24422"/>
    <cellStyle name="Normal 12 15 3 3" xfId="24423"/>
    <cellStyle name="Normal 12 15 3 4" xfId="24424"/>
    <cellStyle name="Normal 12 15 3 5" xfId="24425"/>
    <cellStyle name="Normal 12 15 4" xfId="24426"/>
    <cellStyle name="Normal 12 15 4 2" xfId="24427"/>
    <cellStyle name="Normal 12 15 5" xfId="24428"/>
    <cellStyle name="Normal 12 15 5 2" xfId="24429"/>
    <cellStyle name="Normal 12 15 6" xfId="24430"/>
    <cellStyle name="Normal 12 15 6 2" xfId="24431"/>
    <cellStyle name="Normal 12 15 7" xfId="24432"/>
    <cellStyle name="Normal 12 15 7 2" xfId="24433"/>
    <cellStyle name="Normal 12 15 8" xfId="24434"/>
    <cellStyle name="Normal 12 15 9" xfId="24435"/>
    <cellStyle name="Normal 12 16" xfId="24436"/>
    <cellStyle name="Normal 12 16 10" xfId="24437"/>
    <cellStyle name="Normal 12 16 11" xfId="24438"/>
    <cellStyle name="Normal 12 16 12" xfId="24439"/>
    <cellStyle name="Normal 12 16 13" xfId="24440"/>
    <cellStyle name="Normal 12 16 14" xfId="24441"/>
    <cellStyle name="Normal 12 16 15" xfId="24442"/>
    <cellStyle name="Normal 12 16 16" xfId="24443"/>
    <cellStyle name="Normal 12 16 17" xfId="24444"/>
    <cellStyle name="Normal 12 16 2" xfId="24445"/>
    <cellStyle name="Normal 12 16 2 10" xfId="24446"/>
    <cellStyle name="Normal 12 16 2 11" xfId="24447"/>
    <cellStyle name="Normal 12 16 2 12" xfId="24448"/>
    <cellStyle name="Normal 12 16 2 13" xfId="24449"/>
    <cellStyle name="Normal 12 16 2 2" xfId="24450"/>
    <cellStyle name="Normal 12 16 2 2 2" xfId="24451"/>
    <cellStyle name="Normal 12 16 2 2 2 2" xfId="24452"/>
    <cellStyle name="Normal 12 16 2 2 3" xfId="24453"/>
    <cellStyle name="Normal 12 16 2 2 4" xfId="24454"/>
    <cellStyle name="Normal 12 16 2 2 5" xfId="24455"/>
    <cellStyle name="Normal 12 16 2 3" xfId="24456"/>
    <cellStyle name="Normal 12 16 2 3 2" xfId="24457"/>
    <cellStyle name="Normal 12 16 2 4" xfId="24458"/>
    <cellStyle name="Normal 12 16 2 4 2" xfId="24459"/>
    <cellStyle name="Normal 12 16 2 5" xfId="24460"/>
    <cellStyle name="Normal 12 16 2 5 2" xfId="24461"/>
    <cellStyle name="Normal 12 16 2 6" xfId="24462"/>
    <cellStyle name="Normal 12 16 2 6 2" xfId="24463"/>
    <cellStyle name="Normal 12 16 2 7" xfId="24464"/>
    <cellStyle name="Normal 12 16 2 8" xfId="24465"/>
    <cellStyle name="Normal 12 16 2 9" xfId="24466"/>
    <cellStyle name="Normal 12 16 3" xfId="24467"/>
    <cellStyle name="Normal 12 16 3 2" xfId="24468"/>
    <cellStyle name="Normal 12 16 3 2 2" xfId="24469"/>
    <cellStyle name="Normal 12 16 3 3" xfId="24470"/>
    <cellStyle name="Normal 12 16 3 4" xfId="24471"/>
    <cellStyle name="Normal 12 16 3 5" xfId="24472"/>
    <cellStyle name="Normal 12 16 4" xfId="24473"/>
    <cellStyle name="Normal 12 16 4 2" xfId="24474"/>
    <cellStyle name="Normal 12 16 5" xfId="24475"/>
    <cellStyle name="Normal 12 16 5 2" xfId="24476"/>
    <cellStyle name="Normal 12 16 6" xfId="24477"/>
    <cellStyle name="Normal 12 16 6 2" xfId="24478"/>
    <cellStyle name="Normal 12 16 7" xfId="24479"/>
    <cellStyle name="Normal 12 16 7 2" xfId="24480"/>
    <cellStyle name="Normal 12 16 8" xfId="24481"/>
    <cellStyle name="Normal 12 16 9" xfId="24482"/>
    <cellStyle name="Normal 12 17" xfId="24483"/>
    <cellStyle name="Normal 12 17 10" xfId="24484"/>
    <cellStyle name="Normal 12 17 11" xfId="24485"/>
    <cellStyle name="Normal 12 17 12" xfId="24486"/>
    <cellStyle name="Normal 12 17 13" xfId="24487"/>
    <cellStyle name="Normal 12 17 14" xfId="24488"/>
    <cellStyle name="Normal 12 17 15" xfId="24489"/>
    <cellStyle name="Normal 12 17 2" xfId="24490"/>
    <cellStyle name="Normal 12 17 2 2" xfId="24491"/>
    <cellStyle name="Normal 12 17 2 2 2" xfId="24492"/>
    <cellStyle name="Normal 12 17 2 3" xfId="24493"/>
    <cellStyle name="Normal 12 17 2 3 2" xfId="24494"/>
    <cellStyle name="Normal 12 17 2 4" xfId="24495"/>
    <cellStyle name="Normal 12 17 2 4 2" xfId="24496"/>
    <cellStyle name="Normal 12 17 2 5" xfId="24497"/>
    <cellStyle name="Normal 12 17 2 5 2" xfId="24498"/>
    <cellStyle name="Normal 12 17 2 6" xfId="24499"/>
    <cellStyle name="Normal 12 17 2 7" xfId="24500"/>
    <cellStyle name="Normal 12 17 2 8" xfId="24501"/>
    <cellStyle name="Normal 12 17 2 9" xfId="24502"/>
    <cellStyle name="Normal 12 17 3" xfId="24503"/>
    <cellStyle name="Normal 12 17 3 2" xfId="24504"/>
    <cellStyle name="Normal 12 17 3 2 2" xfId="24505"/>
    <cellStyle name="Normal 12 17 3 3" xfId="24506"/>
    <cellStyle name="Normal 12 17 3 4" xfId="24507"/>
    <cellStyle name="Normal 12 17 3 5" xfId="24508"/>
    <cellStyle name="Normal 12 17 4" xfId="24509"/>
    <cellStyle name="Normal 12 17 4 2" xfId="24510"/>
    <cellStyle name="Normal 12 17 5" xfId="24511"/>
    <cellStyle name="Normal 12 17 5 2" xfId="24512"/>
    <cellStyle name="Normal 12 17 6" xfId="24513"/>
    <cellStyle name="Normal 12 17 6 2" xfId="24514"/>
    <cellStyle name="Normal 12 17 7" xfId="24515"/>
    <cellStyle name="Normal 12 17 7 2" xfId="24516"/>
    <cellStyle name="Normal 12 17 8" xfId="24517"/>
    <cellStyle name="Normal 12 17 9" xfId="24518"/>
    <cellStyle name="Normal 12 18" xfId="24519"/>
    <cellStyle name="Normal 12 18 10" xfId="24520"/>
    <cellStyle name="Normal 12 18 11" xfId="24521"/>
    <cellStyle name="Normal 12 18 12" xfId="24522"/>
    <cellStyle name="Normal 12 18 13" xfId="24523"/>
    <cellStyle name="Normal 12 18 14" xfId="24524"/>
    <cellStyle name="Normal 12 18 15" xfId="24525"/>
    <cellStyle name="Normal 12 18 2" xfId="24526"/>
    <cellStyle name="Normal 12 18 2 2" xfId="24527"/>
    <cellStyle name="Normal 12 18 2 2 2" xfId="24528"/>
    <cellStyle name="Normal 12 18 2 3" xfId="24529"/>
    <cellStyle name="Normal 12 18 2 3 2" xfId="24530"/>
    <cellStyle name="Normal 12 18 2 4" xfId="24531"/>
    <cellStyle name="Normal 12 18 2 4 2" xfId="24532"/>
    <cellStyle name="Normal 12 18 2 5" xfId="24533"/>
    <cellStyle name="Normal 12 18 2 5 2" xfId="24534"/>
    <cellStyle name="Normal 12 18 2 6" xfId="24535"/>
    <cellStyle name="Normal 12 18 2 7" xfId="24536"/>
    <cellStyle name="Normal 12 18 2 8" xfId="24537"/>
    <cellStyle name="Normal 12 18 2 9" xfId="24538"/>
    <cellStyle name="Normal 12 18 3" xfId="24539"/>
    <cellStyle name="Normal 12 18 3 2" xfId="24540"/>
    <cellStyle name="Normal 12 18 3 2 2" xfId="24541"/>
    <cellStyle name="Normal 12 18 3 3" xfId="24542"/>
    <cellStyle name="Normal 12 18 3 4" xfId="24543"/>
    <cellStyle name="Normal 12 18 3 5" xfId="24544"/>
    <cellStyle name="Normal 12 18 4" xfId="24545"/>
    <cellStyle name="Normal 12 18 4 2" xfId="24546"/>
    <cellStyle name="Normal 12 18 5" xfId="24547"/>
    <cellStyle name="Normal 12 18 5 2" xfId="24548"/>
    <cellStyle name="Normal 12 18 6" xfId="24549"/>
    <cellStyle name="Normal 12 18 6 2" xfId="24550"/>
    <cellStyle name="Normal 12 18 7" xfId="24551"/>
    <cellStyle name="Normal 12 18 7 2" xfId="24552"/>
    <cellStyle name="Normal 12 18 8" xfId="24553"/>
    <cellStyle name="Normal 12 18 9" xfId="24554"/>
    <cellStyle name="Normal 12 19" xfId="24555"/>
    <cellStyle name="Normal 12 19 10" xfId="24556"/>
    <cellStyle name="Normal 12 19 11" xfId="24557"/>
    <cellStyle name="Normal 12 19 12" xfId="24558"/>
    <cellStyle name="Normal 12 19 13" xfId="24559"/>
    <cellStyle name="Normal 12 19 14" xfId="24560"/>
    <cellStyle name="Normal 12 19 2" xfId="24561"/>
    <cellStyle name="Normal 12 19 2 2" xfId="24562"/>
    <cellStyle name="Normal 12 19 2 2 2" xfId="24563"/>
    <cellStyle name="Normal 12 19 2 3" xfId="24564"/>
    <cellStyle name="Normal 12 19 2 3 2" xfId="24565"/>
    <cellStyle name="Normal 12 19 2 4" xfId="24566"/>
    <cellStyle name="Normal 12 19 2 4 2" xfId="24567"/>
    <cellStyle name="Normal 12 19 2 5" xfId="24568"/>
    <cellStyle name="Normal 12 19 2 5 2" xfId="24569"/>
    <cellStyle name="Normal 12 19 2 6" xfId="24570"/>
    <cellStyle name="Normal 12 19 2 7" xfId="24571"/>
    <cellStyle name="Normal 12 19 2 8" xfId="24572"/>
    <cellStyle name="Normal 12 19 2 9" xfId="24573"/>
    <cellStyle name="Normal 12 19 3" xfId="24574"/>
    <cellStyle name="Normal 12 19 3 2" xfId="24575"/>
    <cellStyle name="Normal 12 19 3 2 2" xfId="24576"/>
    <cellStyle name="Normal 12 19 3 3" xfId="24577"/>
    <cellStyle name="Normal 12 19 3 4" xfId="24578"/>
    <cellStyle name="Normal 12 19 3 5" xfId="24579"/>
    <cellStyle name="Normal 12 19 4" xfId="24580"/>
    <cellStyle name="Normal 12 19 4 2" xfId="24581"/>
    <cellStyle name="Normal 12 19 5" xfId="24582"/>
    <cellStyle name="Normal 12 19 5 2" xfId="24583"/>
    <cellStyle name="Normal 12 19 6" xfId="24584"/>
    <cellStyle name="Normal 12 19 6 2" xfId="24585"/>
    <cellStyle name="Normal 12 19 7" xfId="24586"/>
    <cellStyle name="Normal 12 19 7 2" xfId="24587"/>
    <cellStyle name="Normal 12 19 8" xfId="24588"/>
    <cellStyle name="Normal 12 19 9" xfId="24589"/>
    <cellStyle name="Normal 12 2" xfId="990"/>
    <cellStyle name="Normal 12 2 10" xfId="24591"/>
    <cellStyle name="Normal 12 2 10 10" xfId="24592"/>
    <cellStyle name="Normal 12 2 10 11" xfId="24593"/>
    <cellStyle name="Normal 12 2 10 12" xfId="24594"/>
    <cellStyle name="Normal 12 2 10 13" xfId="24595"/>
    <cellStyle name="Normal 12 2 10 14" xfId="24596"/>
    <cellStyle name="Normal 12 2 10 15" xfId="24597"/>
    <cellStyle name="Normal 12 2 10 2" xfId="24598"/>
    <cellStyle name="Normal 12 2 10 2 2" xfId="24599"/>
    <cellStyle name="Normal 12 2 10 2 2 2" xfId="24600"/>
    <cellStyle name="Normal 12 2 10 2 3" xfId="24601"/>
    <cellStyle name="Normal 12 2 10 2 3 2" xfId="24602"/>
    <cellStyle name="Normal 12 2 10 2 4" xfId="24603"/>
    <cellStyle name="Normal 12 2 10 2 4 2" xfId="24604"/>
    <cellStyle name="Normal 12 2 10 2 5" xfId="24605"/>
    <cellStyle name="Normal 12 2 10 2 5 2" xfId="24606"/>
    <cellStyle name="Normal 12 2 10 2 6" xfId="24607"/>
    <cellStyle name="Normal 12 2 10 2 7" xfId="24608"/>
    <cellStyle name="Normal 12 2 10 2 8" xfId="24609"/>
    <cellStyle name="Normal 12 2 10 2 9" xfId="24610"/>
    <cellStyle name="Normal 12 2 10 3" xfId="24611"/>
    <cellStyle name="Normal 12 2 10 3 2" xfId="24612"/>
    <cellStyle name="Normal 12 2 10 3 2 2" xfId="24613"/>
    <cellStyle name="Normal 12 2 10 3 3" xfId="24614"/>
    <cellStyle name="Normal 12 2 10 3 4" xfId="24615"/>
    <cellStyle name="Normal 12 2 10 3 5" xfId="24616"/>
    <cellStyle name="Normal 12 2 10 4" xfId="24617"/>
    <cellStyle name="Normal 12 2 10 4 2" xfId="24618"/>
    <cellStyle name="Normal 12 2 10 5" xfId="24619"/>
    <cellStyle name="Normal 12 2 10 5 2" xfId="24620"/>
    <cellStyle name="Normal 12 2 10 6" xfId="24621"/>
    <cellStyle name="Normal 12 2 10 6 2" xfId="24622"/>
    <cellStyle name="Normal 12 2 10 7" xfId="24623"/>
    <cellStyle name="Normal 12 2 10 7 2" xfId="24624"/>
    <cellStyle name="Normal 12 2 10 8" xfId="24625"/>
    <cellStyle name="Normal 12 2 10 9" xfId="24626"/>
    <cellStyle name="Normal 12 2 11" xfId="24627"/>
    <cellStyle name="Normal 12 2 11 2" xfId="24628"/>
    <cellStyle name="Normal 12 2 11 2 2" xfId="24629"/>
    <cellStyle name="Normal 12 2 11 3" xfId="24630"/>
    <cellStyle name="Normal 12 2 11 3 2" xfId="24631"/>
    <cellStyle name="Normal 12 2 11 4" xfId="24632"/>
    <cellStyle name="Normal 12 2 11 4 2" xfId="24633"/>
    <cellStyle name="Normal 12 2 11 5" xfId="24634"/>
    <cellStyle name="Normal 12 2 11 5 2" xfId="24635"/>
    <cellStyle name="Normal 12 2 11 6" xfId="24636"/>
    <cellStyle name="Normal 12 2 11 7" xfId="24637"/>
    <cellStyle name="Normal 12 2 11 8" xfId="24638"/>
    <cellStyle name="Normal 12 2 11 9" xfId="24639"/>
    <cellStyle name="Normal 12 2 12" xfId="24640"/>
    <cellStyle name="Normal 12 2 12 2" xfId="24641"/>
    <cellStyle name="Normal 12 2 12 2 2" xfId="24642"/>
    <cellStyle name="Normal 12 2 12 3" xfId="24643"/>
    <cellStyle name="Normal 12 2 12 4" xfId="24644"/>
    <cellStyle name="Normal 12 2 12 5" xfId="24645"/>
    <cellStyle name="Normal 12 2 13" xfId="24646"/>
    <cellStyle name="Normal 12 2 13 2" xfId="24647"/>
    <cellStyle name="Normal 12 2 14" xfId="24648"/>
    <cellStyle name="Normal 12 2 14 2" xfId="24649"/>
    <cellStyle name="Normal 12 2 15" xfId="24650"/>
    <cellStyle name="Normal 12 2 15 2" xfId="24651"/>
    <cellStyle name="Normal 12 2 16" xfId="24652"/>
    <cellStyle name="Normal 12 2 16 2" xfId="24653"/>
    <cellStyle name="Normal 12 2 17" xfId="24654"/>
    <cellStyle name="Normal 12 2 18" xfId="24655"/>
    <cellStyle name="Normal 12 2 19" xfId="24656"/>
    <cellStyle name="Normal 12 2 2" xfId="24590"/>
    <cellStyle name="Normal 12 2 2 10" xfId="24657"/>
    <cellStyle name="Normal 12 2 2 10 2" xfId="24658"/>
    <cellStyle name="Normal 12 2 2 11" xfId="24659"/>
    <cellStyle name="Normal 12 2 2 11 2" xfId="24660"/>
    <cellStyle name="Normal 12 2 2 12" xfId="24661"/>
    <cellStyle name="Normal 12 2 2 13" xfId="24662"/>
    <cellStyle name="Normal 12 2 2 14" xfId="24663"/>
    <cellStyle name="Normal 12 2 2 15" xfId="24664"/>
    <cellStyle name="Normal 12 2 2 16" xfId="24665"/>
    <cellStyle name="Normal 12 2 2 17" xfId="24666"/>
    <cellStyle name="Normal 12 2 2 18" xfId="24667"/>
    <cellStyle name="Normal 12 2 2 19" xfId="24668"/>
    <cellStyle name="Normal 12 2 2 2" xfId="24669"/>
    <cellStyle name="Normal 12 2 2 2 10" xfId="24670"/>
    <cellStyle name="Normal 12 2 2 2 11" xfId="24671"/>
    <cellStyle name="Normal 12 2 2 2 12" xfId="24672"/>
    <cellStyle name="Normal 12 2 2 2 13" xfId="24673"/>
    <cellStyle name="Normal 12 2 2 2 14" xfId="24674"/>
    <cellStyle name="Normal 12 2 2 2 15" xfId="24675"/>
    <cellStyle name="Normal 12 2 2 2 16" xfId="24676"/>
    <cellStyle name="Normal 12 2 2 2 2" xfId="24677"/>
    <cellStyle name="Normal 12 2 2 2 2 2" xfId="24678"/>
    <cellStyle name="Normal 12 2 2 2 2 2 2" xfId="24679"/>
    <cellStyle name="Normal 12 2 2 2 2 3" xfId="24680"/>
    <cellStyle name="Normal 12 2 2 2 2 3 2" xfId="24681"/>
    <cellStyle name="Normal 12 2 2 2 2 4" xfId="24682"/>
    <cellStyle name="Normal 12 2 2 2 2 4 2" xfId="24683"/>
    <cellStyle name="Normal 12 2 2 2 2 5" xfId="24684"/>
    <cellStyle name="Normal 12 2 2 2 2 5 2" xfId="24685"/>
    <cellStyle name="Normal 12 2 2 2 2 6" xfId="24686"/>
    <cellStyle name="Normal 12 2 2 2 2 7" xfId="24687"/>
    <cellStyle name="Normal 12 2 2 2 2 8" xfId="24688"/>
    <cellStyle name="Normal 12 2 2 2 2 9" xfId="24689"/>
    <cellStyle name="Normal 12 2 2 2 3" xfId="24690"/>
    <cellStyle name="Normal 12 2 2 2 3 2" xfId="24691"/>
    <cellStyle name="Normal 12 2 2 2 3 2 2" xfId="24692"/>
    <cellStyle name="Normal 12 2 2 2 3 3" xfId="24693"/>
    <cellStyle name="Normal 12 2 2 2 3 4" xfId="24694"/>
    <cellStyle name="Normal 12 2 2 2 3 5" xfId="24695"/>
    <cellStyle name="Normal 12 2 2 2 4" xfId="24696"/>
    <cellStyle name="Normal 12 2 2 2 4 2" xfId="24697"/>
    <cellStyle name="Normal 12 2 2 2 5" xfId="24698"/>
    <cellStyle name="Normal 12 2 2 2 5 2" xfId="24699"/>
    <cellStyle name="Normal 12 2 2 2 6" xfId="24700"/>
    <cellStyle name="Normal 12 2 2 2 6 2" xfId="24701"/>
    <cellStyle name="Normal 12 2 2 2 7" xfId="24702"/>
    <cellStyle name="Normal 12 2 2 2 7 2" xfId="24703"/>
    <cellStyle name="Normal 12 2 2 2 8" xfId="24704"/>
    <cellStyle name="Normal 12 2 2 2 9" xfId="24705"/>
    <cellStyle name="Normal 12 2 2 20" xfId="24706"/>
    <cellStyle name="Normal 12 2 2 3" xfId="24707"/>
    <cellStyle name="Normal 12 2 2 3 10" xfId="24708"/>
    <cellStyle name="Normal 12 2 2 3 11" xfId="24709"/>
    <cellStyle name="Normal 12 2 2 3 12" xfId="24710"/>
    <cellStyle name="Normal 12 2 2 3 13" xfId="24711"/>
    <cellStyle name="Normal 12 2 2 3 14" xfId="24712"/>
    <cellStyle name="Normal 12 2 2 3 15" xfId="24713"/>
    <cellStyle name="Normal 12 2 2 3 16" xfId="24714"/>
    <cellStyle name="Normal 12 2 2 3 2" xfId="24715"/>
    <cellStyle name="Normal 12 2 2 3 2 2" xfId="24716"/>
    <cellStyle name="Normal 12 2 2 3 2 2 2" xfId="24717"/>
    <cellStyle name="Normal 12 2 2 3 2 3" xfId="24718"/>
    <cellStyle name="Normal 12 2 2 3 2 3 2" xfId="24719"/>
    <cellStyle name="Normal 12 2 2 3 2 4" xfId="24720"/>
    <cellStyle name="Normal 12 2 2 3 2 4 2" xfId="24721"/>
    <cellStyle name="Normal 12 2 2 3 2 5" xfId="24722"/>
    <cellStyle name="Normal 12 2 2 3 2 5 2" xfId="24723"/>
    <cellStyle name="Normal 12 2 2 3 2 6" xfId="24724"/>
    <cellStyle name="Normal 12 2 2 3 2 7" xfId="24725"/>
    <cellStyle name="Normal 12 2 2 3 2 8" xfId="24726"/>
    <cellStyle name="Normal 12 2 2 3 2 9" xfId="24727"/>
    <cellStyle name="Normal 12 2 2 3 3" xfId="24728"/>
    <cellStyle name="Normal 12 2 2 3 3 2" xfId="24729"/>
    <cellStyle name="Normal 12 2 2 3 3 2 2" xfId="24730"/>
    <cellStyle name="Normal 12 2 2 3 3 3" xfId="24731"/>
    <cellStyle name="Normal 12 2 2 3 3 4" xfId="24732"/>
    <cellStyle name="Normal 12 2 2 3 3 5" xfId="24733"/>
    <cellStyle name="Normal 12 2 2 3 4" xfId="24734"/>
    <cellStyle name="Normal 12 2 2 3 4 2" xfId="24735"/>
    <cellStyle name="Normal 12 2 2 3 5" xfId="24736"/>
    <cellStyle name="Normal 12 2 2 3 5 2" xfId="24737"/>
    <cellStyle name="Normal 12 2 2 3 6" xfId="24738"/>
    <cellStyle name="Normal 12 2 2 3 6 2" xfId="24739"/>
    <cellStyle name="Normal 12 2 2 3 7" xfId="24740"/>
    <cellStyle name="Normal 12 2 2 3 7 2" xfId="24741"/>
    <cellStyle name="Normal 12 2 2 3 8" xfId="24742"/>
    <cellStyle name="Normal 12 2 2 3 9" xfId="24743"/>
    <cellStyle name="Normal 12 2 2 4" xfId="24744"/>
    <cellStyle name="Normal 12 2 2 4 10" xfId="24745"/>
    <cellStyle name="Normal 12 2 2 4 11" xfId="24746"/>
    <cellStyle name="Normal 12 2 2 4 12" xfId="24747"/>
    <cellStyle name="Normal 12 2 2 4 13" xfId="24748"/>
    <cellStyle name="Normal 12 2 2 4 14" xfId="24749"/>
    <cellStyle name="Normal 12 2 2 4 15" xfId="24750"/>
    <cellStyle name="Normal 12 2 2 4 2" xfId="24751"/>
    <cellStyle name="Normal 12 2 2 4 2 2" xfId="24752"/>
    <cellStyle name="Normal 12 2 2 4 2 2 2" xfId="24753"/>
    <cellStyle name="Normal 12 2 2 4 2 3" xfId="24754"/>
    <cellStyle name="Normal 12 2 2 4 2 3 2" xfId="24755"/>
    <cellStyle name="Normal 12 2 2 4 2 4" xfId="24756"/>
    <cellStyle name="Normal 12 2 2 4 2 4 2" xfId="24757"/>
    <cellStyle name="Normal 12 2 2 4 2 5" xfId="24758"/>
    <cellStyle name="Normal 12 2 2 4 2 5 2" xfId="24759"/>
    <cellStyle name="Normal 12 2 2 4 2 6" xfId="24760"/>
    <cellStyle name="Normal 12 2 2 4 2 7" xfId="24761"/>
    <cellStyle name="Normal 12 2 2 4 2 8" xfId="24762"/>
    <cellStyle name="Normal 12 2 2 4 2 9" xfId="24763"/>
    <cellStyle name="Normal 12 2 2 4 3" xfId="24764"/>
    <cellStyle name="Normal 12 2 2 4 3 2" xfId="24765"/>
    <cellStyle name="Normal 12 2 2 4 3 2 2" xfId="24766"/>
    <cellStyle name="Normal 12 2 2 4 3 3" xfId="24767"/>
    <cellStyle name="Normal 12 2 2 4 3 4" xfId="24768"/>
    <cellStyle name="Normal 12 2 2 4 3 5" xfId="24769"/>
    <cellStyle name="Normal 12 2 2 4 4" xfId="24770"/>
    <cellStyle name="Normal 12 2 2 4 4 2" xfId="24771"/>
    <cellStyle name="Normal 12 2 2 4 5" xfId="24772"/>
    <cellStyle name="Normal 12 2 2 4 5 2" xfId="24773"/>
    <cellStyle name="Normal 12 2 2 4 6" xfId="24774"/>
    <cellStyle name="Normal 12 2 2 4 6 2" xfId="24775"/>
    <cellStyle name="Normal 12 2 2 4 7" xfId="24776"/>
    <cellStyle name="Normal 12 2 2 4 7 2" xfId="24777"/>
    <cellStyle name="Normal 12 2 2 4 8" xfId="24778"/>
    <cellStyle name="Normal 12 2 2 4 9" xfId="24779"/>
    <cellStyle name="Normal 12 2 2 5" xfId="24780"/>
    <cellStyle name="Normal 12 2 2 5 10" xfId="24781"/>
    <cellStyle name="Normal 12 2 2 5 11" xfId="24782"/>
    <cellStyle name="Normal 12 2 2 5 12" xfId="24783"/>
    <cellStyle name="Normal 12 2 2 5 13" xfId="24784"/>
    <cellStyle name="Normal 12 2 2 5 14" xfId="24785"/>
    <cellStyle name="Normal 12 2 2 5 2" xfId="24786"/>
    <cellStyle name="Normal 12 2 2 5 2 2" xfId="24787"/>
    <cellStyle name="Normal 12 2 2 5 2 2 2" xfId="24788"/>
    <cellStyle name="Normal 12 2 2 5 2 3" xfId="24789"/>
    <cellStyle name="Normal 12 2 2 5 2 3 2" xfId="24790"/>
    <cellStyle name="Normal 12 2 2 5 2 4" xfId="24791"/>
    <cellStyle name="Normal 12 2 2 5 2 4 2" xfId="24792"/>
    <cellStyle name="Normal 12 2 2 5 2 5" xfId="24793"/>
    <cellStyle name="Normal 12 2 2 5 2 5 2" xfId="24794"/>
    <cellStyle name="Normal 12 2 2 5 2 6" xfId="24795"/>
    <cellStyle name="Normal 12 2 2 5 2 7" xfId="24796"/>
    <cellStyle name="Normal 12 2 2 5 2 8" xfId="24797"/>
    <cellStyle name="Normal 12 2 2 5 2 9" xfId="24798"/>
    <cellStyle name="Normal 12 2 2 5 3" xfId="24799"/>
    <cellStyle name="Normal 12 2 2 5 3 2" xfId="24800"/>
    <cellStyle name="Normal 12 2 2 5 3 2 2" xfId="24801"/>
    <cellStyle name="Normal 12 2 2 5 3 3" xfId="24802"/>
    <cellStyle name="Normal 12 2 2 5 3 4" xfId="24803"/>
    <cellStyle name="Normal 12 2 2 5 3 5" xfId="24804"/>
    <cellStyle name="Normal 12 2 2 5 4" xfId="24805"/>
    <cellStyle name="Normal 12 2 2 5 4 2" xfId="24806"/>
    <cellStyle name="Normal 12 2 2 5 5" xfId="24807"/>
    <cellStyle name="Normal 12 2 2 5 5 2" xfId="24808"/>
    <cellStyle name="Normal 12 2 2 5 6" xfId="24809"/>
    <cellStyle name="Normal 12 2 2 5 6 2" xfId="24810"/>
    <cellStyle name="Normal 12 2 2 5 7" xfId="24811"/>
    <cellStyle name="Normal 12 2 2 5 7 2" xfId="24812"/>
    <cellStyle name="Normal 12 2 2 5 8" xfId="24813"/>
    <cellStyle name="Normal 12 2 2 5 9" xfId="24814"/>
    <cellStyle name="Normal 12 2 2 6" xfId="24815"/>
    <cellStyle name="Normal 12 2 2 6 2" xfId="24816"/>
    <cellStyle name="Normal 12 2 2 6 2 2" xfId="24817"/>
    <cellStyle name="Normal 12 2 2 6 3" xfId="24818"/>
    <cellStyle name="Normal 12 2 2 6 3 2" xfId="24819"/>
    <cellStyle name="Normal 12 2 2 6 4" xfId="24820"/>
    <cellStyle name="Normal 12 2 2 6 4 2" xfId="24821"/>
    <cellStyle name="Normal 12 2 2 6 5" xfId="24822"/>
    <cellStyle name="Normal 12 2 2 6 5 2" xfId="24823"/>
    <cellStyle name="Normal 12 2 2 6 6" xfId="24824"/>
    <cellStyle name="Normal 12 2 2 6 7" xfId="24825"/>
    <cellStyle name="Normal 12 2 2 6 8" xfId="24826"/>
    <cellStyle name="Normal 12 2 2 6 9" xfId="24827"/>
    <cellStyle name="Normal 12 2 2 7" xfId="24828"/>
    <cellStyle name="Normal 12 2 2 7 2" xfId="24829"/>
    <cellStyle name="Normal 12 2 2 7 2 2" xfId="24830"/>
    <cellStyle name="Normal 12 2 2 7 3" xfId="24831"/>
    <cellStyle name="Normal 12 2 2 7 4" xfId="24832"/>
    <cellStyle name="Normal 12 2 2 7 5" xfId="24833"/>
    <cellStyle name="Normal 12 2 2 8" xfId="24834"/>
    <cellStyle name="Normal 12 2 2 8 2" xfId="24835"/>
    <cellStyle name="Normal 12 2 2 9" xfId="24836"/>
    <cellStyle name="Normal 12 2 2 9 2" xfId="24837"/>
    <cellStyle name="Normal 12 2 20" xfId="24838"/>
    <cellStyle name="Normal 12 2 21" xfId="24839"/>
    <cellStyle name="Normal 12 2 22" xfId="24840"/>
    <cellStyle name="Normal 12 2 23" xfId="24841"/>
    <cellStyle name="Normal 12 2 24" xfId="24842"/>
    <cellStyle name="Normal 12 2 25" xfId="24843"/>
    <cellStyle name="Normal 12 2 26" xfId="24844"/>
    <cellStyle name="Normal 12 2 3" xfId="24845"/>
    <cellStyle name="Normal 12 2 3 10" xfId="24846"/>
    <cellStyle name="Normal 12 2 3 11" xfId="24847"/>
    <cellStyle name="Normal 12 2 3 12" xfId="24848"/>
    <cellStyle name="Normal 12 2 3 13" xfId="24849"/>
    <cellStyle name="Normal 12 2 3 14" xfId="24850"/>
    <cellStyle name="Normal 12 2 3 15" xfId="24851"/>
    <cellStyle name="Normal 12 2 3 16" xfId="24852"/>
    <cellStyle name="Normal 12 2 3 17" xfId="24853"/>
    <cellStyle name="Normal 12 2 3 18" xfId="24854"/>
    <cellStyle name="Normal 12 2 3 2" xfId="24855"/>
    <cellStyle name="Normal 12 2 3 2 10" xfId="24856"/>
    <cellStyle name="Normal 12 2 3 2 11" xfId="24857"/>
    <cellStyle name="Normal 12 2 3 2 12" xfId="24858"/>
    <cellStyle name="Normal 12 2 3 2 13" xfId="24859"/>
    <cellStyle name="Normal 12 2 3 2 2" xfId="24860"/>
    <cellStyle name="Normal 12 2 3 2 2 2" xfId="24861"/>
    <cellStyle name="Normal 12 2 3 2 2 2 2" xfId="24862"/>
    <cellStyle name="Normal 12 2 3 2 2 3" xfId="24863"/>
    <cellStyle name="Normal 12 2 3 2 2 4" xfId="24864"/>
    <cellStyle name="Normal 12 2 3 2 2 5" xfId="24865"/>
    <cellStyle name="Normal 12 2 3 2 3" xfId="24866"/>
    <cellStyle name="Normal 12 2 3 2 3 2" xfId="24867"/>
    <cellStyle name="Normal 12 2 3 2 4" xfId="24868"/>
    <cellStyle name="Normal 12 2 3 2 4 2" xfId="24869"/>
    <cellStyle name="Normal 12 2 3 2 5" xfId="24870"/>
    <cellStyle name="Normal 12 2 3 2 5 2" xfId="24871"/>
    <cellStyle name="Normal 12 2 3 2 6" xfId="24872"/>
    <cellStyle name="Normal 12 2 3 2 6 2" xfId="24873"/>
    <cellStyle name="Normal 12 2 3 2 7" xfId="24874"/>
    <cellStyle name="Normal 12 2 3 2 8" xfId="24875"/>
    <cellStyle name="Normal 12 2 3 2 9" xfId="24876"/>
    <cellStyle name="Normal 12 2 3 3" xfId="24877"/>
    <cellStyle name="Normal 12 2 3 3 2" xfId="24878"/>
    <cellStyle name="Normal 12 2 3 3 2 2" xfId="24879"/>
    <cellStyle name="Normal 12 2 3 3 3" xfId="24880"/>
    <cellStyle name="Normal 12 2 3 3 4" xfId="24881"/>
    <cellStyle name="Normal 12 2 3 3 5" xfId="24882"/>
    <cellStyle name="Normal 12 2 3 4" xfId="24883"/>
    <cellStyle name="Normal 12 2 3 4 2" xfId="24884"/>
    <cellStyle name="Normal 12 2 3 5" xfId="24885"/>
    <cellStyle name="Normal 12 2 3 5 2" xfId="24886"/>
    <cellStyle name="Normal 12 2 3 6" xfId="24887"/>
    <cellStyle name="Normal 12 2 3 6 2" xfId="24888"/>
    <cellStyle name="Normal 12 2 3 7" xfId="24889"/>
    <cellStyle name="Normal 12 2 3 7 2" xfId="24890"/>
    <cellStyle name="Normal 12 2 3 8" xfId="24891"/>
    <cellStyle name="Normal 12 2 3 9" xfId="24892"/>
    <cellStyle name="Normal 12 2 4" xfId="24893"/>
    <cellStyle name="Normal 12 2 4 10" xfId="24894"/>
    <cellStyle name="Normal 12 2 4 11" xfId="24895"/>
    <cellStyle name="Normal 12 2 4 12" xfId="24896"/>
    <cellStyle name="Normal 12 2 4 13" xfId="24897"/>
    <cellStyle name="Normal 12 2 4 14" xfId="24898"/>
    <cellStyle name="Normal 12 2 4 15" xfId="24899"/>
    <cellStyle name="Normal 12 2 4 16" xfId="24900"/>
    <cellStyle name="Normal 12 2 4 17" xfId="24901"/>
    <cellStyle name="Normal 12 2 4 18" xfId="24902"/>
    <cellStyle name="Normal 12 2 4 2" xfId="24903"/>
    <cellStyle name="Normal 12 2 4 2 10" xfId="24904"/>
    <cellStyle name="Normal 12 2 4 2 11" xfId="24905"/>
    <cellStyle name="Normal 12 2 4 2 12" xfId="24906"/>
    <cellStyle name="Normal 12 2 4 2 13" xfId="24907"/>
    <cellStyle name="Normal 12 2 4 2 2" xfId="24908"/>
    <cellStyle name="Normal 12 2 4 2 2 2" xfId="24909"/>
    <cellStyle name="Normal 12 2 4 2 2 2 2" xfId="24910"/>
    <cellStyle name="Normal 12 2 4 2 2 3" xfId="24911"/>
    <cellStyle name="Normal 12 2 4 2 2 4" xfId="24912"/>
    <cellStyle name="Normal 12 2 4 2 2 5" xfId="24913"/>
    <cellStyle name="Normal 12 2 4 2 3" xfId="24914"/>
    <cellStyle name="Normal 12 2 4 2 3 2" xfId="24915"/>
    <cellStyle name="Normal 12 2 4 2 4" xfId="24916"/>
    <cellStyle name="Normal 12 2 4 2 4 2" xfId="24917"/>
    <cellStyle name="Normal 12 2 4 2 5" xfId="24918"/>
    <cellStyle name="Normal 12 2 4 2 5 2" xfId="24919"/>
    <cellStyle name="Normal 12 2 4 2 6" xfId="24920"/>
    <cellStyle name="Normal 12 2 4 2 6 2" xfId="24921"/>
    <cellStyle name="Normal 12 2 4 2 7" xfId="24922"/>
    <cellStyle name="Normal 12 2 4 2 8" xfId="24923"/>
    <cellStyle name="Normal 12 2 4 2 9" xfId="24924"/>
    <cellStyle name="Normal 12 2 4 3" xfId="24925"/>
    <cellStyle name="Normal 12 2 4 3 2" xfId="24926"/>
    <cellStyle name="Normal 12 2 4 3 2 2" xfId="24927"/>
    <cellStyle name="Normal 12 2 4 3 3" xfId="24928"/>
    <cellStyle name="Normal 12 2 4 3 4" xfId="24929"/>
    <cellStyle name="Normal 12 2 4 3 5" xfId="24930"/>
    <cellStyle name="Normal 12 2 4 4" xfId="24931"/>
    <cellStyle name="Normal 12 2 4 4 2" xfId="24932"/>
    <cellStyle name="Normal 12 2 4 5" xfId="24933"/>
    <cellStyle name="Normal 12 2 4 5 2" xfId="24934"/>
    <cellStyle name="Normal 12 2 4 6" xfId="24935"/>
    <cellStyle name="Normal 12 2 4 6 2" xfId="24936"/>
    <cellStyle name="Normal 12 2 4 7" xfId="24937"/>
    <cellStyle name="Normal 12 2 4 7 2" xfId="24938"/>
    <cellStyle name="Normal 12 2 4 8" xfId="24939"/>
    <cellStyle name="Normal 12 2 4 9" xfId="24940"/>
    <cellStyle name="Normal 12 2 5" xfId="24941"/>
    <cellStyle name="Normal 12 2 5 10" xfId="24942"/>
    <cellStyle name="Normal 12 2 5 11" xfId="24943"/>
    <cellStyle name="Normal 12 2 5 12" xfId="24944"/>
    <cellStyle name="Normal 12 2 5 13" xfId="24945"/>
    <cellStyle name="Normal 12 2 5 14" xfId="24946"/>
    <cellStyle name="Normal 12 2 5 15" xfId="24947"/>
    <cellStyle name="Normal 12 2 5 16" xfId="24948"/>
    <cellStyle name="Normal 12 2 5 17" xfId="24949"/>
    <cellStyle name="Normal 12 2 5 18" xfId="24950"/>
    <cellStyle name="Normal 12 2 5 2" xfId="24951"/>
    <cellStyle name="Normal 12 2 5 2 10" xfId="24952"/>
    <cellStyle name="Normal 12 2 5 2 11" xfId="24953"/>
    <cellStyle name="Normal 12 2 5 2 12" xfId="24954"/>
    <cellStyle name="Normal 12 2 5 2 13" xfId="24955"/>
    <cellStyle name="Normal 12 2 5 2 2" xfId="24956"/>
    <cellStyle name="Normal 12 2 5 2 2 2" xfId="24957"/>
    <cellStyle name="Normal 12 2 5 2 2 2 2" xfId="24958"/>
    <cellStyle name="Normal 12 2 5 2 2 3" xfId="24959"/>
    <cellStyle name="Normal 12 2 5 2 2 4" xfId="24960"/>
    <cellStyle name="Normal 12 2 5 2 2 5" xfId="24961"/>
    <cellStyle name="Normal 12 2 5 2 3" xfId="24962"/>
    <cellStyle name="Normal 12 2 5 2 3 2" xfId="24963"/>
    <cellStyle name="Normal 12 2 5 2 4" xfId="24964"/>
    <cellStyle name="Normal 12 2 5 2 4 2" xfId="24965"/>
    <cellStyle name="Normal 12 2 5 2 5" xfId="24966"/>
    <cellStyle name="Normal 12 2 5 2 5 2" xfId="24967"/>
    <cellStyle name="Normal 12 2 5 2 6" xfId="24968"/>
    <cellStyle name="Normal 12 2 5 2 6 2" xfId="24969"/>
    <cellStyle name="Normal 12 2 5 2 7" xfId="24970"/>
    <cellStyle name="Normal 12 2 5 2 8" xfId="24971"/>
    <cellStyle name="Normal 12 2 5 2 9" xfId="24972"/>
    <cellStyle name="Normal 12 2 5 3" xfId="24973"/>
    <cellStyle name="Normal 12 2 5 3 2" xfId="24974"/>
    <cellStyle name="Normal 12 2 5 3 2 2" xfId="24975"/>
    <cellStyle name="Normal 12 2 5 3 3" xfId="24976"/>
    <cellStyle name="Normal 12 2 5 3 4" xfId="24977"/>
    <cellStyle name="Normal 12 2 5 3 5" xfId="24978"/>
    <cellStyle name="Normal 12 2 5 4" xfId="24979"/>
    <cellStyle name="Normal 12 2 5 4 2" xfId="24980"/>
    <cellStyle name="Normal 12 2 5 5" xfId="24981"/>
    <cellStyle name="Normal 12 2 5 5 2" xfId="24982"/>
    <cellStyle name="Normal 12 2 5 6" xfId="24983"/>
    <cellStyle name="Normal 12 2 5 6 2" xfId="24984"/>
    <cellStyle name="Normal 12 2 5 7" xfId="24985"/>
    <cellStyle name="Normal 12 2 5 7 2" xfId="24986"/>
    <cellStyle name="Normal 12 2 5 8" xfId="24987"/>
    <cellStyle name="Normal 12 2 5 9" xfId="24988"/>
    <cellStyle name="Normal 12 2 6" xfId="24989"/>
    <cellStyle name="Normal 12 2 6 10" xfId="24990"/>
    <cellStyle name="Normal 12 2 6 11" xfId="24991"/>
    <cellStyle name="Normal 12 2 6 12" xfId="24992"/>
    <cellStyle name="Normal 12 2 6 13" xfId="24993"/>
    <cellStyle name="Normal 12 2 6 14" xfId="24994"/>
    <cellStyle name="Normal 12 2 6 15" xfId="24995"/>
    <cellStyle name="Normal 12 2 6 16" xfId="24996"/>
    <cellStyle name="Normal 12 2 6 17" xfId="24997"/>
    <cellStyle name="Normal 12 2 6 18" xfId="24998"/>
    <cellStyle name="Normal 12 2 6 2" xfId="24999"/>
    <cellStyle name="Normal 12 2 6 2 10" xfId="25000"/>
    <cellStyle name="Normal 12 2 6 2 11" xfId="25001"/>
    <cellStyle name="Normal 12 2 6 2 12" xfId="25002"/>
    <cellStyle name="Normal 12 2 6 2 13" xfId="25003"/>
    <cellStyle name="Normal 12 2 6 2 2" xfId="25004"/>
    <cellStyle name="Normal 12 2 6 2 2 2" xfId="25005"/>
    <cellStyle name="Normal 12 2 6 2 2 2 2" xfId="25006"/>
    <cellStyle name="Normal 12 2 6 2 2 3" xfId="25007"/>
    <cellStyle name="Normal 12 2 6 2 2 4" xfId="25008"/>
    <cellStyle name="Normal 12 2 6 2 2 5" xfId="25009"/>
    <cellStyle name="Normal 12 2 6 2 3" xfId="25010"/>
    <cellStyle name="Normal 12 2 6 2 3 2" xfId="25011"/>
    <cellStyle name="Normal 12 2 6 2 4" xfId="25012"/>
    <cellStyle name="Normal 12 2 6 2 4 2" xfId="25013"/>
    <cellStyle name="Normal 12 2 6 2 5" xfId="25014"/>
    <cellStyle name="Normal 12 2 6 2 5 2" xfId="25015"/>
    <cellStyle name="Normal 12 2 6 2 6" xfId="25016"/>
    <cellStyle name="Normal 12 2 6 2 6 2" xfId="25017"/>
    <cellStyle name="Normal 12 2 6 2 7" xfId="25018"/>
    <cellStyle name="Normal 12 2 6 2 8" xfId="25019"/>
    <cellStyle name="Normal 12 2 6 2 9" xfId="25020"/>
    <cellStyle name="Normal 12 2 6 3" xfId="25021"/>
    <cellStyle name="Normal 12 2 6 3 2" xfId="25022"/>
    <cellStyle name="Normal 12 2 6 3 2 2" xfId="25023"/>
    <cellStyle name="Normal 12 2 6 3 3" xfId="25024"/>
    <cellStyle name="Normal 12 2 6 3 4" xfId="25025"/>
    <cellStyle name="Normal 12 2 6 3 5" xfId="25026"/>
    <cellStyle name="Normal 12 2 6 4" xfId="25027"/>
    <cellStyle name="Normal 12 2 6 4 2" xfId="25028"/>
    <cellStyle name="Normal 12 2 6 5" xfId="25029"/>
    <cellStyle name="Normal 12 2 6 5 2" xfId="25030"/>
    <cellStyle name="Normal 12 2 6 6" xfId="25031"/>
    <cellStyle name="Normal 12 2 6 6 2" xfId="25032"/>
    <cellStyle name="Normal 12 2 6 7" xfId="25033"/>
    <cellStyle name="Normal 12 2 6 7 2" xfId="25034"/>
    <cellStyle name="Normal 12 2 6 8" xfId="25035"/>
    <cellStyle name="Normal 12 2 6 9" xfId="25036"/>
    <cellStyle name="Normal 12 2 7" xfId="25037"/>
    <cellStyle name="Normal 12 2 7 10" xfId="25038"/>
    <cellStyle name="Normal 12 2 7 11" xfId="25039"/>
    <cellStyle name="Normal 12 2 7 12" xfId="25040"/>
    <cellStyle name="Normal 12 2 7 13" xfId="25041"/>
    <cellStyle name="Normal 12 2 7 14" xfId="25042"/>
    <cellStyle name="Normal 12 2 7 15" xfId="25043"/>
    <cellStyle name="Normal 12 2 7 16" xfId="25044"/>
    <cellStyle name="Normal 12 2 7 17" xfId="25045"/>
    <cellStyle name="Normal 12 2 7 18" xfId="25046"/>
    <cellStyle name="Normal 12 2 7 2" xfId="25047"/>
    <cellStyle name="Normal 12 2 7 2 10" xfId="25048"/>
    <cellStyle name="Normal 12 2 7 2 11" xfId="25049"/>
    <cellStyle name="Normal 12 2 7 2 12" xfId="25050"/>
    <cellStyle name="Normal 12 2 7 2 13" xfId="25051"/>
    <cellStyle name="Normal 12 2 7 2 2" xfId="25052"/>
    <cellStyle name="Normal 12 2 7 2 2 2" xfId="25053"/>
    <cellStyle name="Normal 12 2 7 2 2 2 2" xfId="25054"/>
    <cellStyle name="Normal 12 2 7 2 2 3" xfId="25055"/>
    <cellStyle name="Normal 12 2 7 2 2 4" xfId="25056"/>
    <cellStyle name="Normal 12 2 7 2 2 5" xfId="25057"/>
    <cellStyle name="Normal 12 2 7 2 3" xfId="25058"/>
    <cellStyle name="Normal 12 2 7 2 3 2" xfId="25059"/>
    <cellStyle name="Normal 12 2 7 2 4" xfId="25060"/>
    <cellStyle name="Normal 12 2 7 2 4 2" xfId="25061"/>
    <cellStyle name="Normal 12 2 7 2 5" xfId="25062"/>
    <cellStyle name="Normal 12 2 7 2 5 2" xfId="25063"/>
    <cellStyle name="Normal 12 2 7 2 6" xfId="25064"/>
    <cellStyle name="Normal 12 2 7 2 6 2" xfId="25065"/>
    <cellStyle name="Normal 12 2 7 2 7" xfId="25066"/>
    <cellStyle name="Normal 12 2 7 2 8" xfId="25067"/>
    <cellStyle name="Normal 12 2 7 2 9" xfId="25068"/>
    <cellStyle name="Normal 12 2 7 3" xfId="25069"/>
    <cellStyle name="Normal 12 2 7 3 2" xfId="25070"/>
    <cellStyle name="Normal 12 2 7 3 2 2" xfId="25071"/>
    <cellStyle name="Normal 12 2 7 3 3" xfId="25072"/>
    <cellStyle name="Normal 12 2 7 3 4" xfId="25073"/>
    <cellStyle name="Normal 12 2 7 3 5" xfId="25074"/>
    <cellStyle name="Normal 12 2 7 4" xfId="25075"/>
    <cellStyle name="Normal 12 2 7 4 2" xfId="25076"/>
    <cellStyle name="Normal 12 2 7 5" xfId="25077"/>
    <cellStyle name="Normal 12 2 7 5 2" xfId="25078"/>
    <cellStyle name="Normal 12 2 7 6" xfId="25079"/>
    <cellStyle name="Normal 12 2 7 6 2" xfId="25080"/>
    <cellStyle name="Normal 12 2 7 7" xfId="25081"/>
    <cellStyle name="Normal 12 2 7 7 2" xfId="25082"/>
    <cellStyle name="Normal 12 2 7 8" xfId="25083"/>
    <cellStyle name="Normal 12 2 7 9" xfId="25084"/>
    <cellStyle name="Normal 12 2 8" xfId="25085"/>
    <cellStyle name="Normal 12 2 8 10" xfId="25086"/>
    <cellStyle name="Normal 12 2 8 11" xfId="25087"/>
    <cellStyle name="Normal 12 2 8 12" xfId="25088"/>
    <cellStyle name="Normal 12 2 8 13" xfId="25089"/>
    <cellStyle name="Normal 12 2 8 14" xfId="25090"/>
    <cellStyle name="Normal 12 2 8 15" xfId="25091"/>
    <cellStyle name="Normal 12 2 8 16" xfId="25092"/>
    <cellStyle name="Normal 12 2 8 2" xfId="25093"/>
    <cellStyle name="Normal 12 2 8 2 2" xfId="25094"/>
    <cellStyle name="Normal 12 2 8 2 2 2" xfId="25095"/>
    <cellStyle name="Normal 12 2 8 2 3" xfId="25096"/>
    <cellStyle name="Normal 12 2 8 2 3 2" xfId="25097"/>
    <cellStyle name="Normal 12 2 8 2 4" xfId="25098"/>
    <cellStyle name="Normal 12 2 8 2 4 2" xfId="25099"/>
    <cellStyle name="Normal 12 2 8 2 5" xfId="25100"/>
    <cellStyle name="Normal 12 2 8 2 5 2" xfId="25101"/>
    <cellStyle name="Normal 12 2 8 2 6" xfId="25102"/>
    <cellStyle name="Normal 12 2 8 2 7" xfId="25103"/>
    <cellStyle name="Normal 12 2 8 2 8" xfId="25104"/>
    <cellStyle name="Normal 12 2 8 2 9" xfId="25105"/>
    <cellStyle name="Normal 12 2 8 3" xfId="25106"/>
    <cellStyle name="Normal 12 2 8 3 2" xfId="25107"/>
    <cellStyle name="Normal 12 2 8 3 2 2" xfId="25108"/>
    <cellStyle name="Normal 12 2 8 3 3" xfId="25109"/>
    <cellStyle name="Normal 12 2 8 3 4" xfId="25110"/>
    <cellStyle name="Normal 12 2 8 3 5" xfId="25111"/>
    <cellStyle name="Normal 12 2 8 4" xfId="25112"/>
    <cellStyle name="Normal 12 2 8 4 2" xfId="25113"/>
    <cellStyle name="Normal 12 2 8 5" xfId="25114"/>
    <cellStyle name="Normal 12 2 8 5 2" xfId="25115"/>
    <cellStyle name="Normal 12 2 8 6" xfId="25116"/>
    <cellStyle name="Normal 12 2 8 6 2" xfId="25117"/>
    <cellStyle name="Normal 12 2 8 7" xfId="25118"/>
    <cellStyle name="Normal 12 2 8 7 2" xfId="25119"/>
    <cellStyle name="Normal 12 2 8 8" xfId="25120"/>
    <cellStyle name="Normal 12 2 8 9" xfId="25121"/>
    <cellStyle name="Normal 12 2 9" xfId="25122"/>
    <cellStyle name="Normal 12 2 9 10" xfId="25123"/>
    <cellStyle name="Normal 12 2 9 11" xfId="25124"/>
    <cellStyle name="Normal 12 2 9 12" xfId="25125"/>
    <cellStyle name="Normal 12 2 9 13" xfId="25126"/>
    <cellStyle name="Normal 12 2 9 14" xfId="25127"/>
    <cellStyle name="Normal 12 2 9 15" xfId="25128"/>
    <cellStyle name="Normal 12 2 9 16" xfId="25129"/>
    <cellStyle name="Normal 12 2 9 2" xfId="25130"/>
    <cellStyle name="Normal 12 2 9 2 2" xfId="25131"/>
    <cellStyle name="Normal 12 2 9 2 2 2" xfId="25132"/>
    <cellStyle name="Normal 12 2 9 2 3" xfId="25133"/>
    <cellStyle name="Normal 12 2 9 2 3 2" xfId="25134"/>
    <cellStyle name="Normal 12 2 9 2 4" xfId="25135"/>
    <cellStyle name="Normal 12 2 9 2 4 2" xfId="25136"/>
    <cellStyle name="Normal 12 2 9 2 5" xfId="25137"/>
    <cellStyle name="Normal 12 2 9 2 5 2" xfId="25138"/>
    <cellStyle name="Normal 12 2 9 2 6" xfId="25139"/>
    <cellStyle name="Normal 12 2 9 2 7" xfId="25140"/>
    <cellStyle name="Normal 12 2 9 2 8" xfId="25141"/>
    <cellStyle name="Normal 12 2 9 2 9" xfId="25142"/>
    <cellStyle name="Normal 12 2 9 3" xfId="25143"/>
    <cellStyle name="Normal 12 2 9 3 2" xfId="25144"/>
    <cellStyle name="Normal 12 2 9 3 2 2" xfId="25145"/>
    <cellStyle name="Normal 12 2 9 3 3" xfId="25146"/>
    <cellStyle name="Normal 12 2 9 3 4" xfId="25147"/>
    <cellStyle name="Normal 12 2 9 3 5" xfId="25148"/>
    <cellStyle name="Normal 12 2 9 4" xfId="25149"/>
    <cellStyle name="Normal 12 2 9 4 2" xfId="25150"/>
    <cellStyle name="Normal 12 2 9 5" xfId="25151"/>
    <cellStyle name="Normal 12 2 9 5 2" xfId="25152"/>
    <cellStyle name="Normal 12 2 9 6" xfId="25153"/>
    <cellStyle name="Normal 12 2 9 6 2" xfId="25154"/>
    <cellStyle name="Normal 12 2 9 7" xfId="25155"/>
    <cellStyle name="Normal 12 2 9 7 2" xfId="25156"/>
    <cellStyle name="Normal 12 2 9 8" xfId="25157"/>
    <cellStyle name="Normal 12 2 9 9" xfId="25158"/>
    <cellStyle name="Normal 12 20" xfId="25159"/>
    <cellStyle name="Normal 12 20 2" xfId="25160"/>
    <cellStyle name="Normal 12 20 2 2" xfId="25161"/>
    <cellStyle name="Normal 12 20 3" xfId="25162"/>
    <cellStyle name="Normal 12 20 3 2" xfId="25163"/>
    <cellStyle name="Normal 12 20 4" xfId="25164"/>
    <cellStyle name="Normal 12 20 4 2" xfId="25165"/>
    <cellStyle name="Normal 12 20 5" xfId="25166"/>
    <cellStyle name="Normal 12 20 5 2" xfId="25167"/>
    <cellStyle name="Normal 12 20 6" xfId="25168"/>
    <cellStyle name="Normal 12 20 7" xfId="25169"/>
    <cellStyle name="Normal 12 20 8" xfId="25170"/>
    <cellStyle name="Normal 12 20 9" xfId="25171"/>
    <cellStyle name="Normal 12 21" xfId="25172"/>
    <cellStyle name="Normal 12 21 2" xfId="25173"/>
    <cellStyle name="Normal 12 21 2 2" xfId="25174"/>
    <cellStyle name="Normal 12 21 3" xfId="25175"/>
    <cellStyle name="Normal 12 21 4" xfId="25176"/>
    <cellStyle name="Normal 12 21 5" xfId="25177"/>
    <cellStyle name="Normal 12 22" xfId="25178"/>
    <cellStyle name="Normal 12 22 2" xfId="25179"/>
    <cellStyle name="Normal 12 23" xfId="25180"/>
    <cellStyle name="Normal 12 23 2" xfId="25181"/>
    <cellStyle name="Normal 12 24" xfId="25182"/>
    <cellStyle name="Normal 12 24 2" xfId="25183"/>
    <cellStyle name="Normal 12 25" xfId="25184"/>
    <cellStyle name="Normal 12 25 2" xfId="25185"/>
    <cellStyle name="Normal 12 26" xfId="25186"/>
    <cellStyle name="Normal 12 27" xfId="25187"/>
    <cellStyle name="Normal 12 28" xfId="25188"/>
    <cellStyle name="Normal 12 29" xfId="25189"/>
    <cellStyle name="Normal 12 3" xfId="1012"/>
    <cellStyle name="Normal 12 3 10" xfId="25191"/>
    <cellStyle name="Normal 12 3 10 10" xfId="25192"/>
    <cellStyle name="Normal 12 3 10 11" xfId="25193"/>
    <cellStyle name="Normal 12 3 10 12" xfId="25194"/>
    <cellStyle name="Normal 12 3 10 13" xfId="25195"/>
    <cellStyle name="Normal 12 3 10 14" xfId="25196"/>
    <cellStyle name="Normal 12 3 10 2" xfId="25197"/>
    <cellStyle name="Normal 12 3 10 2 2" xfId="25198"/>
    <cellStyle name="Normal 12 3 10 2 2 2" xfId="25199"/>
    <cellStyle name="Normal 12 3 10 2 3" xfId="25200"/>
    <cellStyle name="Normal 12 3 10 2 3 2" xfId="25201"/>
    <cellStyle name="Normal 12 3 10 2 4" xfId="25202"/>
    <cellStyle name="Normal 12 3 10 2 4 2" xfId="25203"/>
    <cellStyle name="Normal 12 3 10 2 5" xfId="25204"/>
    <cellStyle name="Normal 12 3 10 2 5 2" xfId="25205"/>
    <cellStyle name="Normal 12 3 10 2 6" xfId="25206"/>
    <cellStyle name="Normal 12 3 10 2 7" xfId="25207"/>
    <cellStyle name="Normal 12 3 10 2 8" xfId="25208"/>
    <cellStyle name="Normal 12 3 10 2 9" xfId="25209"/>
    <cellStyle name="Normal 12 3 10 3" xfId="25210"/>
    <cellStyle name="Normal 12 3 10 3 2" xfId="25211"/>
    <cellStyle name="Normal 12 3 10 3 2 2" xfId="25212"/>
    <cellStyle name="Normal 12 3 10 3 3" xfId="25213"/>
    <cellStyle name="Normal 12 3 10 3 4" xfId="25214"/>
    <cellStyle name="Normal 12 3 10 3 5" xfId="25215"/>
    <cellStyle name="Normal 12 3 10 4" xfId="25216"/>
    <cellStyle name="Normal 12 3 10 4 2" xfId="25217"/>
    <cellStyle name="Normal 12 3 10 5" xfId="25218"/>
    <cellStyle name="Normal 12 3 10 5 2" xfId="25219"/>
    <cellStyle name="Normal 12 3 10 6" xfId="25220"/>
    <cellStyle name="Normal 12 3 10 6 2" xfId="25221"/>
    <cellStyle name="Normal 12 3 10 7" xfId="25222"/>
    <cellStyle name="Normal 12 3 10 7 2" xfId="25223"/>
    <cellStyle name="Normal 12 3 10 8" xfId="25224"/>
    <cellStyle name="Normal 12 3 10 9" xfId="25225"/>
    <cellStyle name="Normal 12 3 11" xfId="25226"/>
    <cellStyle name="Normal 12 3 11 2" xfId="25227"/>
    <cellStyle name="Normal 12 3 11 2 2" xfId="25228"/>
    <cellStyle name="Normal 12 3 11 3" xfId="25229"/>
    <cellStyle name="Normal 12 3 11 3 2" xfId="25230"/>
    <cellStyle name="Normal 12 3 11 4" xfId="25231"/>
    <cellStyle name="Normal 12 3 11 4 2" xfId="25232"/>
    <cellStyle name="Normal 12 3 11 5" xfId="25233"/>
    <cellStyle name="Normal 12 3 11 5 2" xfId="25234"/>
    <cellStyle name="Normal 12 3 11 6" xfId="25235"/>
    <cellStyle name="Normal 12 3 11 7" xfId="25236"/>
    <cellStyle name="Normal 12 3 11 8" xfId="25237"/>
    <cellStyle name="Normal 12 3 11 9" xfId="25238"/>
    <cellStyle name="Normal 12 3 12" xfId="25239"/>
    <cellStyle name="Normal 12 3 12 2" xfId="25240"/>
    <cellStyle name="Normal 12 3 12 2 2" xfId="25241"/>
    <cellStyle name="Normal 12 3 12 3" xfId="25242"/>
    <cellStyle name="Normal 12 3 12 4" xfId="25243"/>
    <cellStyle name="Normal 12 3 12 5" xfId="25244"/>
    <cellStyle name="Normal 12 3 13" xfId="25245"/>
    <cellStyle name="Normal 12 3 13 2" xfId="25246"/>
    <cellStyle name="Normal 12 3 14" xfId="25247"/>
    <cellStyle name="Normal 12 3 14 2" xfId="25248"/>
    <cellStyle name="Normal 12 3 15" xfId="25249"/>
    <cellStyle name="Normal 12 3 15 2" xfId="25250"/>
    <cellStyle name="Normal 12 3 16" xfId="25251"/>
    <cellStyle name="Normal 12 3 16 2" xfId="25252"/>
    <cellStyle name="Normal 12 3 17" xfId="25253"/>
    <cellStyle name="Normal 12 3 18" xfId="25254"/>
    <cellStyle name="Normal 12 3 19" xfId="25255"/>
    <cellStyle name="Normal 12 3 2" xfId="25190"/>
    <cellStyle name="Normal 12 3 2 10" xfId="25256"/>
    <cellStyle name="Normal 12 3 2 10 2" xfId="25257"/>
    <cellStyle name="Normal 12 3 2 11" xfId="25258"/>
    <cellStyle name="Normal 12 3 2 11 2" xfId="25259"/>
    <cellStyle name="Normal 12 3 2 12" xfId="25260"/>
    <cellStyle name="Normal 12 3 2 13" xfId="25261"/>
    <cellStyle name="Normal 12 3 2 14" xfId="25262"/>
    <cellStyle name="Normal 12 3 2 15" xfId="25263"/>
    <cellStyle name="Normal 12 3 2 16" xfId="25264"/>
    <cellStyle name="Normal 12 3 2 17" xfId="25265"/>
    <cellStyle name="Normal 12 3 2 18" xfId="25266"/>
    <cellStyle name="Normal 12 3 2 19" xfId="25267"/>
    <cellStyle name="Normal 12 3 2 2" xfId="25268"/>
    <cellStyle name="Normal 12 3 2 2 10" xfId="25269"/>
    <cellStyle name="Normal 12 3 2 2 11" xfId="25270"/>
    <cellStyle name="Normal 12 3 2 2 12" xfId="25271"/>
    <cellStyle name="Normal 12 3 2 2 13" xfId="25272"/>
    <cellStyle name="Normal 12 3 2 2 14" xfId="25273"/>
    <cellStyle name="Normal 12 3 2 2 15" xfId="25274"/>
    <cellStyle name="Normal 12 3 2 2 16" xfId="25275"/>
    <cellStyle name="Normal 12 3 2 2 2" xfId="25276"/>
    <cellStyle name="Normal 12 3 2 2 2 2" xfId="25277"/>
    <cellStyle name="Normal 12 3 2 2 2 2 2" xfId="25278"/>
    <cellStyle name="Normal 12 3 2 2 2 3" xfId="25279"/>
    <cellStyle name="Normal 12 3 2 2 2 3 2" xfId="25280"/>
    <cellStyle name="Normal 12 3 2 2 2 4" xfId="25281"/>
    <cellStyle name="Normal 12 3 2 2 2 4 2" xfId="25282"/>
    <cellStyle name="Normal 12 3 2 2 2 5" xfId="25283"/>
    <cellStyle name="Normal 12 3 2 2 2 5 2" xfId="25284"/>
    <cellStyle name="Normal 12 3 2 2 2 6" xfId="25285"/>
    <cellStyle name="Normal 12 3 2 2 2 7" xfId="25286"/>
    <cellStyle name="Normal 12 3 2 2 2 8" xfId="25287"/>
    <cellStyle name="Normal 12 3 2 2 2 9" xfId="25288"/>
    <cellStyle name="Normal 12 3 2 2 3" xfId="25289"/>
    <cellStyle name="Normal 12 3 2 2 3 2" xfId="25290"/>
    <cellStyle name="Normal 12 3 2 2 3 2 2" xfId="25291"/>
    <cellStyle name="Normal 12 3 2 2 3 3" xfId="25292"/>
    <cellStyle name="Normal 12 3 2 2 3 4" xfId="25293"/>
    <cellStyle name="Normal 12 3 2 2 3 5" xfId="25294"/>
    <cellStyle name="Normal 12 3 2 2 4" xfId="25295"/>
    <cellStyle name="Normal 12 3 2 2 4 2" xfId="25296"/>
    <cellStyle name="Normal 12 3 2 2 5" xfId="25297"/>
    <cellStyle name="Normal 12 3 2 2 5 2" xfId="25298"/>
    <cellStyle name="Normal 12 3 2 2 6" xfId="25299"/>
    <cellStyle name="Normal 12 3 2 2 6 2" xfId="25300"/>
    <cellStyle name="Normal 12 3 2 2 7" xfId="25301"/>
    <cellStyle name="Normal 12 3 2 2 7 2" xfId="25302"/>
    <cellStyle name="Normal 12 3 2 2 8" xfId="25303"/>
    <cellStyle name="Normal 12 3 2 2 9" xfId="25304"/>
    <cellStyle name="Normal 12 3 2 20" xfId="25305"/>
    <cellStyle name="Normal 12 3 2 3" xfId="25306"/>
    <cellStyle name="Normal 12 3 2 3 10" xfId="25307"/>
    <cellStyle name="Normal 12 3 2 3 11" xfId="25308"/>
    <cellStyle name="Normal 12 3 2 3 12" xfId="25309"/>
    <cellStyle name="Normal 12 3 2 3 13" xfId="25310"/>
    <cellStyle name="Normal 12 3 2 3 14" xfId="25311"/>
    <cellStyle name="Normal 12 3 2 3 15" xfId="25312"/>
    <cellStyle name="Normal 12 3 2 3 16" xfId="25313"/>
    <cellStyle name="Normal 12 3 2 3 2" xfId="25314"/>
    <cellStyle name="Normal 12 3 2 3 2 2" xfId="25315"/>
    <cellStyle name="Normal 12 3 2 3 2 2 2" xfId="25316"/>
    <cellStyle name="Normal 12 3 2 3 2 3" xfId="25317"/>
    <cellStyle name="Normal 12 3 2 3 2 3 2" xfId="25318"/>
    <cellStyle name="Normal 12 3 2 3 2 4" xfId="25319"/>
    <cellStyle name="Normal 12 3 2 3 2 4 2" xfId="25320"/>
    <cellStyle name="Normal 12 3 2 3 2 5" xfId="25321"/>
    <cellStyle name="Normal 12 3 2 3 2 5 2" xfId="25322"/>
    <cellStyle name="Normal 12 3 2 3 2 6" xfId="25323"/>
    <cellStyle name="Normal 12 3 2 3 2 7" xfId="25324"/>
    <cellStyle name="Normal 12 3 2 3 2 8" xfId="25325"/>
    <cellStyle name="Normal 12 3 2 3 2 9" xfId="25326"/>
    <cellStyle name="Normal 12 3 2 3 3" xfId="25327"/>
    <cellStyle name="Normal 12 3 2 3 3 2" xfId="25328"/>
    <cellStyle name="Normal 12 3 2 3 3 2 2" xfId="25329"/>
    <cellStyle name="Normal 12 3 2 3 3 3" xfId="25330"/>
    <cellStyle name="Normal 12 3 2 3 3 4" xfId="25331"/>
    <cellStyle name="Normal 12 3 2 3 3 5" xfId="25332"/>
    <cellStyle name="Normal 12 3 2 3 4" xfId="25333"/>
    <cellStyle name="Normal 12 3 2 3 4 2" xfId="25334"/>
    <cellStyle name="Normal 12 3 2 3 5" xfId="25335"/>
    <cellStyle name="Normal 12 3 2 3 5 2" xfId="25336"/>
    <cellStyle name="Normal 12 3 2 3 6" xfId="25337"/>
    <cellStyle name="Normal 12 3 2 3 6 2" xfId="25338"/>
    <cellStyle name="Normal 12 3 2 3 7" xfId="25339"/>
    <cellStyle name="Normal 12 3 2 3 7 2" xfId="25340"/>
    <cellStyle name="Normal 12 3 2 3 8" xfId="25341"/>
    <cellStyle name="Normal 12 3 2 3 9" xfId="25342"/>
    <cellStyle name="Normal 12 3 2 4" xfId="25343"/>
    <cellStyle name="Normal 12 3 2 4 10" xfId="25344"/>
    <cellStyle name="Normal 12 3 2 4 11" xfId="25345"/>
    <cellStyle name="Normal 12 3 2 4 12" xfId="25346"/>
    <cellStyle name="Normal 12 3 2 4 13" xfId="25347"/>
    <cellStyle name="Normal 12 3 2 4 14" xfId="25348"/>
    <cellStyle name="Normal 12 3 2 4 15" xfId="25349"/>
    <cellStyle name="Normal 12 3 2 4 2" xfId="25350"/>
    <cellStyle name="Normal 12 3 2 4 2 2" xfId="25351"/>
    <cellStyle name="Normal 12 3 2 4 2 2 2" xfId="25352"/>
    <cellStyle name="Normal 12 3 2 4 2 3" xfId="25353"/>
    <cellStyle name="Normal 12 3 2 4 2 3 2" xfId="25354"/>
    <cellStyle name="Normal 12 3 2 4 2 4" xfId="25355"/>
    <cellStyle name="Normal 12 3 2 4 2 4 2" xfId="25356"/>
    <cellStyle name="Normal 12 3 2 4 2 5" xfId="25357"/>
    <cellStyle name="Normal 12 3 2 4 2 5 2" xfId="25358"/>
    <cellStyle name="Normal 12 3 2 4 2 6" xfId="25359"/>
    <cellStyle name="Normal 12 3 2 4 2 7" xfId="25360"/>
    <cellStyle name="Normal 12 3 2 4 2 8" xfId="25361"/>
    <cellStyle name="Normal 12 3 2 4 2 9" xfId="25362"/>
    <cellStyle name="Normal 12 3 2 4 3" xfId="25363"/>
    <cellStyle name="Normal 12 3 2 4 3 2" xfId="25364"/>
    <cellStyle name="Normal 12 3 2 4 3 2 2" xfId="25365"/>
    <cellStyle name="Normal 12 3 2 4 3 3" xfId="25366"/>
    <cellStyle name="Normal 12 3 2 4 3 4" xfId="25367"/>
    <cellStyle name="Normal 12 3 2 4 3 5" xfId="25368"/>
    <cellStyle name="Normal 12 3 2 4 4" xfId="25369"/>
    <cellStyle name="Normal 12 3 2 4 4 2" xfId="25370"/>
    <cellStyle name="Normal 12 3 2 4 5" xfId="25371"/>
    <cellStyle name="Normal 12 3 2 4 5 2" xfId="25372"/>
    <cellStyle name="Normal 12 3 2 4 6" xfId="25373"/>
    <cellStyle name="Normal 12 3 2 4 6 2" xfId="25374"/>
    <cellStyle name="Normal 12 3 2 4 7" xfId="25375"/>
    <cellStyle name="Normal 12 3 2 4 7 2" xfId="25376"/>
    <cellStyle name="Normal 12 3 2 4 8" xfId="25377"/>
    <cellStyle name="Normal 12 3 2 4 9" xfId="25378"/>
    <cellStyle name="Normal 12 3 2 5" xfId="25379"/>
    <cellStyle name="Normal 12 3 2 5 10" xfId="25380"/>
    <cellStyle name="Normal 12 3 2 5 11" xfId="25381"/>
    <cellStyle name="Normal 12 3 2 5 12" xfId="25382"/>
    <cellStyle name="Normal 12 3 2 5 13" xfId="25383"/>
    <cellStyle name="Normal 12 3 2 5 14" xfId="25384"/>
    <cellStyle name="Normal 12 3 2 5 2" xfId="25385"/>
    <cellStyle name="Normal 12 3 2 5 2 2" xfId="25386"/>
    <cellStyle name="Normal 12 3 2 5 2 2 2" xfId="25387"/>
    <cellStyle name="Normal 12 3 2 5 2 3" xfId="25388"/>
    <cellStyle name="Normal 12 3 2 5 2 3 2" xfId="25389"/>
    <cellStyle name="Normal 12 3 2 5 2 4" xfId="25390"/>
    <cellStyle name="Normal 12 3 2 5 2 4 2" xfId="25391"/>
    <cellStyle name="Normal 12 3 2 5 2 5" xfId="25392"/>
    <cellStyle name="Normal 12 3 2 5 2 5 2" xfId="25393"/>
    <cellStyle name="Normal 12 3 2 5 2 6" xfId="25394"/>
    <cellStyle name="Normal 12 3 2 5 2 7" xfId="25395"/>
    <cellStyle name="Normal 12 3 2 5 2 8" xfId="25396"/>
    <cellStyle name="Normal 12 3 2 5 2 9" xfId="25397"/>
    <cellStyle name="Normal 12 3 2 5 3" xfId="25398"/>
    <cellStyle name="Normal 12 3 2 5 3 2" xfId="25399"/>
    <cellStyle name="Normal 12 3 2 5 3 2 2" xfId="25400"/>
    <cellStyle name="Normal 12 3 2 5 3 3" xfId="25401"/>
    <cellStyle name="Normal 12 3 2 5 3 4" xfId="25402"/>
    <cellStyle name="Normal 12 3 2 5 3 5" xfId="25403"/>
    <cellStyle name="Normal 12 3 2 5 4" xfId="25404"/>
    <cellStyle name="Normal 12 3 2 5 4 2" xfId="25405"/>
    <cellStyle name="Normal 12 3 2 5 5" xfId="25406"/>
    <cellStyle name="Normal 12 3 2 5 5 2" xfId="25407"/>
    <cellStyle name="Normal 12 3 2 5 6" xfId="25408"/>
    <cellStyle name="Normal 12 3 2 5 6 2" xfId="25409"/>
    <cellStyle name="Normal 12 3 2 5 7" xfId="25410"/>
    <cellStyle name="Normal 12 3 2 5 7 2" xfId="25411"/>
    <cellStyle name="Normal 12 3 2 5 8" xfId="25412"/>
    <cellStyle name="Normal 12 3 2 5 9" xfId="25413"/>
    <cellStyle name="Normal 12 3 2 6" xfId="25414"/>
    <cellStyle name="Normal 12 3 2 6 2" xfId="25415"/>
    <cellStyle name="Normal 12 3 2 6 2 2" xfId="25416"/>
    <cellStyle name="Normal 12 3 2 6 3" xfId="25417"/>
    <cellStyle name="Normal 12 3 2 6 3 2" xfId="25418"/>
    <cellStyle name="Normal 12 3 2 6 4" xfId="25419"/>
    <cellStyle name="Normal 12 3 2 6 4 2" xfId="25420"/>
    <cellStyle name="Normal 12 3 2 6 5" xfId="25421"/>
    <cellStyle name="Normal 12 3 2 6 5 2" xfId="25422"/>
    <cellStyle name="Normal 12 3 2 6 6" xfId="25423"/>
    <cellStyle name="Normal 12 3 2 6 7" xfId="25424"/>
    <cellStyle name="Normal 12 3 2 6 8" xfId="25425"/>
    <cellStyle name="Normal 12 3 2 6 9" xfId="25426"/>
    <cellStyle name="Normal 12 3 2 7" xfId="25427"/>
    <cellStyle name="Normal 12 3 2 7 2" xfId="25428"/>
    <cellStyle name="Normal 12 3 2 7 2 2" xfId="25429"/>
    <cellStyle name="Normal 12 3 2 7 3" xfId="25430"/>
    <cellStyle name="Normal 12 3 2 7 4" xfId="25431"/>
    <cellStyle name="Normal 12 3 2 7 5" xfId="25432"/>
    <cellStyle name="Normal 12 3 2 8" xfId="25433"/>
    <cellStyle name="Normal 12 3 2 8 2" xfId="25434"/>
    <cellStyle name="Normal 12 3 2 9" xfId="25435"/>
    <cellStyle name="Normal 12 3 2 9 2" xfId="25436"/>
    <cellStyle name="Normal 12 3 20" xfId="25437"/>
    <cellStyle name="Normal 12 3 21" xfId="25438"/>
    <cellStyle name="Normal 12 3 22" xfId="25439"/>
    <cellStyle name="Normal 12 3 23" xfId="25440"/>
    <cellStyle name="Normal 12 3 24" xfId="25441"/>
    <cellStyle name="Normal 12 3 25" xfId="25442"/>
    <cellStyle name="Normal 12 3 3" xfId="25443"/>
    <cellStyle name="Normal 12 3 3 10" xfId="25444"/>
    <cellStyle name="Normal 12 3 3 11" xfId="25445"/>
    <cellStyle name="Normal 12 3 3 12" xfId="25446"/>
    <cellStyle name="Normal 12 3 3 13" xfId="25447"/>
    <cellStyle name="Normal 12 3 3 14" xfId="25448"/>
    <cellStyle name="Normal 12 3 3 15" xfId="25449"/>
    <cellStyle name="Normal 12 3 3 16" xfId="25450"/>
    <cellStyle name="Normal 12 3 3 17" xfId="25451"/>
    <cellStyle name="Normal 12 3 3 18" xfId="25452"/>
    <cellStyle name="Normal 12 3 3 2" xfId="25453"/>
    <cellStyle name="Normal 12 3 3 2 10" xfId="25454"/>
    <cellStyle name="Normal 12 3 3 2 11" xfId="25455"/>
    <cellStyle name="Normal 12 3 3 2 12" xfId="25456"/>
    <cellStyle name="Normal 12 3 3 2 13" xfId="25457"/>
    <cellStyle name="Normal 12 3 3 2 2" xfId="25458"/>
    <cellStyle name="Normal 12 3 3 2 2 2" xfId="25459"/>
    <cellStyle name="Normal 12 3 3 2 2 2 2" xfId="25460"/>
    <cellStyle name="Normal 12 3 3 2 2 3" xfId="25461"/>
    <cellStyle name="Normal 12 3 3 2 2 4" xfId="25462"/>
    <cellStyle name="Normal 12 3 3 2 2 5" xfId="25463"/>
    <cellStyle name="Normal 12 3 3 2 3" xfId="25464"/>
    <cellStyle name="Normal 12 3 3 2 3 2" xfId="25465"/>
    <cellStyle name="Normal 12 3 3 2 4" xfId="25466"/>
    <cellStyle name="Normal 12 3 3 2 4 2" xfId="25467"/>
    <cellStyle name="Normal 12 3 3 2 5" xfId="25468"/>
    <cellStyle name="Normal 12 3 3 2 5 2" xfId="25469"/>
    <cellStyle name="Normal 12 3 3 2 6" xfId="25470"/>
    <cellStyle name="Normal 12 3 3 2 6 2" xfId="25471"/>
    <cellStyle name="Normal 12 3 3 2 7" xfId="25472"/>
    <cellStyle name="Normal 12 3 3 2 8" xfId="25473"/>
    <cellStyle name="Normal 12 3 3 2 9" xfId="25474"/>
    <cellStyle name="Normal 12 3 3 3" xfId="25475"/>
    <cellStyle name="Normal 12 3 3 3 2" xfId="25476"/>
    <cellStyle name="Normal 12 3 3 3 2 2" xfId="25477"/>
    <cellStyle name="Normal 12 3 3 3 3" xfId="25478"/>
    <cellStyle name="Normal 12 3 3 3 4" xfId="25479"/>
    <cellStyle name="Normal 12 3 3 3 5" xfId="25480"/>
    <cellStyle name="Normal 12 3 3 4" xfId="25481"/>
    <cellStyle name="Normal 12 3 3 4 2" xfId="25482"/>
    <cellStyle name="Normal 12 3 3 5" xfId="25483"/>
    <cellStyle name="Normal 12 3 3 5 2" xfId="25484"/>
    <cellStyle name="Normal 12 3 3 6" xfId="25485"/>
    <cellStyle name="Normal 12 3 3 6 2" xfId="25486"/>
    <cellStyle name="Normal 12 3 3 7" xfId="25487"/>
    <cellStyle name="Normal 12 3 3 7 2" xfId="25488"/>
    <cellStyle name="Normal 12 3 3 8" xfId="25489"/>
    <cellStyle name="Normal 12 3 3 9" xfId="25490"/>
    <cellStyle name="Normal 12 3 4" xfId="25491"/>
    <cellStyle name="Normal 12 3 4 10" xfId="25492"/>
    <cellStyle name="Normal 12 3 4 11" xfId="25493"/>
    <cellStyle name="Normal 12 3 4 12" xfId="25494"/>
    <cellStyle name="Normal 12 3 4 13" xfId="25495"/>
    <cellStyle name="Normal 12 3 4 14" xfId="25496"/>
    <cellStyle name="Normal 12 3 4 15" xfId="25497"/>
    <cellStyle name="Normal 12 3 4 16" xfId="25498"/>
    <cellStyle name="Normal 12 3 4 17" xfId="25499"/>
    <cellStyle name="Normal 12 3 4 18" xfId="25500"/>
    <cellStyle name="Normal 12 3 4 2" xfId="25501"/>
    <cellStyle name="Normal 12 3 4 2 10" xfId="25502"/>
    <cellStyle name="Normal 12 3 4 2 11" xfId="25503"/>
    <cellStyle name="Normal 12 3 4 2 12" xfId="25504"/>
    <cellStyle name="Normal 12 3 4 2 13" xfId="25505"/>
    <cellStyle name="Normal 12 3 4 2 2" xfId="25506"/>
    <cellStyle name="Normal 12 3 4 2 2 2" xfId="25507"/>
    <cellStyle name="Normal 12 3 4 2 2 2 2" xfId="25508"/>
    <cellStyle name="Normal 12 3 4 2 2 3" xfId="25509"/>
    <cellStyle name="Normal 12 3 4 2 2 4" xfId="25510"/>
    <cellStyle name="Normal 12 3 4 2 2 5" xfId="25511"/>
    <cellStyle name="Normal 12 3 4 2 3" xfId="25512"/>
    <cellStyle name="Normal 12 3 4 2 3 2" xfId="25513"/>
    <cellStyle name="Normal 12 3 4 2 4" xfId="25514"/>
    <cellStyle name="Normal 12 3 4 2 4 2" xfId="25515"/>
    <cellStyle name="Normal 12 3 4 2 5" xfId="25516"/>
    <cellStyle name="Normal 12 3 4 2 5 2" xfId="25517"/>
    <cellStyle name="Normal 12 3 4 2 6" xfId="25518"/>
    <cellStyle name="Normal 12 3 4 2 6 2" xfId="25519"/>
    <cellStyle name="Normal 12 3 4 2 7" xfId="25520"/>
    <cellStyle name="Normal 12 3 4 2 8" xfId="25521"/>
    <cellStyle name="Normal 12 3 4 2 9" xfId="25522"/>
    <cellStyle name="Normal 12 3 4 3" xfId="25523"/>
    <cellStyle name="Normal 12 3 4 3 2" xfId="25524"/>
    <cellStyle name="Normal 12 3 4 3 2 2" xfId="25525"/>
    <cellStyle name="Normal 12 3 4 3 3" xfId="25526"/>
    <cellStyle name="Normal 12 3 4 3 4" xfId="25527"/>
    <cellStyle name="Normal 12 3 4 3 5" xfId="25528"/>
    <cellStyle name="Normal 12 3 4 4" xfId="25529"/>
    <cellStyle name="Normal 12 3 4 4 2" xfId="25530"/>
    <cellStyle name="Normal 12 3 4 5" xfId="25531"/>
    <cellStyle name="Normal 12 3 4 5 2" xfId="25532"/>
    <cellStyle name="Normal 12 3 4 6" xfId="25533"/>
    <cellStyle name="Normal 12 3 4 6 2" xfId="25534"/>
    <cellStyle name="Normal 12 3 4 7" xfId="25535"/>
    <cellStyle name="Normal 12 3 4 7 2" xfId="25536"/>
    <cellStyle name="Normal 12 3 4 8" xfId="25537"/>
    <cellStyle name="Normal 12 3 4 9" xfId="25538"/>
    <cellStyle name="Normal 12 3 5" xfId="25539"/>
    <cellStyle name="Normal 12 3 5 10" xfId="25540"/>
    <cellStyle name="Normal 12 3 5 11" xfId="25541"/>
    <cellStyle name="Normal 12 3 5 12" xfId="25542"/>
    <cellStyle name="Normal 12 3 5 13" xfId="25543"/>
    <cellStyle name="Normal 12 3 5 14" xfId="25544"/>
    <cellStyle name="Normal 12 3 5 15" xfId="25545"/>
    <cellStyle name="Normal 12 3 5 16" xfId="25546"/>
    <cellStyle name="Normal 12 3 5 17" xfId="25547"/>
    <cellStyle name="Normal 12 3 5 18" xfId="25548"/>
    <cellStyle name="Normal 12 3 5 2" xfId="25549"/>
    <cellStyle name="Normal 12 3 5 2 10" xfId="25550"/>
    <cellStyle name="Normal 12 3 5 2 11" xfId="25551"/>
    <cellStyle name="Normal 12 3 5 2 12" xfId="25552"/>
    <cellStyle name="Normal 12 3 5 2 13" xfId="25553"/>
    <cellStyle name="Normal 12 3 5 2 2" xfId="25554"/>
    <cellStyle name="Normal 12 3 5 2 2 2" xfId="25555"/>
    <cellStyle name="Normal 12 3 5 2 2 2 2" xfId="25556"/>
    <cellStyle name="Normal 12 3 5 2 2 3" xfId="25557"/>
    <cellStyle name="Normal 12 3 5 2 2 4" xfId="25558"/>
    <cellStyle name="Normal 12 3 5 2 2 5" xfId="25559"/>
    <cellStyle name="Normal 12 3 5 2 3" xfId="25560"/>
    <cellStyle name="Normal 12 3 5 2 3 2" xfId="25561"/>
    <cellStyle name="Normal 12 3 5 2 4" xfId="25562"/>
    <cellStyle name="Normal 12 3 5 2 4 2" xfId="25563"/>
    <cellStyle name="Normal 12 3 5 2 5" xfId="25564"/>
    <cellStyle name="Normal 12 3 5 2 5 2" xfId="25565"/>
    <cellStyle name="Normal 12 3 5 2 6" xfId="25566"/>
    <cellStyle name="Normal 12 3 5 2 6 2" xfId="25567"/>
    <cellStyle name="Normal 12 3 5 2 7" xfId="25568"/>
    <cellStyle name="Normal 12 3 5 2 8" xfId="25569"/>
    <cellStyle name="Normal 12 3 5 2 9" xfId="25570"/>
    <cellStyle name="Normal 12 3 5 3" xfId="25571"/>
    <cellStyle name="Normal 12 3 5 3 2" xfId="25572"/>
    <cellStyle name="Normal 12 3 5 3 2 2" xfId="25573"/>
    <cellStyle name="Normal 12 3 5 3 3" xfId="25574"/>
    <cellStyle name="Normal 12 3 5 3 4" xfId="25575"/>
    <cellStyle name="Normal 12 3 5 3 5" xfId="25576"/>
    <cellStyle name="Normal 12 3 5 4" xfId="25577"/>
    <cellStyle name="Normal 12 3 5 4 2" xfId="25578"/>
    <cellStyle name="Normal 12 3 5 5" xfId="25579"/>
    <cellStyle name="Normal 12 3 5 5 2" xfId="25580"/>
    <cellStyle name="Normal 12 3 5 6" xfId="25581"/>
    <cellStyle name="Normal 12 3 5 6 2" xfId="25582"/>
    <cellStyle name="Normal 12 3 5 7" xfId="25583"/>
    <cellStyle name="Normal 12 3 5 7 2" xfId="25584"/>
    <cellStyle name="Normal 12 3 5 8" xfId="25585"/>
    <cellStyle name="Normal 12 3 5 9" xfId="25586"/>
    <cellStyle name="Normal 12 3 6" xfId="25587"/>
    <cellStyle name="Normal 12 3 6 10" xfId="25588"/>
    <cellStyle name="Normal 12 3 6 11" xfId="25589"/>
    <cellStyle name="Normal 12 3 6 12" xfId="25590"/>
    <cellStyle name="Normal 12 3 6 13" xfId="25591"/>
    <cellStyle name="Normal 12 3 6 14" xfId="25592"/>
    <cellStyle name="Normal 12 3 6 15" xfId="25593"/>
    <cellStyle name="Normal 12 3 6 16" xfId="25594"/>
    <cellStyle name="Normal 12 3 6 17" xfId="25595"/>
    <cellStyle name="Normal 12 3 6 18" xfId="25596"/>
    <cellStyle name="Normal 12 3 6 2" xfId="25597"/>
    <cellStyle name="Normal 12 3 6 2 10" xfId="25598"/>
    <cellStyle name="Normal 12 3 6 2 11" xfId="25599"/>
    <cellStyle name="Normal 12 3 6 2 12" xfId="25600"/>
    <cellStyle name="Normal 12 3 6 2 13" xfId="25601"/>
    <cellStyle name="Normal 12 3 6 2 2" xfId="25602"/>
    <cellStyle name="Normal 12 3 6 2 2 2" xfId="25603"/>
    <cellStyle name="Normal 12 3 6 2 2 2 2" xfId="25604"/>
    <cellStyle name="Normal 12 3 6 2 2 3" xfId="25605"/>
    <cellStyle name="Normal 12 3 6 2 2 4" xfId="25606"/>
    <cellStyle name="Normal 12 3 6 2 2 5" xfId="25607"/>
    <cellStyle name="Normal 12 3 6 2 3" xfId="25608"/>
    <cellStyle name="Normal 12 3 6 2 3 2" xfId="25609"/>
    <cellStyle name="Normal 12 3 6 2 4" xfId="25610"/>
    <cellStyle name="Normal 12 3 6 2 4 2" xfId="25611"/>
    <cellStyle name="Normal 12 3 6 2 5" xfId="25612"/>
    <cellStyle name="Normal 12 3 6 2 5 2" xfId="25613"/>
    <cellStyle name="Normal 12 3 6 2 6" xfId="25614"/>
    <cellStyle name="Normal 12 3 6 2 6 2" xfId="25615"/>
    <cellStyle name="Normal 12 3 6 2 7" xfId="25616"/>
    <cellStyle name="Normal 12 3 6 2 8" xfId="25617"/>
    <cellStyle name="Normal 12 3 6 2 9" xfId="25618"/>
    <cellStyle name="Normal 12 3 6 3" xfId="25619"/>
    <cellStyle name="Normal 12 3 6 3 2" xfId="25620"/>
    <cellStyle name="Normal 12 3 6 3 2 2" xfId="25621"/>
    <cellStyle name="Normal 12 3 6 3 3" xfId="25622"/>
    <cellStyle name="Normal 12 3 6 3 4" xfId="25623"/>
    <cellStyle name="Normal 12 3 6 3 5" xfId="25624"/>
    <cellStyle name="Normal 12 3 6 4" xfId="25625"/>
    <cellStyle name="Normal 12 3 6 4 2" xfId="25626"/>
    <cellStyle name="Normal 12 3 6 5" xfId="25627"/>
    <cellStyle name="Normal 12 3 6 5 2" xfId="25628"/>
    <cellStyle name="Normal 12 3 6 6" xfId="25629"/>
    <cellStyle name="Normal 12 3 6 6 2" xfId="25630"/>
    <cellStyle name="Normal 12 3 6 7" xfId="25631"/>
    <cellStyle name="Normal 12 3 6 7 2" xfId="25632"/>
    <cellStyle name="Normal 12 3 6 8" xfId="25633"/>
    <cellStyle name="Normal 12 3 6 9" xfId="25634"/>
    <cellStyle name="Normal 12 3 7" xfId="25635"/>
    <cellStyle name="Normal 12 3 7 10" xfId="25636"/>
    <cellStyle name="Normal 12 3 7 11" xfId="25637"/>
    <cellStyle name="Normal 12 3 7 12" xfId="25638"/>
    <cellStyle name="Normal 12 3 7 13" xfId="25639"/>
    <cellStyle name="Normal 12 3 7 14" xfId="25640"/>
    <cellStyle name="Normal 12 3 7 15" xfId="25641"/>
    <cellStyle name="Normal 12 3 7 16" xfId="25642"/>
    <cellStyle name="Normal 12 3 7 17" xfId="25643"/>
    <cellStyle name="Normal 12 3 7 18" xfId="25644"/>
    <cellStyle name="Normal 12 3 7 2" xfId="25645"/>
    <cellStyle name="Normal 12 3 7 2 10" xfId="25646"/>
    <cellStyle name="Normal 12 3 7 2 11" xfId="25647"/>
    <cellStyle name="Normal 12 3 7 2 12" xfId="25648"/>
    <cellStyle name="Normal 12 3 7 2 13" xfId="25649"/>
    <cellStyle name="Normal 12 3 7 2 2" xfId="25650"/>
    <cellStyle name="Normal 12 3 7 2 2 2" xfId="25651"/>
    <cellStyle name="Normal 12 3 7 2 2 2 2" xfId="25652"/>
    <cellStyle name="Normal 12 3 7 2 2 3" xfId="25653"/>
    <cellStyle name="Normal 12 3 7 2 2 4" xfId="25654"/>
    <cellStyle name="Normal 12 3 7 2 2 5" xfId="25655"/>
    <cellStyle name="Normal 12 3 7 2 3" xfId="25656"/>
    <cellStyle name="Normal 12 3 7 2 3 2" xfId="25657"/>
    <cellStyle name="Normal 12 3 7 2 4" xfId="25658"/>
    <cellStyle name="Normal 12 3 7 2 4 2" xfId="25659"/>
    <cellStyle name="Normal 12 3 7 2 5" xfId="25660"/>
    <cellStyle name="Normal 12 3 7 2 5 2" xfId="25661"/>
    <cellStyle name="Normal 12 3 7 2 6" xfId="25662"/>
    <cellStyle name="Normal 12 3 7 2 6 2" xfId="25663"/>
    <cellStyle name="Normal 12 3 7 2 7" xfId="25664"/>
    <cellStyle name="Normal 12 3 7 2 8" xfId="25665"/>
    <cellStyle name="Normal 12 3 7 2 9" xfId="25666"/>
    <cellStyle name="Normal 12 3 7 3" xfId="25667"/>
    <cellStyle name="Normal 12 3 7 3 2" xfId="25668"/>
    <cellStyle name="Normal 12 3 7 3 2 2" xfId="25669"/>
    <cellStyle name="Normal 12 3 7 3 3" xfId="25670"/>
    <cellStyle name="Normal 12 3 7 3 4" xfId="25671"/>
    <cellStyle name="Normal 12 3 7 3 5" xfId="25672"/>
    <cellStyle name="Normal 12 3 7 4" xfId="25673"/>
    <cellStyle name="Normal 12 3 7 4 2" xfId="25674"/>
    <cellStyle name="Normal 12 3 7 5" xfId="25675"/>
    <cellStyle name="Normal 12 3 7 5 2" xfId="25676"/>
    <cellStyle name="Normal 12 3 7 6" xfId="25677"/>
    <cellStyle name="Normal 12 3 7 6 2" xfId="25678"/>
    <cellStyle name="Normal 12 3 7 7" xfId="25679"/>
    <cellStyle name="Normal 12 3 7 7 2" xfId="25680"/>
    <cellStyle name="Normal 12 3 7 8" xfId="25681"/>
    <cellStyle name="Normal 12 3 7 9" xfId="25682"/>
    <cellStyle name="Normal 12 3 8" xfId="25683"/>
    <cellStyle name="Normal 12 3 8 10" xfId="25684"/>
    <cellStyle name="Normal 12 3 8 11" xfId="25685"/>
    <cellStyle name="Normal 12 3 8 12" xfId="25686"/>
    <cellStyle name="Normal 12 3 8 13" xfId="25687"/>
    <cellStyle name="Normal 12 3 8 14" xfId="25688"/>
    <cellStyle name="Normal 12 3 8 15" xfId="25689"/>
    <cellStyle name="Normal 12 3 8 16" xfId="25690"/>
    <cellStyle name="Normal 12 3 8 2" xfId="25691"/>
    <cellStyle name="Normal 12 3 8 2 2" xfId="25692"/>
    <cellStyle name="Normal 12 3 8 2 2 2" xfId="25693"/>
    <cellStyle name="Normal 12 3 8 2 3" xfId="25694"/>
    <cellStyle name="Normal 12 3 8 2 3 2" xfId="25695"/>
    <cellStyle name="Normal 12 3 8 2 4" xfId="25696"/>
    <cellStyle name="Normal 12 3 8 2 4 2" xfId="25697"/>
    <cellStyle name="Normal 12 3 8 2 5" xfId="25698"/>
    <cellStyle name="Normal 12 3 8 2 5 2" xfId="25699"/>
    <cellStyle name="Normal 12 3 8 2 6" xfId="25700"/>
    <cellStyle name="Normal 12 3 8 2 7" xfId="25701"/>
    <cellStyle name="Normal 12 3 8 2 8" xfId="25702"/>
    <cellStyle name="Normal 12 3 8 2 9" xfId="25703"/>
    <cellStyle name="Normal 12 3 8 3" xfId="25704"/>
    <cellStyle name="Normal 12 3 8 3 2" xfId="25705"/>
    <cellStyle name="Normal 12 3 8 3 2 2" xfId="25706"/>
    <cellStyle name="Normal 12 3 8 3 3" xfId="25707"/>
    <cellStyle name="Normal 12 3 8 3 4" xfId="25708"/>
    <cellStyle name="Normal 12 3 8 3 5" xfId="25709"/>
    <cellStyle name="Normal 12 3 8 4" xfId="25710"/>
    <cellStyle name="Normal 12 3 8 4 2" xfId="25711"/>
    <cellStyle name="Normal 12 3 8 5" xfId="25712"/>
    <cellStyle name="Normal 12 3 8 5 2" xfId="25713"/>
    <cellStyle name="Normal 12 3 8 6" xfId="25714"/>
    <cellStyle name="Normal 12 3 8 6 2" xfId="25715"/>
    <cellStyle name="Normal 12 3 8 7" xfId="25716"/>
    <cellStyle name="Normal 12 3 8 7 2" xfId="25717"/>
    <cellStyle name="Normal 12 3 8 8" xfId="25718"/>
    <cellStyle name="Normal 12 3 8 9" xfId="25719"/>
    <cellStyle name="Normal 12 3 9" xfId="25720"/>
    <cellStyle name="Normal 12 3 9 10" xfId="25721"/>
    <cellStyle name="Normal 12 3 9 11" xfId="25722"/>
    <cellStyle name="Normal 12 3 9 12" xfId="25723"/>
    <cellStyle name="Normal 12 3 9 13" xfId="25724"/>
    <cellStyle name="Normal 12 3 9 14" xfId="25725"/>
    <cellStyle name="Normal 12 3 9 15" xfId="25726"/>
    <cellStyle name="Normal 12 3 9 2" xfId="25727"/>
    <cellStyle name="Normal 12 3 9 2 2" xfId="25728"/>
    <cellStyle name="Normal 12 3 9 2 2 2" xfId="25729"/>
    <cellStyle name="Normal 12 3 9 2 3" xfId="25730"/>
    <cellStyle name="Normal 12 3 9 2 3 2" xfId="25731"/>
    <cellStyle name="Normal 12 3 9 2 4" xfId="25732"/>
    <cellStyle name="Normal 12 3 9 2 4 2" xfId="25733"/>
    <cellStyle name="Normal 12 3 9 2 5" xfId="25734"/>
    <cellStyle name="Normal 12 3 9 2 5 2" xfId="25735"/>
    <cellStyle name="Normal 12 3 9 2 6" xfId="25736"/>
    <cellStyle name="Normal 12 3 9 2 7" xfId="25737"/>
    <cellStyle name="Normal 12 3 9 2 8" xfId="25738"/>
    <cellStyle name="Normal 12 3 9 2 9" xfId="25739"/>
    <cellStyle name="Normal 12 3 9 3" xfId="25740"/>
    <cellStyle name="Normal 12 3 9 3 2" xfId="25741"/>
    <cellStyle name="Normal 12 3 9 3 2 2" xfId="25742"/>
    <cellStyle name="Normal 12 3 9 3 3" xfId="25743"/>
    <cellStyle name="Normal 12 3 9 3 4" xfId="25744"/>
    <cellStyle name="Normal 12 3 9 3 5" xfId="25745"/>
    <cellStyle name="Normal 12 3 9 4" xfId="25746"/>
    <cellStyle name="Normal 12 3 9 4 2" xfId="25747"/>
    <cellStyle name="Normal 12 3 9 5" xfId="25748"/>
    <cellStyle name="Normal 12 3 9 5 2" xfId="25749"/>
    <cellStyle name="Normal 12 3 9 6" xfId="25750"/>
    <cellStyle name="Normal 12 3 9 6 2" xfId="25751"/>
    <cellStyle name="Normal 12 3 9 7" xfId="25752"/>
    <cellStyle name="Normal 12 3 9 7 2" xfId="25753"/>
    <cellStyle name="Normal 12 3 9 8" xfId="25754"/>
    <cellStyle name="Normal 12 3 9 9" xfId="25755"/>
    <cellStyle name="Normal 12 30" xfId="25756"/>
    <cellStyle name="Normal 12 31" xfId="25757"/>
    <cellStyle name="Normal 12 32" xfId="25758"/>
    <cellStyle name="Normal 12 33" xfId="25759"/>
    <cellStyle name="Normal 12 34" xfId="25760"/>
    <cellStyle name="Normal 12 35" xfId="25761"/>
    <cellStyle name="Normal 12 36" xfId="25762"/>
    <cellStyle name="Normal 12 37" xfId="25763"/>
    <cellStyle name="Normal 12 38" xfId="25764"/>
    <cellStyle name="Normal 12 39" xfId="25765"/>
    <cellStyle name="Normal 12 4" xfId="1026"/>
    <cellStyle name="Normal 12 4 10" xfId="25766"/>
    <cellStyle name="Normal 12 4 10 10" xfId="25767"/>
    <cellStyle name="Normal 12 4 10 11" xfId="25768"/>
    <cellStyle name="Normal 12 4 10 12" xfId="25769"/>
    <cellStyle name="Normal 12 4 10 13" xfId="25770"/>
    <cellStyle name="Normal 12 4 10 14" xfId="25771"/>
    <cellStyle name="Normal 12 4 10 2" xfId="25772"/>
    <cellStyle name="Normal 12 4 10 2 2" xfId="25773"/>
    <cellStyle name="Normal 12 4 10 2 2 2" xfId="25774"/>
    <cellStyle name="Normal 12 4 10 2 3" xfId="25775"/>
    <cellStyle name="Normal 12 4 10 2 3 2" xfId="25776"/>
    <cellStyle name="Normal 12 4 10 2 4" xfId="25777"/>
    <cellStyle name="Normal 12 4 10 2 4 2" xfId="25778"/>
    <cellStyle name="Normal 12 4 10 2 5" xfId="25779"/>
    <cellStyle name="Normal 12 4 10 2 5 2" xfId="25780"/>
    <cellStyle name="Normal 12 4 10 2 6" xfId="25781"/>
    <cellStyle name="Normal 12 4 10 2 7" xfId="25782"/>
    <cellStyle name="Normal 12 4 10 2 8" xfId="25783"/>
    <cellStyle name="Normal 12 4 10 2 9" xfId="25784"/>
    <cellStyle name="Normal 12 4 10 3" xfId="25785"/>
    <cellStyle name="Normal 12 4 10 3 2" xfId="25786"/>
    <cellStyle name="Normal 12 4 10 3 2 2" xfId="25787"/>
    <cellStyle name="Normal 12 4 10 3 3" xfId="25788"/>
    <cellStyle name="Normal 12 4 10 3 4" xfId="25789"/>
    <cellStyle name="Normal 12 4 10 3 5" xfId="25790"/>
    <cellStyle name="Normal 12 4 10 4" xfId="25791"/>
    <cellStyle name="Normal 12 4 10 4 2" xfId="25792"/>
    <cellStyle name="Normal 12 4 10 5" xfId="25793"/>
    <cellStyle name="Normal 12 4 10 5 2" xfId="25794"/>
    <cellStyle name="Normal 12 4 10 6" xfId="25795"/>
    <cellStyle name="Normal 12 4 10 6 2" xfId="25796"/>
    <cellStyle name="Normal 12 4 10 7" xfId="25797"/>
    <cellStyle name="Normal 12 4 10 7 2" xfId="25798"/>
    <cellStyle name="Normal 12 4 10 8" xfId="25799"/>
    <cellStyle name="Normal 12 4 10 9" xfId="25800"/>
    <cellStyle name="Normal 12 4 11" xfId="25801"/>
    <cellStyle name="Normal 12 4 11 2" xfId="25802"/>
    <cellStyle name="Normal 12 4 11 2 2" xfId="25803"/>
    <cellStyle name="Normal 12 4 11 3" xfId="25804"/>
    <cellStyle name="Normal 12 4 11 3 2" xfId="25805"/>
    <cellStyle name="Normal 12 4 11 4" xfId="25806"/>
    <cellStyle name="Normal 12 4 11 4 2" xfId="25807"/>
    <cellStyle name="Normal 12 4 11 5" xfId="25808"/>
    <cellStyle name="Normal 12 4 11 5 2" xfId="25809"/>
    <cellStyle name="Normal 12 4 11 6" xfId="25810"/>
    <cellStyle name="Normal 12 4 11 7" xfId="25811"/>
    <cellStyle name="Normal 12 4 11 8" xfId="25812"/>
    <cellStyle name="Normal 12 4 11 9" xfId="25813"/>
    <cellStyle name="Normal 12 4 12" xfId="25814"/>
    <cellStyle name="Normal 12 4 12 2" xfId="25815"/>
    <cellStyle name="Normal 12 4 12 2 2" xfId="25816"/>
    <cellStyle name="Normal 12 4 12 3" xfId="25817"/>
    <cellStyle name="Normal 12 4 12 4" xfId="25818"/>
    <cellStyle name="Normal 12 4 12 5" xfId="25819"/>
    <cellStyle name="Normal 12 4 13" xfId="25820"/>
    <cellStyle name="Normal 12 4 13 2" xfId="25821"/>
    <cellStyle name="Normal 12 4 14" xfId="25822"/>
    <cellStyle name="Normal 12 4 14 2" xfId="25823"/>
    <cellStyle name="Normal 12 4 15" xfId="25824"/>
    <cellStyle name="Normal 12 4 15 2" xfId="25825"/>
    <cellStyle name="Normal 12 4 16" xfId="25826"/>
    <cellStyle name="Normal 12 4 16 2" xfId="25827"/>
    <cellStyle name="Normal 12 4 17" xfId="25828"/>
    <cellStyle name="Normal 12 4 18" xfId="25829"/>
    <cellStyle name="Normal 12 4 19" xfId="25830"/>
    <cellStyle name="Normal 12 4 2" xfId="25831"/>
    <cellStyle name="Normal 12 4 2 10" xfId="25832"/>
    <cellStyle name="Normal 12 4 2 10 2" xfId="25833"/>
    <cellStyle name="Normal 12 4 2 11" xfId="25834"/>
    <cellStyle name="Normal 12 4 2 11 2" xfId="25835"/>
    <cellStyle name="Normal 12 4 2 12" xfId="25836"/>
    <cellStyle name="Normal 12 4 2 13" xfId="25837"/>
    <cellStyle name="Normal 12 4 2 14" xfId="25838"/>
    <cellStyle name="Normal 12 4 2 15" xfId="25839"/>
    <cellStyle name="Normal 12 4 2 16" xfId="25840"/>
    <cellStyle name="Normal 12 4 2 17" xfId="25841"/>
    <cellStyle name="Normal 12 4 2 18" xfId="25842"/>
    <cellStyle name="Normal 12 4 2 19" xfId="25843"/>
    <cellStyle name="Normal 12 4 2 2" xfId="25844"/>
    <cellStyle name="Normal 12 4 2 2 10" xfId="25845"/>
    <cellStyle name="Normal 12 4 2 2 11" xfId="25846"/>
    <cellStyle name="Normal 12 4 2 2 12" xfId="25847"/>
    <cellStyle name="Normal 12 4 2 2 13" xfId="25848"/>
    <cellStyle name="Normal 12 4 2 2 14" xfId="25849"/>
    <cellStyle name="Normal 12 4 2 2 15" xfId="25850"/>
    <cellStyle name="Normal 12 4 2 2 16" xfId="25851"/>
    <cellStyle name="Normal 12 4 2 2 2" xfId="25852"/>
    <cellStyle name="Normal 12 4 2 2 2 2" xfId="25853"/>
    <cellStyle name="Normal 12 4 2 2 2 2 2" xfId="25854"/>
    <cellStyle name="Normal 12 4 2 2 2 3" xfId="25855"/>
    <cellStyle name="Normal 12 4 2 2 2 3 2" xfId="25856"/>
    <cellStyle name="Normal 12 4 2 2 2 4" xfId="25857"/>
    <cellStyle name="Normal 12 4 2 2 2 4 2" xfId="25858"/>
    <cellStyle name="Normal 12 4 2 2 2 5" xfId="25859"/>
    <cellStyle name="Normal 12 4 2 2 2 5 2" xfId="25860"/>
    <cellStyle name="Normal 12 4 2 2 2 6" xfId="25861"/>
    <cellStyle name="Normal 12 4 2 2 2 7" xfId="25862"/>
    <cellStyle name="Normal 12 4 2 2 2 8" xfId="25863"/>
    <cellStyle name="Normal 12 4 2 2 2 9" xfId="25864"/>
    <cellStyle name="Normal 12 4 2 2 3" xfId="25865"/>
    <cellStyle name="Normal 12 4 2 2 3 2" xfId="25866"/>
    <cellStyle name="Normal 12 4 2 2 3 2 2" xfId="25867"/>
    <cellStyle name="Normal 12 4 2 2 3 3" xfId="25868"/>
    <cellStyle name="Normal 12 4 2 2 3 4" xfId="25869"/>
    <cellStyle name="Normal 12 4 2 2 3 5" xfId="25870"/>
    <cellStyle name="Normal 12 4 2 2 4" xfId="25871"/>
    <cellStyle name="Normal 12 4 2 2 4 2" xfId="25872"/>
    <cellStyle name="Normal 12 4 2 2 5" xfId="25873"/>
    <cellStyle name="Normal 12 4 2 2 5 2" xfId="25874"/>
    <cellStyle name="Normal 12 4 2 2 6" xfId="25875"/>
    <cellStyle name="Normal 12 4 2 2 6 2" xfId="25876"/>
    <cellStyle name="Normal 12 4 2 2 7" xfId="25877"/>
    <cellStyle name="Normal 12 4 2 2 7 2" xfId="25878"/>
    <cellStyle name="Normal 12 4 2 2 8" xfId="25879"/>
    <cellStyle name="Normal 12 4 2 2 9" xfId="25880"/>
    <cellStyle name="Normal 12 4 2 20" xfId="25881"/>
    <cellStyle name="Normal 12 4 2 3" xfId="25882"/>
    <cellStyle name="Normal 12 4 2 3 10" xfId="25883"/>
    <cellStyle name="Normal 12 4 2 3 11" xfId="25884"/>
    <cellStyle name="Normal 12 4 2 3 12" xfId="25885"/>
    <cellStyle name="Normal 12 4 2 3 13" xfId="25886"/>
    <cellStyle name="Normal 12 4 2 3 14" xfId="25887"/>
    <cellStyle name="Normal 12 4 2 3 15" xfId="25888"/>
    <cellStyle name="Normal 12 4 2 3 16" xfId="25889"/>
    <cellStyle name="Normal 12 4 2 3 2" xfId="25890"/>
    <cellStyle name="Normal 12 4 2 3 2 2" xfId="25891"/>
    <cellStyle name="Normal 12 4 2 3 2 2 2" xfId="25892"/>
    <cellStyle name="Normal 12 4 2 3 2 3" xfId="25893"/>
    <cellStyle name="Normal 12 4 2 3 2 3 2" xfId="25894"/>
    <cellStyle name="Normal 12 4 2 3 2 4" xfId="25895"/>
    <cellStyle name="Normal 12 4 2 3 2 4 2" xfId="25896"/>
    <cellStyle name="Normal 12 4 2 3 2 5" xfId="25897"/>
    <cellStyle name="Normal 12 4 2 3 2 5 2" xfId="25898"/>
    <cellStyle name="Normal 12 4 2 3 2 6" xfId="25899"/>
    <cellStyle name="Normal 12 4 2 3 2 7" xfId="25900"/>
    <cellStyle name="Normal 12 4 2 3 2 8" xfId="25901"/>
    <cellStyle name="Normal 12 4 2 3 2 9" xfId="25902"/>
    <cellStyle name="Normal 12 4 2 3 3" xfId="25903"/>
    <cellStyle name="Normal 12 4 2 3 3 2" xfId="25904"/>
    <cellStyle name="Normal 12 4 2 3 3 2 2" xfId="25905"/>
    <cellStyle name="Normal 12 4 2 3 3 3" xfId="25906"/>
    <cellStyle name="Normal 12 4 2 3 3 4" xfId="25907"/>
    <cellStyle name="Normal 12 4 2 3 3 5" xfId="25908"/>
    <cellStyle name="Normal 12 4 2 3 4" xfId="25909"/>
    <cellStyle name="Normal 12 4 2 3 4 2" xfId="25910"/>
    <cellStyle name="Normal 12 4 2 3 5" xfId="25911"/>
    <cellStyle name="Normal 12 4 2 3 5 2" xfId="25912"/>
    <cellStyle name="Normal 12 4 2 3 6" xfId="25913"/>
    <cellStyle name="Normal 12 4 2 3 6 2" xfId="25914"/>
    <cellStyle name="Normal 12 4 2 3 7" xfId="25915"/>
    <cellStyle name="Normal 12 4 2 3 7 2" xfId="25916"/>
    <cellStyle name="Normal 12 4 2 3 8" xfId="25917"/>
    <cellStyle name="Normal 12 4 2 3 9" xfId="25918"/>
    <cellStyle name="Normal 12 4 2 4" xfId="25919"/>
    <cellStyle name="Normal 12 4 2 4 10" xfId="25920"/>
    <cellStyle name="Normal 12 4 2 4 11" xfId="25921"/>
    <cellStyle name="Normal 12 4 2 4 12" xfId="25922"/>
    <cellStyle name="Normal 12 4 2 4 13" xfId="25923"/>
    <cellStyle name="Normal 12 4 2 4 14" xfId="25924"/>
    <cellStyle name="Normal 12 4 2 4 15" xfId="25925"/>
    <cellStyle name="Normal 12 4 2 4 2" xfId="25926"/>
    <cellStyle name="Normal 12 4 2 4 2 2" xfId="25927"/>
    <cellStyle name="Normal 12 4 2 4 2 2 2" xfId="25928"/>
    <cellStyle name="Normal 12 4 2 4 2 3" xfId="25929"/>
    <cellStyle name="Normal 12 4 2 4 2 3 2" xfId="25930"/>
    <cellStyle name="Normal 12 4 2 4 2 4" xfId="25931"/>
    <cellStyle name="Normal 12 4 2 4 2 4 2" xfId="25932"/>
    <cellStyle name="Normal 12 4 2 4 2 5" xfId="25933"/>
    <cellStyle name="Normal 12 4 2 4 2 5 2" xfId="25934"/>
    <cellStyle name="Normal 12 4 2 4 2 6" xfId="25935"/>
    <cellStyle name="Normal 12 4 2 4 2 7" xfId="25936"/>
    <cellStyle name="Normal 12 4 2 4 2 8" xfId="25937"/>
    <cellStyle name="Normal 12 4 2 4 2 9" xfId="25938"/>
    <cellStyle name="Normal 12 4 2 4 3" xfId="25939"/>
    <cellStyle name="Normal 12 4 2 4 3 2" xfId="25940"/>
    <cellStyle name="Normal 12 4 2 4 3 2 2" xfId="25941"/>
    <cellStyle name="Normal 12 4 2 4 3 3" xfId="25942"/>
    <cellStyle name="Normal 12 4 2 4 3 4" xfId="25943"/>
    <cellStyle name="Normal 12 4 2 4 3 5" xfId="25944"/>
    <cellStyle name="Normal 12 4 2 4 4" xfId="25945"/>
    <cellStyle name="Normal 12 4 2 4 4 2" xfId="25946"/>
    <cellStyle name="Normal 12 4 2 4 5" xfId="25947"/>
    <cellStyle name="Normal 12 4 2 4 5 2" xfId="25948"/>
    <cellStyle name="Normal 12 4 2 4 6" xfId="25949"/>
    <cellStyle name="Normal 12 4 2 4 6 2" xfId="25950"/>
    <cellStyle name="Normal 12 4 2 4 7" xfId="25951"/>
    <cellStyle name="Normal 12 4 2 4 7 2" xfId="25952"/>
    <cellStyle name="Normal 12 4 2 4 8" xfId="25953"/>
    <cellStyle name="Normal 12 4 2 4 9" xfId="25954"/>
    <cellStyle name="Normal 12 4 2 5" xfId="25955"/>
    <cellStyle name="Normal 12 4 2 5 10" xfId="25956"/>
    <cellStyle name="Normal 12 4 2 5 11" xfId="25957"/>
    <cellStyle name="Normal 12 4 2 5 12" xfId="25958"/>
    <cellStyle name="Normal 12 4 2 5 13" xfId="25959"/>
    <cellStyle name="Normal 12 4 2 5 14" xfId="25960"/>
    <cellStyle name="Normal 12 4 2 5 2" xfId="25961"/>
    <cellStyle name="Normal 12 4 2 5 2 2" xfId="25962"/>
    <cellStyle name="Normal 12 4 2 5 2 2 2" xfId="25963"/>
    <cellStyle name="Normal 12 4 2 5 2 3" xfId="25964"/>
    <cellStyle name="Normal 12 4 2 5 2 3 2" xfId="25965"/>
    <cellStyle name="Normal 12 4 2 5 2 4" xfId="25966"/>
    <cellStyle name="Normal 12 4 2 5 2 4 2" xfId="25967"/>
    <cellStyle name="Normal 12 4 2 5 2 5" xfId="25968"/>
    <cellStyle name="Normal 12 4 2 5 2 5 2" xfId="25969"/>
    <cellStyle name="Normal 12 4 2 5 2 6" xfId="25970"/>
    <cellStyle name="Normal 12 4 2 5 2 7" xfId="25971"/>
    <cellStyle name="Normal 12 4 2 5 2 8" xfId="25972"/>
    <cellStyle name="Normal 12 4 2 5 2 9" xfId="25973"/>
    <cellStyle name="Normal 12 4 2 5 3" xfId="25974"/>
    <cellStyle name="Normal 12 4 2 5 3 2" xfId="25975"/>
    <cellStyle name="Normal 12 4 2 5 3 2 2" xfId="25976"/>
    <cellStyle name="Normal 12 4 2 5 3 3" xfId="25977"/>
    <cellStyle name="Normal 12 4 2 5 3 4" xfId="25978"/>
    <cellStyle name="Normal 12 4 2 5 3 5" xfId="25979"/>
    <cellStyle name="Normal 12 4 2 5 4" xfId="25980"/>
    <cellStyle name="Normal 12 4 2 5 4 2" xfId="25981"/>
    <cellStyle name="Normal 12 4 2 5 5" xfId="25982"/>
    <cellStyle name="Normal 12 4 2 5 5 2" xfId="25983"/>
    <cellStyle name="Normal 12 4 2 5 6" xfId="25984"/>
    <cellStyle name="Normal 12 4 2 5 6 2" xfId="25985"/>
    <cellStyle name="Normal 12 4 2 5 7" xfId="25986"/>
    <cellStyle name="Normal 12 4 2 5 7 2" xfId="25987"/>
    <cellStyle name="Normal 12 4 2 5 8" xfId="25988"/>
    <cellStyle name="Normal 12 4 2 5 9" xfId="25989"/>
    <cellStyle name="Normal 12 4 2 6" xfId="25990"/>
    <cellStyle name="Normal 12 4 2 6 2" xfId="25991"/>
    <cellStyle name="Normal 12 4 2 6 2 2" xfId="25992"/>
    <cellStyle name="Normal 12 4 2 6 3" xfId="25993"/>
    <cellStyle name="Normal 12 4 2 6 3 2" xfId="25994"/>
    <cellStyle name="Normal 12 4 2 6 4" xfId="25995"/>
    <cellStyle name="Normal 12 4 2 6 4 2" xfId="25996"/>
    <cellStyle name="Normal 12 4 2 6 5" xfId="25997"/>
    <cellStyle name="Normal 12 4 2 6 5 2" xfId="25998"/>
    <cellStyle name="Normal 12 4 2 6 6" xfId="25999"/>
    <cellStyle name="Normal 12 4 2 6 7" xfId="26000"/>
    <cellStyle name="Normal 12 4 2 6 8" xfId="26001"/>
    <cellStyle name="Normal 12 4 2 6 9" xfId="26002"/>
    <cellStyle name="Normal 12 4 2 7" xfId="26003"/>
    <cellStyle name="Normal 12 4 2 7 2" xfId="26004"/>
    <cellStyle name="Normal 12 4 2 7 2 2" xfId="26005"/>
    <cellStyle name="Normal 12 4 2 7 3" xfId="26006"/>
    <cellStyle name="Normal 12 4 2 7 4" xfId="26007"/>
    <cellStyle name="Normal 12 4 2 7 5" xfId="26008"/>
    <cellStyle name="Normal 12 4 2 8" xfId="26009"/>
    <cellStyle name="Normal 12 4 2 8 2" xfId="26010"/>
    <cellStyle name="Normal 12 4 2 9" xfId="26011"/>
    <cellStyle name="Normal 12 4 2 9 2" xfId="26012"/>
    <cellStyle name="Normal 12 4 20" xfId="26013"/>
    <cellStyle name="Normal 12 4 21" xfId="26014"/>
    <cellStyle name="Normal 12 4 22" xfId="26015"/>
    <cellStyle name="Normal 12 4 23" xfId="26016"/>
    <cellStyle name="Normal 12 4 24" xfId="26017"/>
    <cellStyle name="Normal 12 4 25" xfId="26018"/>
    <cellStyle name="Normal 12 4 3" xfId="26019"/>
    <cellStyle name="Normal 12 4 3 10" xfId="26020"/>
    <cellStyle name="Normal 12 4 3 11" xfId="26021"/>
    <cellStyle name="Normal 12 4 3 12" xfId="26022"/>
    <cellStyle name="Normal 12 4 3 13" xfId="26023"/>
    <cellStyle name="Normal 12 4 3 14" xfId="26024"/>
    <cellStyle name="Normal 12 4 3 15" xfId="26025"/>
    <cellStyle name="Normal 12 4 3 16" xfId="26026"/>
    <cellStyle name="Normal 12 4 3 17" xfId="26027"/>
    <cellStyle name="Normal 12 4 3 18" xfId="26028"/>
    <cellStyle name="Normal 12 4 3 2" xfId="26029"/>
    <cellStyle name="Normal 12 4 3 2 10" xfId="26030"/>
    <cellStyle name="Normal 12 4 3 2 11" xfId="26031"/>
    <cellStyle name="Normal 12 4 3 2 12" xfId="26032"/>
    <cellStyle name="Normal 12 4 3 2 13" xfId="26033"/>
    <cellStyle name="Normal 12 4 3 2 2" xfId="26034"/>
    <cellStyle name="Normal 12 4 3 2 2 2" xfId="26035"/>
    <cellStyle name="Normal 12 4 3 2 2 2 2" xfId="26036"/>
    <cellStyle name="Normal 12 4 3 2 2 3" xfId="26037"/>
    <cellStyle name="Normal 12 4 3 2 2 4" xfId="26038"/>
    <cellStyle name="Normal 12 4 3 2 2 5" xfId="26039"/>
    <cellStyle name="Normal 12 4 3 2 3" xfId="26040"/>
    <cellStyle name="Normal 12 4 3 2 3 2" xfId="26041"/>
    <cellStyle name="Normal 12 4 3 2 4" xfId="26042"/>
    <cellStyle name="Normal 12 4 3 2 4 2" xfId="26043"/>
    <cellStyle name="Normal 12 4 3 2 5" xfId="26044"/>
    <cellStyle name="Normal 12 4 3 2 5 2" xfId="26045"/>
    <cellStyle name="Normal 12 4 3 2 6" xfId="26046"/>
    <cellStyle name="Normal 12 4 3 2 6 2" xfId="26047"/>
    <cellStyle name="Normal 12 4 3 2 7" xfId="26048"/>
    <cellStyle name="Normal 12 4 3 2 8" xfId="26049"/>
    <cellStyle name="Normal 12 4 3 2 9" xfId="26050"/>
    <cellStyle name="Normal 12 4 3 3" xfId="26051"/>
    <cellStyle name="Normal 12 4 3 3 2" xfId="26052"/>
    <cellStyle name="Normal 12 4 3 3 2 2" xfId="26053"/>
    <cellStyle name="Normal 12 4 3 3 3" xfId="26054"/>
    <cellStyle name="Normal 12 4 3 3 4" xfId="26055"/>
    <cellStyle name="Normal 12 4 3 3 5" xfId="26056"/>
    <cellStyle name="Normal 12 4 3 4" xfId="26057"/>
    <cellStyle name="Normal 12 4 3 4 2" xfId="26058"/>
    <cellStyle name="Normal 12 4 3 5" xfId="26059"/>
    <cellStyle name="Normal 12 4 3 5 2" xfId="26060"/>
    <cellStyle name="Normal 12 4 3 6" xfId="26061"/>
    <cellStyle name="Normal 12 4 3 6 2" xfId="26062"/>
    <cellStyle name="Normal 12 4 3 7" xfId="26063"/>
    <cellStyle name="Normal 12 4 3 7 2" xfId="26064"/>
    <cellStyle name="Normal 12 4 3 8" xfId="26065"/>
    <cellStyle name="Normal 12 4 3 9" xfId="26066"/>
    <cellStyle name="Normal 12 4 4" xfId="26067"/>
    <cellStyle name="Normal 12 4 4 10" xfId="26068"/>
    <cellStyle name="Normal 12 4 4 11" xfId="26069"/>
    <cellStyle name="Normal 12 4 4 12" xfId="26070"/>
    <cellStyle name="Normal 12 4 4 13" xfId="26071"/>
    <cellStyle name="Normal 12 4 4 14" xfId="26072"/>
    <cellStyle name="Normal 12 4 4 15" xfId="26073"/>
    <cellStyle name="Normal 12 4 4 16" xfId="26074"/>
    <cellStyle name="Normal 12 4 4 17" xfId="26075"/>
    <cellStyle name="Normal 12 4 4 18" xfId="26076"/>
    <cellStyle name="Normal 12 4 4 2" xfId="26077"/>
    <cellStyle name="Normal 12 4 4 2 10" xfId="26078"/>
    <cellStyle name="Normal 12 4 4 2 11" xfId="26079"/>
    <cellStyle name="Normal 12 4 4 2 12" xfId="26080"/>
    <cellStyle name="Normal 12 4 4 2 13" xfId="26081"/>
    <cellStyle name="Normal 12 4 4 2 2" xfId="26082"/>
    <cellStyle name="Normal 12 4 4 2 2 2" xfId="26083"/>
    <cellStyle name="Normal 12 4 4 2 2 2 2" xfId="26084"/>
    <cellStyle name="Normal 12 4 4 2 2 3" xfId="26085"/>
    <cellStyle name="Normal 12 4 4 2 2 4" xfId="26086"/>
    <cellStyle name="Normal 12 4 4 2 2 5" xfId="26087"/>
    <cellStyle name="Normal 12 4 4 2 3" xfId="26088"/>
    <cellStyle name="Normal 12 4 4 2 3 2" xfId="26089"/>
    <cellStyle name="Normal 12 4 4 2 4" xfId="26090"/>
    <cellStyle name="Normal 12 4 4 2 4 2" xfId="26091"/>
    <cellStyle name="Normal 12 4 4 2 5" xfId="26092"/>
    <cellStyle name="Normal 12 4 4 2 5 2" xfId="26093"/>
    <cellStyle name="Normal 12 4 4 2 6" xfId="26094"/>
    <cellStyle name="Normal 12 4 4 2 6 2" xfId="26095"/>
    <cellStyle name="Normal 12 4 4 2 7" xfId="26096"/>
    <cellStyle name="Normal 12 4 4 2 8" xfId="26097"/>
    <cellStyle name="Normal 12 4 4 2 9" xfId="26098"/>
    <cellStyle name="Normal 12 4 4 3" xfId="26099"/>
    <cellStyle name="Normal 12 4 4 3 2" xfId="26100"/>
    <cellStyle name="Normal 12 4 4 3 2 2" xfId="26101"/>
    <cellStyle name="Normal 12 4 4 3 3" xfId="26102"/>
    <cellStyle name="Normal 12 4 4 3 4" xfId="26103"/>
    <cellStyle name="Normal 12 4 4 3 5" xfId="26104"/>
    <cellStyle name="Normal 12 4 4 4" xfId="26105"/>
    <cellStyle name="Normal 12 4 4 4 2" xfId="26106"/>
    <cellStyle name="Normal 12 4 4 5" xfId="26107"/>
    <cellStyle name="Normal 12 4 4 5 2" xfId="26108"/>
    <cellStyle name="Normal 12 4 4 6" xfId="26109"/>
    <cellStyle name="Normal 12 4 4 6 2" xfId="26110"/>
    <cellStyle name="Normal 12 4 4 7" xfId="26111"/>
    <cellStyle name="Normal 12 4 4 7 2" xfId="26112"/>
    <cellStyle name="Normal 12 4 4 8" xfId="26113"/>
    <cellStyle name="Normal 12 4 4 9" xfId="26114"/>
    <cellStyle name="Normal 12 4 5" xfId="26115"/>
    <cellStyle name="Normal 12 4 5 10" xfId="26116"/>
    <cellStyle name="Normal 12 4 5 11" xfId="26117"/>
    <cellStyle name="Normal 12 4 5 12" xfId="26118"/>
    <cellStyle name="Normal 12 4 5 13" xfId="26119"/>
    <cellStyle name="Normal 12 4 5 14" xfId="26120"/>
    <cellStyle name="Normal 12 4 5 15" xfId="26121"/>
    <cellStyle name="Normal 12 4 5 16" xfId="26122"/>
    <cellStyle name="Normal 12 4 5 17" xfId="26123"/>
    <cellStyle name="Normal 12 4 5 18" xfId="26124"/>
    <cellStyle name="Normal 12 4 5 2" xfId="26125"/>
    <cellStyle name="Normal 12 4 5 2 10" xfId="26126"/>
    <cellStyle name="Normal 12 4 5 2 11" xfId="26127"/>
    <cellStyle name="Normal 12 4 5 2 12" xfId="26128"/>
    <cellStyle name="Normal 12 4 5 2 13" xfId="26129"/>
    <cellStyle name="Normal 12 4 5 2 2" xfId="26130"/>
    <cellStyle name="Normal 12 4 5 2 2 2" xfId="26131"/>
    <cellStyle name="Normal 12 4 5 2 2 2 2" xfId="26132"/>
    <cellStyle name="Normal 12 4 5 2 2 3" xfId="26133"/>
    <cellStyle name="Normal 12 4 5 2 2 4" xfId="26134"/>
    <cellStyle name="Normal 12 4 5 2 2 5" xfId="26135"/>
    <cellStyle name="Normal 12 4 5 2 3" xfId="26136"/>
    <cellStyle name="Normal 12 4 5 2 3 2" xfId="26137"/>
    <cellStyle name="Normal 12 4 5 2 4" xfId="26138"/>
    <cellStyle name="Normal 12 4 5 2 4 2" xfId="26139"/>
    <cellStyle name="Normal 12 4 5 2 5" xfId="26140"/>
    <cellStyle name="Normal 12 4 5 2 5 2" xfId="26141"/>
    <cellStyle name="Normal 12 4 5 2 6" xfId="26142"/>
    <cellStyle name="Normal 12 4 5 2 6 2" xfId="26143"/>
    <cellStyle name="Normal 12 4 5 2 7" xfId="26144"/>
    <cellStyle name="Normal 12 4 5 2 8" xfId="26145"/>
    <cellStyle name="Normal 12 4 5 2 9" xfId="26146"/>
    <cellStyle name="Normal 12 4 5 3" xfId="26147"/>
    <cellStyle name="Normal 12 4 5 3 2" xfId="26148"/>
    <cellStyle name="Normal 12 4 5 3 2 2" xfId="26149"/>
    <cellStyle name="Normal 12 4 5 3 3" xfId="26150"/>
    <cellStyle name="Normal 12 4 5 3 4" xfId="26151"/>
    <cellStyle name="Normal 12 4 5 3 5" xfId="26152"/>
    <cellStyle name="Normal 12 4 5 4" xfId="26153"/>
    <cellStyle name="Normal 12 4 5 4 2" xfId="26154"/>
    <cellStyle name="Normal 12 4 5 5" xfId="26155"/>
    <cellStyle name="Normal 12 4 5 5 2" xfId="26156"/>
    <cellStyle name="Normal 12 4 5 6" xfId="26157"/>
    <cellStyle name="Normal 12 4 5 6 2" xfId="26158"/>
    <cellStyle name="Normal 12 4 5 7" xfId="26159"/>
    <cellStyle name="Normal 12 4 5 7 2" xfId="26160"/>
    <cellStyle name="Normal 12 4 5 8" xfId="26161"/>
    <cellStyle name="Normal 12 4 5 9" xfId="26162"/>
    <cellStyle name="Normal 12 4 6" xfId="26163"/>
    <cellStyle name="Normal 12 4 6 10" xfId="26164"/>
    <cellStyle name="Normal 12 4 6 11" xfId="26165"/>
    <cellStyle name="Normal 12 4 6 12" xfId="26166"/>
    <cellStyle name="Normal 12 4 6 13" xfId="26167"/>
    <cellStyle name="Normal 12 4 6 14" xfId="26168"/>
    <cellStyle name="Normal 12 4 6 15" xfId="26169"/>
    <cellStyle name="Normal 12 4 6 16" xfId="26170"/>
    <cellStyle name="Normal 12 4 6 17" xfId="26171"/>
    <cellStyle name="Normal 12 4 6 18" xfId="26172"/>
    <cellStyle name="Normal 12 4 6 2" xfId="26173"/>
    <cellStyle name="Normal 12 4 6 2 10" xfId="26174"/>
    <cellStyle name="Normal 12 4 6 2 11" xfId="26175"/>
    <cellStyle name="Normal 12 4 6 2 12" xfId="26176"/>
    <cellStyle name="Normal 12 4 6 2 13" xfId="26177"/>
    <cellStyle name="Normal 12 4 6 2 2" xfId="26178"/>
    <cellStyle name="Normal 12 4 6 2 2 2" xfId="26179"/>
    <cellStyle name="Normal 12 4 6 2 2 2 2" xfId="26180"/>
    <cellStyle name="Normal 12 4 6 2 2 3" xfId="26181"/>
    <cellStyle name="Normal 12 4 6 2 2 4" xfId="26182"/>
    <cellStyle name="Normal 12 4 6 2 2 5" xfId="26183"/>
    <cellStyle name="Normal 12 4 6 2 3" xfId="26184"/>
    <cellStyle name="Normal 12 4 6 2 3 2" xfId="26185"/>
    <cellStyle name="Normal 12 4 6 2 4" xfId="26186"/>
    <cellStyle name="Normal 12 4 6 2 4 2" xfId="26187"/>
    <cellStyle name="Normal 12 4 6 2 5" xfId="26188"/>
    <cellStyle name="Normal 12 4 6 2 5 2" xfId="26189"/>
    <cellStyle name="Normal 12 4 6 2 6" xfId="26190"/>
    <cellStyle name="Normal 12 4 6 2 6 2" xfId="26191"/>
    <cellStyle name="Normal 12 4 6 2 7" xfId="26192"/>
    <cellStyle name="Normal 12 4 6 2 8" xfId="26193"/>
    <cellStyle name="Normal 12 4 6 2 9" xfId="26194"/>
    <cellStyle name="Normal 12 4 6 3" xfId="26195"/>
    <cellStyle name="Normal 12 4 6 3 2" xfId="26196"/>
    <cellStyle name="Normal 12 4 6 3 2 2" xfId="26197"/>
    <cellStyle name="Normal 12 4 6 3 3" xfId="26198"/>
    <cellStyle name="Normal 12 4 6 3 4" xfId="26199"/>
    <cellStyle name="Normal 12 4 6 3 5" xfId="26200"/>
    <cellStyle name="Normal 12 4 6 4" xfId="26201"/>
    <cellStyle name="Normal 12 4 6 4 2" xfId="26202"/>
    <cellStyle name="Normal 12 4 6 5" xfId="26203"/>
    <cellStyle name="Normal 12 4 6 5 2" xfId="26204"/>
    <cellStyle name="Normal 12 4 6 6" xfId="26205"/>
    <cellStyle name="Normal 12 4 6 6 2" xfId="26206"/>
    <cellStyle name="Normal 12 4 6 7" xfId="26207"/>
    <cellStyle name="Normal 12 4 6 7 2" xfId="26208"/>
    <cellStyle name="Normal 12 4 6 8" xfId="26209"/>
    <cellStyle name="Normal 12 4 6 9" xfId="26210"/>
    <cellStyle name="Normal 12 4 7" xfId="26211"/>
    <cellStyle name="Normal 12 4 7 10" xfId="26212"/>
    <cellStyle name="Normal 12 4 7 11" xfId="26213"/>
    <cellStyle name="Normal 12 4 7 12" xfId="26214"/>
    <cellStyle name="Normal 12 4 7 13" xfId="26215"/>
    <cellStyle name="Normal 12 4 7 14" xfId="26216"/>
    <cellStyle name="Normal 12 4 7 15" xfId="26217"/>
    <cellStyle name="Normal 12 4 7 16" xfId="26218"/>
    <cellStyle name="Normal 12 4 7 17" xfId="26219"/>
    <cellStyle name="Normal 12 4 7 18" xfId="26220"/>
    <cellStyle name="Normal 12 4 7 2" xfId="26221"/>
    <cellStyle name="Normal 12 4 7 2 10" xfId="26222"/>
    <cellStyle name="Normal 12 4 7 2 11" xfId="26223"/>
    <cellStyle name="Normal 12 4 7 2 12" xfId="26224"/>
    <cellStyle name="Normal 12 4 7 2 13" xfId="26225"/>
    <cellStyle name="Normal 12 4 7 2 2" xfId="26226"/>
    <cellStyle name="Normal 12 4 7 2 2 2" xfId="26227"/>
    <cellStyle name="Normal 12 4 7 2 2 2 2" xfId="26228"/>
    <cellStyle name="Normal 12 4 7 2 2 3" xfId="26229"/>
    <cellStyle name="Normal 12 4 7 2 2 4" xfId="26230"/>
    <cellStyle name="Normal 12 4 7 2 2 5" xfId="26231"/>
    <cellStyle name="Normal 12 4 7 2 3" xfId="26232"/>
    <cellStyle name="Normal 12 4 7 2 3 2" xfId="26233"/>
    <cellStyle name="Normal 12 4 7 2 4" xfId="26234"/>
    <cellStyle name="Normal 12 4 7 2 4 2" xfId="26235"/>
    <cellStyle name="Normal 12 4 7 2 5" xfId="26236"/>
    <cellStyle name="Normal 12 4 7 2 5 2" xfId="26237"/>
    <cellStyle name="Normal 12 4 7 2 6" xfId="26238"/>
    <cellStyle name="Normal 12 4 7 2 6 2" xfId="26239"/>
    <cellStyle name="Normal 12 4 7 2 7" xfId="26240"/>
    <cellStyle name="Normal 12 4 7 2 8" xfId="26241"/>
    <cellStyle name="Normal 12 4 7 2 9" xfId="26242"/>
    <cellStyle name="Normal 12 4 7 3" xfId="26243"/>
    <cellStyle name="Normal 12 4 7 3 2" xfId="26244"/>
    <cellStyle name="Normal 12 4 7 3 2 2" xfId="26245"/>
    <cellStyle name="Normal 12 4 7 3 3" xfId="26246"/>
    <cellStyle name="Normal 12 4 7 3 4" xfId="26247"/>
    <cellStyle name="Normal 12 4 7 3 5" xfId="26248"/>
    <cellStyle name="Normal 12 4 7 4" xfId="26249"/>
    <cellStyle name="Normal 12 4 7 4 2" xfId="26250"/>
    <cellStyle name="Normal 12 4 7 5" xfId="26251"/>
    <cellStyle name="Normal 12 4 7 5 2" xfId="26252"/>
    <cellStyle name="Normal 12 4 7 6" xfId="26253"/>
    <cellStyle name="Normal 12 4 7 6 2" xfId="26254"/>
    <cellStyle name="Normal 12 4 7 7" xfId="26255"/>
    <cellStyle name="Normal 12 4 7 7 2" xfId="26256"/>
    <cellStyle name="Normal 12 4 7 8" xfId="26257"/>
    <cellStyle name="Normal 12 4 7 9" xfId="26258"/>
    <cellStyle name="Normal 12 4 8" xfId="26259"/>
    <cellStyle name="Normal 12 4 8 10" xfId="26260"/>
    <cellStyle name="Normal 12 4 8 11" xfId="26261"/>
    <cellStyle name="Normal 12 4 8 12" xfId="26262"/>
    <cellStyle name="Normal 12 4 8 13" xfId="26263"/>
    <cellStyle name="Normal 12 4 8 14" xfId="26264"/>
    <cellStyle name="Normal 12 4 8 15" xfId="26265"/>
    <cellStyle name="Normal 12 4 8 16" xfId="26266"/>
    <cellStyle name="Normal 12 4 8 2" xfId="26267"/>
    <cellStyle name="Normal 12 4 8 2 2" xfId="26268"/>
    <cellStyle name="Normal 12 4 8 2 2 2" xfId="26269"/>
    <cellStyle name="Normal 12 4 8 2 3" xfId="26270"/>
    <cellStyle name="Normal 12 4 8 2 3 2" xfId="26271"/>
    <cellStyle name="Normal 12 4 8 2 4" xfId="26272"/>
    <cellStyle name="Normal 12 4 8 2 4 2" xfId="26273"/>
    <cellStyle name="Normal 12 4 8 2 5" xfId="26274"/>
    <cellStyle name="Normal 12 4 8 2 5 2" xfId="26275"/>
    <cellStyle name="Normal 12 4 8 2 6" xfId="26276"/>
    <cellStyle name="Normal 12 4 8 2 7" xfId="26277"/>
    <cellStyle name="Normal 12 4 8 2 8" xfId="26278"/>
    <cellStyle name="Normal 12 4 8 2 9" xfId="26279"/>
    <cellStyle name="Normal 12 4 8 3" xfId="26280"/>
    <cellStyle name="Normal 12 4 8 3 2" xfId="26281"/>
    <cellStyle name="Normal 12 4 8 3 2 2" xfId="26282"/>
    <cellStyle name="Normal 12 4 8 3 3" xfId="26283"/>
    <cellStyle name="Normal 12 4 8 3 4" xfId="26284"/>
    <cellStyle name="Normal 12 4 8 3 5" xfId="26285"/>
    <cellStyle name="Normal 12 4 8 4" xfId="26286"/>
    <cellStyle name="Normal 12 4 8 4 2" xfId="26287"/>
    <cellStyle name="Normal 12 4 8 5" xfId="26288"/>
    <cellStyle name="Normal 12 4 8 5 2" xfId="26289"/>
    <cellStyle name="Normal 12 4 8 6" xfId="26290"/>
    <cellStyle name="Normal 12 4 8 6 2" xfId="26291"/>
    <cellStyle name="Normal 12 4 8 7" xfId="26292"/>
    <cellStyle name="Normal 12 4 8 7 2" xfId="26293"/>
    <cellStyle name="Normal 12 4 8 8" xfId="26294"/>
    <cellStyle name="Normal 12 4 8 9" xfId="26295"/>
    <cellStyle name="Normal 12 4 9" xfId="26296"/>
    <cellStyle name="Normal 12 4 9 10" xfId="26297"/>
    <cellStyle name="Normal 12 4 9 11" xfId="26298"/>
    <cellStyle name="Normal 12 4 9 12" xfId="26299"/>
    <cellStyle name="Normal 12 4 9 13" xfId="26300"/>
    <cellStyle name="Normal 12 4 9 14" xfId="26301"/>
    <cellStyle name="Normal 12 4 9 15" xfId="26302"/>
    <cellStyle name="Normal 12 4 9 2" xfId="26303"/>
    <cellStyle name="Normal 12 4 9 2 2" xfId="26304"/>
    <cellStyle name="Normal 12 4 9 2 2 2" xfId="26305"/>
    <cellStyle name="Normal 12 4 9 2 3" xfId="26306"/>
    <cellStyle name="Normal 12 4 9 2 3 2" xfId="26307"/>
    <cellStyle name="Normal 12 4 9 2 4" xfId="26308"/>
    <cellStyle name="Normal 12 4 9 2 4 2" xfId="26309"/>
    <cellStyle name="Normal 12 4 9 2 5" xfId="26310"/>
    <cellStyle name="Normal 12 4 9 2 5 2" xfId="26311"/>
    <cellStyle name="Normal 12 4 9 2 6" xfId="26312"/>
    <cellStyle name="Normal 12 4 9 2 7" xfId="26313"/>
    <cellStyle name="Normal 12 4 9 2 8" xfId="26314"/>
    <cellStyle name="Normal 12 4 9 2 9" xfId="26315"/>
    <cellStyle name="Normal 12 4 9 3" xfId="26316"/>
    <cellStyle name="Normal 12 4 9 3 2" xfId="26317"/>
    <cellStyle name="Normal 12 4 9 3 2 2" xfId="26318"/>
    <cellStyle name="Normal 12 4 9 3 3" xfId="26319"/>
    <cellStyle name="Normal 12 4 9 3 4" xfId="26320"/>
    <cellStyle name="Normal 12 4 9 3 5" xfId="26321"/>
    <cellStyle name="Normal 12 4 9 4" xfId="26322"/>
    <cellStyle name="Normal 12 4 9 4 2" xfId="26323"/>
    <cellStyle name="Normal 12 4 9 5" xfId="26324"/>
    <cellStyle name="Normal 12 4 9 5 2" xfId="26325"/>
    <cellStyle name="Normal 12 4 9 6" xfId="26326"/>
    <cellStyle name="Normal 12 4 9 6 2" xfId="26327"/>
    <cellStyle name="Normal 12 4 9 7" xfId="26328"/>
    <cellStyle name="Normal 12 4 9 7 2" xfId="26329"/>
    <cellStyle name="Normal 12 4 9 8" xfId="26330"/>
    <cellStyle name="Normal 12 4 9 9" xfId="26331"/>
    <cellStyle name="Normal 12 5" xfId="23766"/>
    <cellStyle name="Normal 12 5 10" xfId="26332"/>
    <cellStyle name="Normal 12 5 10 10" xfId="26333"/>
    <cellStyle name="Normal 12 5 10 11" xfId="26334"/>
    <cellStyle name="Normal 12 5 10 12" xfId="26335"/>
    <cellStyle name="Normal 12 5 10 13" xfId="26336"/>
    <cellStyle name="Normal 12 5 10 14" xfId="26337"/>
    <cellStyle name="Normal 12 5 10 2" xfId="26338"/>
    <cellStyle name="Normal 12 5 10 2 2" xfId="26339"/>
    <cellStyle name="Normal 12 5 10 2 2 2" xfId="26340"/>
    <cellStyle name="Normal 12 5 10 2 3" xfId="26341"/>
    <cellStyle name="Normal 12 5 10 2 3 2" xfId="26342"/>
    <cellStyle name="Normal 12 5 10 2 4" xfId="26343"/>
    <cellStyle name="Normal 12 5 10 2 4 2" xfId="26344"/>
    <cellStyle name="Normal 12 5 10 2 5" xfId="26345"/>
    <cellStyle name="Normal 12 5 10 2 5 2" xfId="26346"/>
    <cellStyle name="Normal 12 5 10 2 6" xfId="26347"/>
    <cellStyle name="Normal 12 5 10 2 7" xfId="26348"/>
    <cellStyle name="Normal 12 5 10 2 8" xfId="26349"/>
    <cellStyle name="Normal 12 5 10 2 9" xfId="26350"/>
    <cellStyle name="Normal 12 5 10 3" xfId="26351"/>
    <cellStyle name="Normal 12 5 10 3 2" xfId="26352"/>
    <cellStyle name="Normal 12 5 10 3 2 2" xfId="26353"/>
    <cellStyle name="Normal 12 5 10 3 3" xfId="26354"/>
    <cellStyle name="Normal 12 5 10 3 4" xfId="26355"/>
    <cellStyle name="Normal 12 5 10 3 5" xfId="26356"/>
    <cellStyle name="Normal 12 5 10 4" xfId="26357"/>
    <cellStyle name="Normal 12 5 10 4 2" xfId="26358"/>
    <cellStyle name="Normal 12 5 10 5" xfId="26359"/>
    <cellStyle name="Normal 12 5 10 5 2" xfId="26360"/>
    <cellStyle name="Normal 12 5 10 6" xfId="26361"/>
    <cellStyle name="Normal 12 5 10 6 2" xfId="26362"/>
    <cellStyle name="Normal 12 5 10 7" xfId="26363"/>
    <cellStyle name="Normal 12 5 10 7 2" xfId="26364"/>
    <cellStyle name="Normal 12 5 10 8" xfId="26365"/>
    <cellStyle name="Normal 12 5 10 9" xfId="26366"/>
    <cellStyle name="Normal 12 5 11" xfId="26367"/>
    <cellStyle name="Normal 12 5 11 2" xfId="26368"/>
    <cellStyle name="Normal 12 5 11 2 2" xfId="26369"/>
    <cellStyle name="Normal 12 5 11 3" xfId="26370"/>
    <cellStyle name="Normal 12 5 11 3 2" xfId="26371"/>
    <cellStyle name="Normal 12 5 11 4" xfId="26372"/>
    <cellStyle name="Normal 12 5 11 4 2" xfId="26373"/>
    <cellStyle name="Normal 12 5 11 5" xfId="26374"/>
    <cellStyle name="Normal 12 5 11 5 2" xfId="26375"/>
    <cellStyle name="Normal 12 5 11 6" xfId="26376"/>
    <cellStyle name="Normal 12 5 11 7" xfId="26377"/>
    <cellStyle name="Normal 12 5 11 8" xfId="26378"/>
    <cellStyle name="Normal 12 5 11 9" xfId="26379"/>
    <cellStyle name="Normal 12 5 12" xfId="26380"/>
    <cellStyle name="Normal 12 5 12 2" xfId="26381"/>
    <cellStyle name="Normal 12 5 12 2 2" xfId="26382"/>
    <cellStyle name="Normal 12 5 12 3" xfId="26383"/>
    <cellStyle name="Normal 12 5 12 4" xfId="26384"/>
    <cellStyle name="Normal 12 5 12 5" xfId="26385"/>
    <cellStyle name="Normal 12 5 13" xfId="26386"/>
    <cellStyle name="Normal 12 5 13 2" xfId="26387"/>
    <cellStyle name="Normal 12 5 14" xfId="26388"/>
    <cellStyle name="Normal 12 5 14 2" xfId="26389"/>
    <cellStyle name="Normal 12 5 15" xfId="26390"/>
    <cellStyle name="Normal 12 5 15 2" xfId="26391"/>
    <cellStyle name="Normal 12 5 16" xfId="26392"/>
    <cellStyle name="Normal 12 5 16 2" xfId="26393"/>
    <cellStyle name="Normal 12 5 17" xfId="26394"/>
    <cellStyle name="Normal 12 5 18" xfId="26395"/>
    <cellStyle name="Normal 12 5 19" xfId="26396"/>
    <cellStyle name="Normal 12 5 2" xfId="26397"/>
    <cellStyle name="Normal 12 5 2 10" xfId="26398"/>
    <cellStyle name="Normal 12 5 2 10 2" xfId="26399"/>
    <cellStyle name="Normal 12 5 2 11" xfId="26400"/>
    <cellStyle name="Normal 12 5 2 11 2" xfId="26401"/>
    <cellStyle name="Normal 12 5 2 12" xfId="26402"/>
    <cellStyle name="Normal 12 5 2 13" xfId="26403"/>
    <cellStyle name="Normal 12 5 2 14" xfId="26404"/>
    <cellStyle name="Normal 12 5 2 15" xfId="26405"/>
    <cellStyle name="Normal 12 5 2 16" xfId="26406"/>
    <cellStyle name="Normal 12 5 2 17" xfId="26407"/>
    <cellStyle name="Normal 12 5 2 18" xfId="26408"/>
    <cellStyle name="Normal 12 5 2 19" xfId="26409"/>
    <cellStyle name="Normal 12 5 2 2" xfId="26410"/>
    <cellStyle name="Normal 12 5 2 2 10" xfId="26411"/>
    <cellStyle name="Normal 12 5 2 2 11" xfId="26412"/>
    <cellStyle name="Normal 12 5 2 2 12" xfId="26413"/>
    <cellStyle name="Normal 12 5 2 2 13" xfId="26414"/>
    <cellStyle name="Normal 12 5 2 2 14" xfId="26415"/>
    <cellStyle name="Normal 12 5 2 2 15" xfId="26416"/>
    <cellStyle name="Normal 12 5 2 2 16" xfId="26417"/>
    <cellStyle name="Normal 12 5 2 2 2" xfId="26418"/>
    <cellStyle name="Normal 12 5 2 2 2 2" xfId="26419"/>
    <cellStyle name="Normal 12 5 2 2 2 2 2" xfId="26420"/>
    <cellStyle name="Normal 12 5 2 2 2 3" xfId="26421"/>
    <cellStyle name="Normal 12 5 2 2 2 3 2" xfId="26422"/>
    <cellStyle name="Normal 12 5 2 2 2 4" xfId="26423"/>
    <cellStyle name="Normal 12 5 2 2 2 4 2" xfId="26424"/>
    <cellStyle name="Normal 12 5 2 2 2 5" xfId="26425"/>
    <cellStyle name="Normal 12 5 2 2 2 5 2" xfId="26426"/>
    <cellStyle name="Normal 12 5 2 2 2 6" xfId="26427"/>
    <cellStyle name="Normal 12 5 2 2 2 7" xfId="26428"/>
    <cellStyle name="Normal 12 5 2 2 2 8" xfId="26429"/>
    <cellStyle name="Normal 12 5 2 2 2 9" xfId="26430"/>
    <cellStyle name="Normal 12 5 2 2 3" xfId="26431"/>
    <cellStyle name="Normal 12 5 2 2 3 2" xfId="26432"/>
    <cellStyle name="Normal 12 5 2 2 3 2 2" xfId="26433"/>
    <cellStyle name="Normal 12 5 2 2 3 3" xfId="26434"/>
    <cellStyle name="Normal 12 5 2 2 3 4" xfId="26435"/>
    <cellStyle name="Normal 12 5 2 2 3 5" xfId="26436"/>
    <cellStyle name="Normal 12 5 2 2 4" xfId="26437"/>
    <cellStyle name="Normal 12 5 2 2 4 2" xfId="26438"/>
    <cellStyle name="Normal 12 5 2 2 5" xfId="26439"/>
    <cellStyle name="Normal 12 5 2 2 5 2" xfId="26440"/>
    <cellStyle name="Normal 12 5 2 2 6" xfId="26441"/>
    <cellStyle name="Normal 12 5 2 2 6 2" xfId="26442"/>
    <cellStyle name="Normal 12 5 2 2 7" xfId="26443"/>
    <cellStyle name="Normal 12 5 2 2 7 2" xfId="26444"/>
    <cellStyle name="Normal 12 5 2 2 8" xfId="26445"/>
    <cellStyle name="Normal 12 5 2 2 9" xfId="26446"/>
    <cellStyle name="Normal 12 5 2 20" xfId="26447"/>
    <cellStyle name="Normal 12 5 2 3" xfId="26448"/>
    <cellStyle name="Normal 12 5 2 3 10" xfId="26449"/>
    <cellStyle name="Normal 12 5 2 3 11" xfId="26450"/>
    <cellStyle name="Normal 12 5 2 3 12" xfId="26451"/>
    <cellStyle name="Normal 12 5 2 3 13" xfId="26452"/>
    <cellStyle name="Normal 12 5 2 3 14" xfId="26453"/>
    <cellStyle name="Normal 12 5 2 3 15" xfId="26454"/>
    <cellStyle name="Normal 12 5 2 3 16" xfId="26455"/>
    <cellStyle name="Normal 12 5 2 3 2" xfId="26456"/>
    <cellStyle name="Normal 12 5 2 3 2 2" xfId="26457"/>
    <cellStyle name="Normal 12 5 2 3 2 2 2" xfId="26458"/>
    <cellStyle name="Normal 12 5 2 3 2 3" xfId="26459"/>
    <cellStyle name="Normal 12 5 2 3 2 3 2" xfId="26460"/>
    <cellStyle name="Normal 12 5 2 3 2 4" xfId="26461"/>
    <cellStyle name="Normal 12 5 2 3 2 4 2" xfId="26462"/>
    <cellStyle name="Normal 12 5 2 3 2 5" xfId="26463"/>
    <cellStyle name="Normal 12 5 2 3 2 5 2" xfId="26464"/>
    <cellStyle name="Normal 12 5 2 3 2 6" xfId="26465"/>
    <cellStyle name="Normal 12 5 2 3 2 7" xfId="26466"/>
    <cellStyle name="Normal 12 5 2 3 2 8" xfId="26467"/>
    <cellStyle name="Normal 12 5 2 3 2 9" xfId="26468"/>
    <cellStyle name="Normal 12 5 2 3 3" xfId="26469"/>
    <cellStyle name="Normal 12 5 2 3 3 2" xfId="26470"/>
    <cellStyle name="Normal 12 5 2 3 3 2 2" xfId="26471"/>
    <cellStyle name="Normal 12 5 2 3 3 3" xfId="26472"/>
    <cellStyle name="Normal 12 5 2 3 3 4" xfId="26473"/>
    <cellStyle name="Normal 12 5 2 3 3 5" xfId="26474"/>
    <cellStyle name="Normal 12 5 2 3 4" xfId="26475"/>
    <cellStyle name="Normal 12 5 2 3 4 2" xfId="26476"/>
    <cellStyle name="Normal 12 5 2 3 5" xfId="26477"/>
    <cellStyle name="Normal 12 5 2 3 5 2" xfId="26478"/>
    <cellStyle name="Normal 12 5 2 3 6" xfId="26479"/>
    <cellStyle name="Normal 12 5 2 3 6 2" xfId="26480"/>
    <cellStyle name="Normal 12 5 2 3 7" xfId="26481"/>
    <cellStyle name="Normal 12 5 2 3 7 2" xfId="26482"/>
    <cellStyle name="Normal 12 5 2 3 8" xfId="26483"/>
    <cellStyle name="Normal 12 5 2 3 9" xfId="26484"/>
    <cellStyle name="Normal 12 5 2 4" xfId="26485"/>
    <cellStyle name="Normal 12 5 2 4 10" xfId="26486"/>
    <cellStyle name="Normal 12 5 2 4 11" xfId="26487"/>
    <cellStyle name="Normal 12 5 2 4 12" xfId="26488"/>
    <cellStyle name="Normal 12 5 2 4 13" xfId="26489"/>
    <cellStyle name="Normal 12 5 2 4 14" xfId="26490"/>
    <cellStyle name="Normal 12 5 2 4 15" xfId="26491"/>
    <cellStyle name="Normal 12 5 2 4 2" xfId="26492"/>
    <cellStyle name="Normal 12 5 2 4 2 2" xfId="26493"/>
    <cellStyle name="Normal 12 5 2 4 2 2 2" xfId="26494"/>
    <cellStyle name="Normal 12 5 2 4 2 3" xfId="26495"/>
    <cellStyle name="Normal 12 5 2 4 2 3 2" xfId="26496"/>
    <cellStyle name="Normal 12 5 2 4 2 4" xfId="26497"/>
    <cellStyle name="Normal 12 5 2 4 2 4 2" xfId="26498"/>
    <cellStyle name="Normal 12 5 2 4 2 5" xfId="26499"/>
    <cellStyle name="Normal 12 5 2 4 2 5 2" xfId="26500"/>
    <cellStyle name="Normal 12 5 2 4 2 6" xfId="26501"/>
    <cellStyle name="Normal 12 5 2 4 2 7" xfId="26502"/>
    <cellStyle name="Normal 12 5 2 4 2 8" xfId="26503"/>
    <cellStyle name="Normal 12 5 2 4 2 9" xfId="26504"/>
    <cellStyle name="Normal 12 5 2 4 3" xfId="26505"/>
    <cellStyle name="Normal 12 5 2 4 3 2" xfId="26506"/>
    <cellStyle name="Normal 12 5 2 4 3 2 2" xfId="26507"/>
    <cellStyle name="Normal 12 5 2 4 3 3" xfId="26508"/>
    <cellStyle name="Normal 12 5 2 4 3 4" xfId="26509"/>
    <cellStyle name="Normal 12 5 2 4 3 5" xfId="26510"/>
    <cellStyle name="Normal 12 5 2 4 4" xfId="26511"/>
    <cellStyle name="Normal 12 5 2 4 4 2" xfId="26512"/>
    <cellStyle name="Normal 12 5 2 4 5" xfId="26513"/>
    <cellStyle name="Normal 12 5 2 4 5 2" xfId="26514"/>
    <cellStyle name="Normal 12 5 2 4 6" xfId="26515"/>
    <cellStyle name="Normal 12 5 2 4 6 2" xfId="26516"/>
    <cellStyle name="Normal 12 5 2 4 7" xfId="26517"/>
    <cellStyle name="Normal 12 5 2 4 7 2" xfId="26518"/>
    <cellStyle name="Normal 12 5 2 4 8" xfId="26519"/>
    <cellStyle name="Normal 12 5 2 4 9" xfId="26520"/>
    <cellStyle name="Normal 12 5 2 5" xfId="26521"/>
    <cellStyle name="Normal 12 5 2 5 10" xfId="26522"/>
    <cellStyle name="Normal 12 5 2 5 11" xfId="26523"/>
    <cellStyle name="Normal 12 5 2 5 12" xfId="26524"/>
    <cellStyle name="Normal 12 5 2 5 13" xfId="26525"/>
    <cellStyle name="Normal 12 5 2 5 14" xfId="26526"/>
    <cellStyle name="Normal 12 5 2 5 2" xfId="26527"/>
    <cellStyle name="Normal 12 5 2 5 2 2" xfId="26528"/>
    <cellStyle name="Normal 12 5 2 5 2 2 2" xfId="26529"/>
    <cellStyle name="Normal 12 5 2 5 2 3" xfId="26530"/>
    <cellStyle name="Normal 12 5 2 5 2 3 2" xfId="26531"/>
    <cellStyle name="Normal 12 5 2 5 2 4" xfId="26532"/>
    <cellStyle name="Normal 12 5 2 5 2 4 2" xfId="26533"/>
    <cellStyle name="Normal 12 5 2 5 2 5" xfId="26534"/>
    <cellStyle name="Normal 12 5 2 5 2 5 2" xfId="26535"/>
    <cellStyle name="Normal 12 5 2 5 2 6" xfId="26536"/>
    <cellStyle name="Normal 12 5 2 5 2 7" xfId="26537"/>
    <cellStyle name="Normal 12 5 2 5 2 8" xfId="26538"/>
    <cellStyle name="Normal 12 5 2 5 2 9" xfId="26539"/>
    <cellStyle name="Normal 12 5 2 5 3" xfId="26540"/>
    <cellStyle name="Normal 12 5 2 5 3 2" xfId="26541"/>
    <cellStyle name="Normal 12 5 2 5 3 2 2" xfId="26542"/>
    <cellStyle name="Normal 12 5 2 5 3 3" xfId="26543"/>
    <cellStyle name="Normal 12 5 2 5 3 4" xfId="26544"/>
    <cellStyle name="Normal 12 5 2 5 3 5" xfId="26545"/>
    <cellStyle name="Normal 12 5 2 5 4" xfId="26546"/>
    <cellStyle name="Normal 12 5 2 5 4 2" xfId="26547"/>
    <cellStyle name="Normal 12 5 2 5 5" xfId="26548"/>
    <cellStyle name="Normal 12 5 2 5 5 2" xfId="26549"/>
    <cellStyle name="Normal 12 5 2 5 6" xfId="26550"/>
    <cellStyle name="Normal 12 5 2 5 6 2" xfId="26551"/>
    <cellStyle name="Normal 12 5 2 5 7" xfId="26552"/>
    <cellStyle name="Normal 12 5 2 5 7 2" xfId="26553"/>
    <cellStyle name="Normal 12 5 2 5 8" xfId="26554"/>
    <cellStyle name="Normal 12 5 2 5 9" xfId="26555"/>
    <cellStyle name="Normal 12 5 2 6" xfId="26556"/>
    <cellStyle name="Normal 12 5 2 6 2" xfId="26557"/>
    <cellStyle name="Normal 12 5 2 6 2 2" xfId="26558"/>
    <cellStyle name="Normal 12 5 2 6 3" xfId="26559"/>
    <cellStyle name="Normal 12 5 2 6 3 2" xfId="26560"/>
    <cellStyle name="Normal 12 5 2 6 4" xfId="26561"/>
    <cellStyle name="Normal 12 5 2 6 4 2" xfId="26562"/>
    <cellStyle name="Normal 12 5 2 6 5" xfId="26563"/>
    <cellStyle name="Normal 12 5 2 6 5 2" xfId="26564"/>
    <cellStyle name="Normal 12 5 2 6 6" xfId="26565"/>
    <cellStyle name="Normal 12 5 2 6 7" xfId="26566"/>
    <cellStyle name="Normal 12 5 2 6 8" xfId="26567"/>
    <cellStyle name="Normal 12 5 2 6 9" xfId="26568"/>
    <cellStyle name="Normal 12 5 2 7" xfId="26569"/>
    <cellStyle name="Normal 12 5 2 7 2" xfId="26570"/>
    <cellStyle name="Normal 12 5 2 7 2 2" xfId="26571"/>
    <cellStyle name="Normal 12 5 2 7 3" xfId="26572"/>
    <cellStyle name="Normal 12 5 2 7 4" xfId="26573"/>
    <cellStyle name="Normal 12 5 2 7 5" xfId="26574"/>
    <cellStyle name="Normal 12 5 2 8" xfId="26575"/>
    <cellStyle name="Normal 12 5 2 8 2" xfId="26576"/>
    <cellStyle name="Normal 12 5 2 9" xfId="26577"/>
    <cellStyle name="Normal 12 5 2 9 2" xfId="26578"/>
    <cellStyle name="Normal 12 5 20" xfId="26579"/>
    <cellStyle name="Normal 12 5 21" xfId="26580"/>
    <cellStyle name="Normal 12 5 22" xfId="26581"/>
    <cellStyle name="Normal 12 5 23" xfId="26582"/>
    <cellStyle name="Normal 12 5 24" xfId="26583"/>
    <cellStyle name="Normal 12 5 25" xfId="26584"/>
    <cellStyle name="Normal 12 5 3" xfId="26585"/>
    <cellStyle name="Normal 12 5 3 10" xfId="26586"/>
    <cellStyle name="Normal 12 5 3 11" xfId="26587"/>
    <cellStyle name="Normal 12 5 3 12" xfId="26588"/>
    <cellStyle name="Normal 12 5 3 13" xfId="26589"/>
    <cellStyle name="Normal 12 5 3 14" xfId="26590"/>
    <cellStyle name="Normal 12 5 3 15" xfId="26591"/>
    <cellStyle name="Normal 12 5 3 16" xfId="26592"/>
    <cellStyle name="Normal 12 5 3 17" xfId="26593"/>
    <cellStyle name="Normal 12 5 3 18" xfId="26594"/>
    <cellStyle name="Normal 12 5 3 2" xfId="26595"/>
    <cellStyle name="Normal 12 5 3 2 10" xfId="26596"/>
    <cellStyle name="Normal 12 5 3 2 11" xfId="26597"/>
    <cellStyle name="Normal 12 5 3 2 12" xfId="26598"/>
    <cellStyle name="Normal 12 5 3 2 13" xfId="26599"/>
    <cellStyle name="Normal 12 5 3 2 2" xfId="26600"/>
    <cellStyle name="Normal 12 5 3 2 2 2" xfId="26601"/>
    <cellStyle name="Normal 12 5 3 2 2 2 2" xfId="26602"/>
    <cellStyle name="Normal 12 5 3 2 2 3" xfId="26603"/>
    <cellStyle name="Normal 12 5 3 2 2 4" xfId="26604"/>
    <cellStyle name="Normal 12 5 3 2 2 5" xfId="26605"/>
    <cellStyle name="Normal 12 5 3 2 3" xfId="26606"/>
    <cellStyle name="Normal 12 5 3 2 3 2" xfId="26607"/>
    <cellStyle name="Normal 12 5 3 2 4" xfId="26608"/>
    <cellStyle name="Normal 12 5 3 2 4 2" xfId="26609"/>
    <cellStyle name="Normal 12 5 3 2 5" xfId="26610"/>
    <cellStyle name="Normal 12 5 3 2 5 2" xfId="26611"/>
    <cellStyle name="Normal 12 5 3 2 6" xfId="26612"/>
    <cellStyle name="Normal 12 5 3 2 6 2" xfId="26613"/>
    <cellStyle name="Normal 12 5 3 2 7" xfId="26614"/>
    <cellStyle name="Normal 12 5 3 2 8" xfId="26615"/>
    <cellStyle name="Normal 12 5 3 2 9" xfId="26616"/>
    <cellStyle name="Normal 12 5 3 3" xfId="26617"/>
    <cellStyle name="Normal 12 5 3 3 2" xfId="26618"/>
    <cellStyle name="Normal 12 5 3 3 2 2" xfId="26619"/>
    <cellStyle name="Normal 12 5 3 3 3" xfId="26620"/>
    <cellStyle name="Normal 12 5 3 3 4" xfId="26621"/>
    <cellStyle name="Normal 12 5 3 3 5" xfId="26622"/>
    <cellStyle name="Normal 12 5 3 4" xfId="26623"/>
    <cellStyle name="Normal 12 5 3 4 2" xfId="26624"/>
    <cellStyle name="Normal 12 5 3 5" xfId="26625"/>
    <cellStyle name="Normal 12 5 3 5 2" xfId="26626"/>
    <cellStyle name="Normal 12 5 3 6" xfId="26627"/>
    <cellStyle name="Normal 12 5 3 6 2" xfId="26628"/>
    <cellStyle name="Normal 12 5 3 7" xfId="26629"/>
    <cellStyle name="Normal 12 5 3 7 2" xfId="26630"/>
    <cellStyle name="Normal 12 5 3 8" xfId="26631"/>
    <cellStyle name="Normal 12 5 3 9" xfId="26632"/>
    <cellStyle name="Normal 12 5 4" xfId="26633"/>
    <cellStyle name="Normal 12 5 4 10" xfId="26634"/>
    <cellStyle name="Normal 12 5 4 11" xfId="26635"/>
    <cellStyle name="Normal 12 5 4 12" xfId="26636"/>
    <cellStyle name="Normal 12 5 4 13" xfId="26637"/>
    <cellStyle name="Normal 12 5 4 14" xfId="26638"/>
    <cellStyle name="Normal 12 5 4 15" xfId="26639"/>
    <cellStyle name="Normal 12 5 4 16" xfId="26640"/>
    <cellStyle name="Normal 12 5 4 17" xfId="26641"/>
    <cellStyle name="Normal 12 5 4 18" xfId="26642"/>
    <cellStyle name="Normal 12 5 4 2" xfId="26643"/>
    <cellStyle name="Normal 12 5 4 2 10" xfId="26644"/>
    <cellStyle name="Normal 12 5 4 2 11" xfId="26645"/>
    <cellStyle name="Normal 12 5 4 2 12" xfId="26646"/>
    <cellStyle name="Normal 12 5 4 2 13" xfId="26647"/>
    <cellStyle name="Normal 12 5 4 2 2" xfId="26648"/>
    <cellStyle name="Normal 12 5 4 2 2 2" xfId="26649"/>
    <cellStyle name="Normal 12 5 4 2 2 2 2" xfId="26650"/>
    <cellStyle name="Normal 12 5 4 2 2 3" xfId="26651"/>
    <cellStyle name="Normal 12 5 4 2 2 4" xfId="26652"/>
    <cellStyle name="Normal 12 5 4 2 2 5" xfId="26653"/>
    <cellStyle name="Normal 12 5 4 2 3" xfId="26654"/>
    <cellStyle name="Normal 12 5 4 2 3 2" xfId="26655"/>
    <cellStyle name="Normal 12 5 4 2 4" xfId="26656"/>
    <cellStyle name="Normal 12 5 4 2 4 2" xfId="26657"/>
    <cellStyle name="Normal 12 5 4 2 5" xfId="26658"/>
    <cellStyle name="Normal 12 5 4 2 5 2" xfId="26659"/>
    <cellStyle name="Normal 12 5 4 2 6" xfId="26660"/>
    <cellStyle name="Normal 12 5 4 2 6 2" xfId="26661"/>
    <cellStyle name="Normal 12 5 4 2 7" xfId="26662"/>
    <cellStyle name="Normal 12 5 4 2 8" xfId="26663"/>
    <cellStyle name="Normal 12 5 4 2 9" xfId="26664"/>
    <cellStyle name="Normal 12 5 4 3" xfId="26665"/>
    <cellStyle name="Normal 12 5 4 3 2" xfId="26666"/>
    <cellStyle name="Normal 12 5 4 3 2 2" xfId="26667"/>
    <cellStyle name="Normal 12 5 4 3 3" xfId="26668"/>
    <cellStyle name="Normal 12 5 4 3 4" xfId="26669"/>
    <cellStyle name="Normal 12 5 4 3 5" xfId="26670"/>
    <cellStyle name="Normal 12 5 4 4" xfId="26671"/>
    <cellStyle name="Normal 12 5 4 4 2" xfId="26672"/>
    <cellStyle name="Normal 12 5 4 5" xfId="26673"/>
    <cellStyle name="Normal 12 5 4 5 2" xfId="26674"/>
    <cellStyle name="Normal 12 5 4 6" xfId="26675"/>
    <cellStyle name="Normal 12 5 4 6 2" xfId="26676"/>
    <cellStyle name="Normal 12 5 4 7" xfId="26677"/>
    <cellStyle name="Normal 12 5 4 7 2" xfId="26678"/>
    <cellStyle name="Normal 12 5 4 8" xfId="26679"/>
    <cellStyle name="Normal 12 5 4 9" xfId="26680"/>
    <cellStyle name="Normal 12 5 5" xfId="26681"/>
    <cellStyle name="Normal 12 5 5 10" xfId="26682"/>
    <cellStyle name="Normal 12 5 5 11" xfId="26683"/>
    <cellStyle name="Normal 12 5 5 12" xfId="26684"/>
    <cellStyle name="Normal 12 5 5 13" xfId="26685"/>
    <cellStyle name="Normal 12 5 5 14" xfId="26686"/>
    <cellStyle name="Normal 12 5 5 15" xfId="26687"/>
    <cellStyle name="Normal 12 5 5 16" xfId="26688"/>
    <cellStyle name="Normal 12 5 5 17" xfId="26689"/>
    <cellStyle name="Normal 12 5 5 18" xfId="26690"/>
    <cellStyle name="Normal 12 5 5 2" xfId="26691"/>
    <cellStyle name="Normal 12 5 5 2 10" xfId="26692"/>
    <cellStyle name="Normal 12 5 5 2 11" xfId="26693"/>
    <cellStyle name="Normal 12 5 5 2 12" xfId="26694"/>
    <cellStyle name="Normal 12 5 5 2 13" xfId="26695"/>
    <cellStyle name="Normal 12 5 5 2 2" xfId="26696"/>
    <cellStyle name="Normal 12 5 5 2 2 2" xfId="26697"/>
    <cellStyle name="Normal 12 5 5 2 2 2 2" xfId="26698"/>
    <cellStyle name="Normal 12 5 5 2 2 3" xfId="26699"/>
    <cellStyle name="Normal 12 5 5 2 2 4" xfId="26700"/>
    <cellStyle name="Normal 12 5 5 2 2 5" xfId="26701"/>
    <cellStyle name="Normal 12 5 5 2 3" xfId="26702"/>
    <cellStyle name="Normal 12 5 5 2 3 2" xfId="26703"/>
    <cellStyle name="Normal 12 5 5 2 4" xfId="26704"/>
    <cellStyle name="Normal 12 5 5 2 4 2" xfId="26705"/>
    <cellStyle name="Normal 12 5 5 2 5" xfId="26706"/>
    <cellStyle name="Normal 12 5 5 2 5 2" xfId="26707"/>
    <cellStyle name="Normal 12 5 5 2 6" xfId="26708"/>
    <cellStyle name="Normal 12 5 5 2 6 2" xfId="26709"/>
    <cellStyle name="Normal 12 5 5 2 7" xfId="26710"/>
    <cellStyle name="Normal 12 5 5 2 8" xfId="26711"/>
    <cellStyle name="Normal 12 5 5 2 9" xfId="26712"/>
    <cellStyle name="Normal 12 5 5 3" xfId="26713"/>
    <cellStyle name="Normal 12 5 5 3 2" xfId="26714"/>
    <cellStyle name="Normal 12 5 5 3 2 2" xfId="26715"/>
    <cellStyle name="Normal 12 5 5 3 3" xfId="26716"/>
    <cellStyle name="Normal 12 5 5 3 4" xfId="26717"/>
    <cellStyle name="Normal 12 5 5 3 5" xfId="26718"/>
    <cellStyle name="Normal 12 5 5 4" xfId="26719"/>
    <cellStyle name="Normal 12 5 5 4 2" xfId="26720"/>
    <cellStyle name="Normal 12 5 5 5" xfId="26721"/>
    <cellStyle name="Normal 12 5 5 5 2" xfId="26722"/>
    <cellStyle name="Normal 12 5 5 6" xfId="26723"/>
    <cellStyle name="Normal 12 5 5 6 2" xfId="26724"/>
    <cellStyle name="Normal 12 5 5 7" xfId="26725"/>
    <cellStyle name="Normal 12 5 5 7 2" xfId="26726"/>
    <cellStyle name="Normal 12 5 5 8" xfId="26727"/>
    <cellStyle name="Normal 12 5 5 9" xfId="26728"/>
    <cellStyle name="Normal 12 5 6" xfId="26729"/>
    <cellStyle name="Normal 12 5 6 10" xfId="26730"/>
    <cellStyle name="Normal 12 5 6 11" xfId="26731"/>
    <cellStyle name="Normal 12 5 6 12" xfId="26732"/>
    <cellStyle name="Normal 12 5 6 13" xfId="26733"/>
    <cellStyle name="Normal 12 5 6 14" xfId="26734"/>
    <cellStyle name="Normal 12 5 6 15" xfId="26735"/>
    <cellStyle name="Normal 12 5 6 16" xfId="26736"/>
    <cellStyle name="Normal 12 5 6 17" xfId="26737"/>
    <cellStyle name="Normal 12 5 6 18" xfId="26738"/>
    <cellStyle name="Normal 12 5 6 2" xfId="26739"/>
    <cellStyle name="Normal 12 5 6 2 10" xfId="26740"/>
    <cellStyle name="Normal 12 5 6 2 11" xfId="26741"/>
    <cellStyle name="Normal 12 5 6 2 12" xfId="26742"/>
    <cellStyle name="Normal 12 5 6 2 13" xfId="26743"/>
    <cellStyle name="Normal 12 5 6 2 2" xfId="26744"/>
    <cellStyle name="Normal 12 5 6 2 2 2" xfId="26745"/>
    <cellStyle name="Normal 12 5 6 2 2 2 2" xfId="26746"/>
    <cellStyle name="Normal 12 5 6 2 2 3" xfId="26747"/>
    <cellStyle name="Normal 12 5 6 2 2 4" xfId="26748"/>
    <cellStyle name="Normal 12 5 6 2 2 5" xfId="26749"/>
    <cellStyle name="Normal 12 5 6 2 3" xfId="26750"/>
    <cellStyle name="Normal 12 5 6 2 3 2" xfId="26751"/>
    <cellStyle name="Normal 12 5 6 2 4" xfId="26752"/>
    <cellStyle name="Normal 12 5 6 2 4 2" xfId="26753"/>
    <cellStyle name="Normal 12 5 6 2 5" xfId="26754"/>
    <cellStyle name="Normal 12 5 6 2 5 2" xfId="26755"/>
    <cellStyle name="Normal 12 5 6 2 6" xfId="26756"/>
    <cellStyle name="Normal 12 5 6 2 6 2" xfId="26757"/>
    <cellStyle name="Normal 12 5 6 2 7" xfId="26758"/>
    <cellStyle name="Normal 12 5 6 2 8" xfId="26759"/>
    <cellStyle name="Normal 12 5 6 2 9" xfId="26760"/>
    <cellStyle name="Normal 12 5 6 3" xfId="26761"/>
    <cellStyle name="Normal 12 5 6 3 2" xfId="26762"/>
    <cellStyle name="Normal 12 5 6 3 2 2" xfId="26763"/>
    <cellStyle name="Normal 12 5 6 3 3" xfId="26764"/>
    <cellStyle name="Normal 12 5 6 3 4" xfId="26765"/>
    <cellStyle name="Normal 12 5 6 3 5" xfId="26766"/>
    <cellStyle name="Normal 12 5 6 4" xfId="26767"/>
    <cellStyle name="Normal 12 5 6 4 2" xfId="26768"/>
    <cellStyle name="Normal 12 5 6 5" xfId="26769"/>
    <cellStyle name="Normal 12 5 6 5 2" xfId="26770"/>
    <cellStyle name="Normal 12 5 6 6" xfId="26771"/>
    <cellStyle name="Normal 12 5 6 6 2" xfId="26772"/>
    <cellStyle name="Normal 12 5 6 7" xfId="26773"/>
    <cellStyle name="Normal 12 5 6 7 2" xfId="26774"/>
    <cellStyle name="Normal 12 5 6 8" xfId="26775"/>
    <cellStyle name="Normal 12 5 6 9" xfId="26776"/>
    <cellStyle name="Normal 12 5 7" xfId="26777"/>
    <cellStyle name="Normal 12 5 7 10" xfId="26778"/>
    <cellStyle name="Normal 12 5 7 11" xfId="26779"/>
    <cellStyle name="Normal 12 5 7 12" xfId="26780"/>
    <cellStyle name="Normal 12 5 7 13" xfId="26781"/>
    <cellStyle name="Normal 12 5 7 14" xfId="26782"/>
    <cellStyle name="Normal 12 5 7 15" xfId="26783"/>
    <cellStyle name="Normal 12 5 7 16" xfId="26784"/>
    <cellStyle name="Normal 12 5 7 17" xfId="26785"/>
    <cellStyle name="Normal 12 5 7 2" xfId="26786"/>
    <cellStyle name="Normal 12 5 7 2 10" xfId="26787"/>
    <cellStyle name="Normal 12 5 7 2 11" xfId="26788"/>
    <cellStyle name="Normal 12 5 7 2 12" xfId="26789"/>
    <cellStyle name="Normal 12 5 7 2 13" xfId="26790"/>
    <cellStyle name="Normal 12 5 7 2 2" xfId="26791"/>
    <cellStyle name="Normal 12 5 7 2 2 2" xfId="26792"/>
    <cellStyle name="Normal 12 5 7 2 2 2 2" xfId="26793"/>
    <cellStyle name="Normal 12 5 7 2 2 3" xfId="26794"/>
    <cellStyle name="Normal 12 5 7 2 2 4" xfId="26795"/>
    <cellStyle name="Normal 12 5 7 2 2 5" xfId="26796"/>
    <cellStyle name="Normal 12 5 7 2 3" xfId="26797"/>
    <cellStyle name="Normal 12 5 7 2 3 2" xfId="26798"/>
    <cellStyle name="Normal 12 5 7 2 4" xfId="26799"/>
    <cellStyle name="Normal 12 5 7 2 4 2" xfId="26800"/>
    <cellStyle name="Normal 12 5 7 2 5" xfId="26801"/>
    <cellStyle name="Normal 12 5 7 2 5 2" xfId="26802"/>
    <cellStyle name="Normal 12 5 7 2 6" xfId="26803"/>
    <cellStyle name="Normal 12 5 7 2 6 2" xfId="26804"/>
    <cellStyle name="Normal 12 5 7 2 7" xfId="26805"/>
    <cellStyle name="Normal 12 5 7 2 8" xfId="26806"/>
    <cellStyle name="Normal 12 5 7 2 9" xfId="26807"/>
    <cellStyle name="Normal 12 5 7 3" xfId="26808"/>
    <cellStyle name="Normal 12 5 7 3 2" xfId="26809"/>
    <cellStyle name="Normal 12 5 7 3 2 2" xfId="26810"/>
    <cellStyle name="Normal 12 5 7 3 3" xfId="26811"/>
    <cellStyle name="Normal 12 5 7 3 4" xfId="26812"/>
    <cellStyle name="Normal 12 5 7 3 5" xfId="26813"/>
    <cellStyle name="Normal 12 5 7 4" xfId="26814"/>
    <cellStyle name="Normal 12 5 7 4 2" xfId="26815"/>
    <cellStyle name="Normal 12 5 7 5" xfId="26816"/>
    <cellStyle name="Normal 12 5 7 5 2" xfId="26817"/>
    <cellStyle name="Normal 12 5 7 6" xfId="26818"/>
    <cellStyle name="Normal 12 5 7 6 2" xfId="26819"/>
    <cellStyle name="Normal 12 5 7 7" xfId="26820"/>
    <cellStyle name="Normal 12 5 7 7 2" xfId="26821"/>
    <cellStyle name="Normal 12 5 7 8" xfId="26822"/>
    <cellStyle name="Normal 12 5 7 9" xfId="26823"/>
    <cellStyle name="Normal 12 5 8" xfId="26824"/>
    <cellStyle name="Normal 12 5 8 10" xfId="26825"/>
    <cellStyle name="Normal 12 5 8 11" xfId="26826"/>
    <cellStyle name="Normal 12 5 8 12" xfId="26827"/>
    <cellStyle name="Normal 12 5 8 13" xfId="26828"/>
    <cellStyle name="Normal 12 5 8 14" xfId="26829"/>
    <cellStyle name="Normal 12 5 8 15" xfId="26830"/>
    <cellStyle name="Normal 12 5 8 2" xfId="26831"/>
    <cellStyle name="Normal 12 5 8 2 2" xfId="26832"/>
    <cellStyle name="Normal 12 5 8 2 2 2" xfId="26833"/>
    <cellStyle name="Normal 12 5 8 2 3" xfId="26834"/>
    <cellStyle name="Normal 12 5 8 2 3 2" xfId="26835"/>
    <cellStyle name="Normal 12 5 8 2 4" xfId="26836"/>
    <cellStyle name="Normal 12 5 8 2 4 2" xfId="26837"/>
    <cellStyle name="Normal 12 5 8 2 5" xfId="26838"/>
    <cellStyle name="Normal 12 5 8 2 5 2" xfId="26839"/>
    <cellStyle name="Normal 12 5 8 2 6" xfId="26840"/>
    <cellStyle name="Normal 12 5 8 2 7" xfId="26841"/>
    <cellStyle name="Normal 12 5 8 2 8" xfId="26842"/>
    <cellStyle name="Normal 12 5 8 2 9" xfId="26843"/>
    <cellStyle name="Normal 12 5 8 3" xfId="26844"/>
    <cellStyle name="Normal 12 5 8 3 2" xfId="26845"/>
    <cellStyle name="Normal 12 5 8 3 2 2" xfId="26846"/>
    <cellStyle name="Normal 12 5 8 3 3" xfId="26847"/>
    <cellStyle name="Normal 12 5 8 3 4" xfId="26848"/>
    <cellStyle name="Normal 12 5 8 3 5" xfId="26849"/>
    <cellStyle name="Normal 12 5 8 4" xfId="26850"/>
    <cellStyle name="Normal 12 5 8 4 2" xfId="26851"/>
    <cellStyle name="Normal 12 5 8 5" xfId="26852"/>
    <cellStyle name="Normal 12 5 8 5 2" xfId="26853"/>
    <cellStyle name="Normal 12 5 8 6" xfId="26854"/>
    <cellStyle name="Normal 12 5 8 6 2" xfId="26855"/>
    <cellStyle name="Normal 12 5 8 7" xfId="26856"/>
    <cellStyle name="Normal 12 5 8 7 2" xfId="26857"/>
    <cellStyle name="Normal 12 5 8 8" xfId="26858"/>
    <cellStyle name="Normal 12 5 8 9" xfId="26859"/>
    <cellStyle name="Normal 12 5 9" xfId="26860"/>
    <cellStyle name="Normal 12 5 9 10" xfId="26861"/>
    <cellStyle name="Normal 12 5 9 11" xfId="26862"/>
    <cellStyle name="Normal 12 5 9 12" xfId="26863"/>
    <cellStyle name="Normal 12 5 9 13" xfId="26864"/>
    <cellStyle name="Normal 12 5 9 14" xfId="26865"/>
    <cellStyle name="Normal 12 5 9 15" xfId="26866"/>
    <cellStyle name="Normal 12 5 9 2" xfId="26867"/>
    <cellStyle name="Normal 12 5 9 2 2" xfId="26868"/>
    <cellStyle name="Normal 12 5 9 2 2 2" xfId="26869"/>
    <cellStyle name="Normal 12 5 9 2 3" xfId="26870"/>
    <cellStyle name="Normal 12 5 9 2 3 2" xfId="26871"/>
    <cellStyle name="Normal 12 5 9 2 4" xfId="26872"/>
    <cellStyle name="Normal 12 5 9 2 4 2" xfId="26873"/>
    <cellStyle name="Normal 12 5 9 2 5" xfId="26874"/>
    <cellStyle name="Normal 12 5 9 2 5 2" xfId="26875"/>
    <cellStyle name="Normal 12 5 9 2 6" xfId="26876"/>
    <cellStyle name="Normal 12 5 9 2 7" xfId="26877"/>
    <cellStyle name="Normal 12 5 9 2 8" xfId="26878"/>
    <cellStyle name="Normal 12 5 9 2 9" xfId="26879"/>
    <cellStyle name="Normal 12 5 9 3" xfId="26880"/>
    <cellStyle name="Normal 12 5 9 3 2" xfId="26881"/>
    <cellStyle name="Normal 12 5 9 3 2 2" xfId="26882"/>
    <cellStyle name="Normal 12 5 9 3 3" xfId="26883"/>
    <cellStyle name="Normal 12 5 9 3 4" xfId="26884"/>
    <cellStyle name="Normal 12 5 9 3 5" xfId="26885"/>
    <cellStyle name="Normal 12 5 9 4" xfId="26886"/>
    <cellStyle name="Normal 12 5 9 4 2" xfId="26887"/>
    <cellStyle name="Normal 12 5 9 5" xfId="26888"/>
    <cellStyle name="Normal 12 5 9 5 2" xfId="26889"/>
    <cellStyle name="Normal 12 5 9 6" xfId="26890"/>
    <cellStyle name="Normal 12 5 9 6 2" xfId="26891"/>
    <cellStyle name="Normal 12 5 9 7" xfId="26892"/>
    <cellStyle name="Normal 12 5 9 7 2" xfId="26893"/>
    <cellStyle name="Normal 12 5 9 8" xfId="26894"/>
    <cellStyle name="Normal 12 5 9 9" xfId="26895"/>
    <cellStyle name="Normal 12 6" xfId="26896"/>
    <cellStyle name="Normal 12 6 10" xfId="26897"/>
    <cellStyle name="Normal 12 6 10 10" xfId="26898"/>
    <cellStyle name="Normal 12 6 10 11" xfId="26899"/>
    <cellStyle name="Normal 12 6 10 12" xfId="26900"/>
    <cellStyle name="Normal 12 6 10 13" xfId="26901"/>
    <cellStyle name="Normal 12 6 10 14" xfId="26902"/>
    <cellStyle name="Normal 12 6 10 2" xfId="26903"/>
    <cellStyle name="Normal 12 6 10 2 2" xfId="26904"/>
    <cellStyle name="Normal 12 6 10 2 2 2" xfId="26905"/>
    <cellStyle name="Normal 12 6 10 2 3" xfId="26906"/>
    <cellStyle name="Normal 12 6 10 2 3 2" xfId="26907"/>
    <cellStyle name="Normal 12 6 10 2 4" xfId="26908"/>
    <cellStyle name="Normal 12 6 10 2 4 2" xfId="26909"/>
    <cellStyle name="Normal 12 6 10 2 5" xfId="26910"/>
    <cellStyle name="Normal 12 6 10 2 5 2" xfId="26911"/>
    <cellStyle name="Normal 12 6 10 2 6" xfId="26912"/>
    <cellStyle name="Normal 12 6 10 2 7" xfId="26913"/>
    <cellStyle name="Normal 12 6 10 2 8" xfId="26914"/>
    <cellStyle name="Normal 12 6 10 2 9" xfId="26915"/>
    <cellStyle name="Normal 12 6 10 3" xfId="26916"/>
    <cellStyle name="Normal 12 6 10 3 2" xfId="26917"/>
    <cellStyle name="Normal 12 6 10 3 2 2" xfId="26918"/>
    <cellStyle name="Normal 12 6 10 3 3" xfId="26919"/>
    <cellStyle name="Normal 12 6 10 3 4" xfId="26920"/>
    <cellStyle name="Normal 12 6 10 3 5" xfId="26921"/>
    <cellStyle name="Normal 12 6 10 4" xfId="26922"/>
    <cellStyle name="Normal 12 6 10 4 2" xfId="26923"/>
    <cellStyle name="Normal 12 6 10 5" xfId="26924"/>
    <cellStyle name="Normal 12 6 10 5 2" xfId="26925"/>
    <cellStyle name="Normal 12 6 10 6" xfId="26926"/>
    <cellStyle name="Normal 12 6 10 6 2" xfId="26927"/>
    <cellStyle name="Normal 12 6 10 7" xfId="26928"/>
    <cellStyle name="Normal 12 6 10 7 2" xfId="26929"/>
    <cellStyle name="Normal 12 6 10 8" xfId="26930"/>
    <cellStyle name="Normal 12 6 10 9" xfId="26931"/>
    <cellStyle name="Normal 12 6 11" xfId="26932"/>
    <cellStyle name="Normal 12 6 11 2" xfId="26933"/>
    <cellStyle name="Normal 12 6 11 2 2" xfId="26934"/>
    <cellStyle name="Normal 12 6 11 3" xfId="26935"/>
    <cellStyle name="Normal 12 6 11 3 2" xfId="26936"/>
    <cellStyle name="Normal 12 6 11 4" xfId="26937"/>
    <cellStyle name="Normal 12 6 11 4 2" xfId="26938"/>
    <cellStyle name="Normal 12 6 11 5" xfId="26939"/>
    <cellStyle name="Normal 12 6 11 5 2" xfId="26940"/>
    <cellStyle name="Normal 12 6 11 6" xfId="26941"/>
    <cellStyle name="Normal 12 6 11 7" xfId="26942"/>
    <cellStyle name="Normal 12 6 11 8" xfId="26943"/>
    <cellStyle name="Normal 12 6 11 9" xfId="26944"/>
    <cellStyle name="Normal 12 6 12" xfId="26945"/>
    <cellStyle name="Normal 12 6 12 2" xfId="26946"/>
    <cellStyle name="Normal 12 6 12 2 2" xfId="26947"/>
    <cellStyle name="Normal 12 6 12 3" xfId="26948"/>
    <cellStyle name="Normal 12 6 12 4" xfId="26949"/>
    <cellStyle name="Normal 12 6 12 5" xfId="26950"/>
    <cellStyle name="Normal 12 6 13" xfId="26951"/>
    <cellStyle name="Normal 12 6 13 2" xfId="26952"/>
    <cellStyle name="Normal 12 6 14" xfId="26953"/>
    <cellStyle name="Normal 12 6 14 2" xfId="26954"/>
    <cellStyle name="Normal 12 6 15" xfId="26955"/>
    <cellStyle name="Normal 12 6 15 2" xfId="26956"/>
    <cellStyle name="Normal 12 6 16" xfId="26957"/>
    <cellStyle name="Normal 12 6 16 2" xfId="26958"/>
    <cellStyle name="Normal 12 6 17" xfId="26959"/>
    <cellStyle name="Normal 12 6 18" xfId="26960"/>
    <cellStyle name="Normal 12 6 19" xfId="26961"/>
    <cellStyle name="Normal 12 6 2" xfId="26962"/>
    <cellStyle name="Normal 12 6 2 10" xfId="26963"/>
    <cellStyle name="Normal 12 6 2 11" xfId="26964"/>
    <cellStyle name="Normal 12 6 2 12" xfId="26965"/>
    <cellStyle name="Normal 12 6 2 13" xfId="26966"/>
    <cellStyle name="Normal 12 6 2 14" xfId="26967"/>
    <cellStyle name="Normal 12 6 2 15" xfId="26968"/>
    <cellStyle name="Normal 12 6 2 16" xfId="26969"/>
    <cellStyle name="Normal 12 6 2 17" xfId="26970"/>
    <cellStyle name="Normal 12 6 2 18" xfId="26971"/>
    <cellStyle name="Normal 12 6 2 2" xfId="26972"/>
    <cellStyle name="Normal 12 6 2 2 10" xfId="26973"/>
    <cellStyle name="Normal 12 6 2 2 11" xfId="26974"/>
    <cellStyle name="Normal 12 6 2 2 12" xfId="26975"/>
    <cellStyle name="Normal 12 6 2 2 13" xfId="26976"/>
    <cellStyle name="Normal 12 6 2 2 2" xfId="26977"/>
    <cellStyle name="Normal 12 6 2 2 2 2" xfId="26978"/>
    <cellStyle name="Normal 12 6 2 2 2 2 2" xfId="26979"/>
    <cellStyle name="Normal 12 6 2 2 2 3" xfId="26980"/>
    <cellStyle name="Normal 12 6 2 2 2 4" xfId="26981"/>
    <cellStyle name="Normal 12 6 2 2 2 5" xfId="26982"/>
    <cellStyle name="Normal 12 6 2 2 3" xfId="26983"/>
    <cellStyle name="Normal 12 6 2 2 3 2" xfId="26984"/>
    <cellStyle name="Normal 12 6 2 2 4" xfId="26985"/>
    <cellStyle name="Normal 12 6 2 2 4 2" xfId="26986"/>
    <cellStyle name="Normal 12 6 2 2 5" xfId="26987"/>
    <cellStyle name="Normal 12 6 2 2 5 2" xfId="26988"/>
    <cellStyle name="Normal 12 6 2 2 6" xfId="26989"/>
    <cellStyle name="Normal 12 6 2 2 6 2" xfId="26990"/>
    <cellStyle name="Normal 12 6 2 2 7" xfId="26991"/>
    <cellStyle name="Normal 12 6 2 2 8" xfId="26992"/>
    <cellStyle name="Normal 12 6 2 2 9" xfId="26993"/>
    <cellStyle name="Normal 12 6 2 3" xfId="26994"/>
    <cellStyle name="Normal 12 6 2 3 2" xfId="26995"/>
    <cellStyle name="Normal 12 6 2 3 2 2" xfId="26996"/>
    <cellStyle name="Normal 12 6 2 3 3" xfId="26997"/>
    <cellStyle name="Normal 12 6 2 3 4" xfId="26998"/>
    <cellStyle name="Normal 12 6 2 3 5" xfId="26999"/>
    <cellStyle name="Normal 12 6 2 4" xfId="27000"/>
    <cellStyle name="Normal 12 6 2 4 2" xfId="27001"/>
    <cellStyle name="Normal 12 6 2 5" xfId="27002"/>
    <cellStyle name="Normal 12 6 2 5 2" xfId="27003"/>
    <cellStyle name="Normal 12 6 2 6" xfId="27004"/>
    <cellStyle name="Normal 12 6 2 6 2" xfId="27005"/>
    <cellStyle name="Normal 12 6 2 7" xfId="27006"/>
    <cellStyle name="Normal 12 6 2 7 2" xfId="27007"/>
    <cellStyle name="Normal 12 6 2 8" xfId="27008"/>
    <cellStyle name="Normal 12 6 2 9" xfId="27009"/>
    <cellStyle name="Normal 12 6 20" xfId="27010"/>
    <cellStyle name="Normal 12 6 21" xfId="27011"/>
    <cellStyle name="Normal 12 6 22" xfId="27012"/>
    <cellStyle name="Normal 12 6 23" xfId="27013"/>
    <cellStyle name="Normal 12 6 24" xfId="27014"/>
    <cellStyle name="Normal 12 6 25" xfId="27015"/>
    <cellStyle name="Normal 12 6 3" xfId="27016"/>
    <cellStyle name="Normal 12 6 3 10" xfId="27017"/>
    <cellStyle name="Normal 12 6 3 11" xfId="27018"/>
    <cellStyle name="Normal 12 6 3 12" xfId="27019"/>
    <cellStyle name="Normal 12 6 3 13" xfId="27020"/>
    <cellStyle name="Normal 12 6 3 14" xfId="27021"/>
    <cellStyle name="Normal 12 6 3 15" xfId="27022"/>
    <cellStyle name="Normal 12 6 3 16" xfId="27023"/>
    <cellStyle name="Normal 12 6 3 17" xfId="27024"/>
    <cellStyle name="Normal 12 6 3 18" xfId="27025"/>
    <cellStyle name="Normal 12 6 3 2" xfId="27026"/>
    <cellStyle name="Normal 12 6 3 2 10" xfId="27027"/>
    <cellStyle name="Normal 12 6 3 2 11" xfId="27028"/>
    <cellStyle name="Normal 12 6 3 2 12" xfId="27029"/>
    <cellStyle name="Normal 12 6 3 2 13" xfId="27030"/>
    <cellStyle name="Normal 12 6 3 2 2" xfId="27031"/>
    <cellStyle name="Normal 12 6 3 2 2 2" xfId="27032"/>
    <cellStyle name="Normal 12 6 3 2 2 2 2" xfId="27033"/>
    <cellStyle name="Normal 12 6 3 2 2 3" xfId="27034"/>
    <cellStyle name="Normal 12 6 3 2 2 4" xfId="27035"/>
    <cellStyle name="Normal 12 6 3 2 2 5" xfId="27036"/>
    <cellStyle name="Normal 12 6 3 2 3" xfId="27037"/>
    <cellStyle name="Normal 12 6 3 2 3 2" xfId="27038"/>
    <cellStyle name="Normal 12 6 3 2 4" xfId="27039"/>
    <cellStyle name="Normal 12 6 3 2 4 2" xfId="27040"/>
    <cellStyle name="Normal 12 6 3 2 5" xfId="27041"/>
    <cellStyle name="Normal 12 6 3 2 5 2" xfId="27042"/>
    <cellStyle name="Normal 12 6 3 2 6" xfId="27043"/>
    <cellStyle name="Normal 12 6 3 2 6 2" xfId="27044"/>
    <cellStyle name="Normal 12 6 3 2 7" xfId="27045"/>
    <cellStyle name="Normal 12 6 3 2 8" xfId="27046"/>
    <cellStyle name="Normal 12 6 3 2 9" xfId="27047"/>
    <cellStyle name="Normal 12 6 3 3" xfId="27048"/>
    <cellStyle name="Normal 12 6 3 3 2" xfId="27049"/>
    <cellStyle name="Normal 12 6 3 3 2 2" xfId="27050"/>
    <cellStyle name="Normal 12 6 3 3 3" xfId="27051"/>
    <cellStyle name="Normal 12 6 3 3 4" xfId="27052"/>
    <cellStyle name="Normal 12 6 3 3 5" xfId="27053"/>
    <cellStyle name="Normal 12 6 3 4" xfId="27054"/>
    <cellStyle name="Normal 12 6 3 4 2" xfId="27055"/>
    <cellStyle name="Normal 12 6 3 5" xfId="27056"/>
    <cellStyle name="Normal 12 6 3 5 2" xfId="27057"/>
    <cellStyle name="Normal 12 6 3 6" xfId="27058"/>
    <cellStyle name="Normal 12 6 3 6 2" xfId="27059"/>
    <cellStyle name="Normal 12 6 3 7" xfId="27060"/>
    <cellStyle name="Normal 12 6 3 7 2" xfId="27061"/>
    <cellStyle name="Normal 12 6 3 8" xfId="27062"/>
    <cellStyle name="Normal 12 6 3 9" xfId="27063"/>
    <cellStyle name="Normal 12 6 4" xfId="27064"/>
    <cellStyle name="Normal 12 6 4 10" xfId="27065"/>
    <cellStyle name="Normal 12 6 4 11" xfId="27066"/>
    <cellStyle name="Normal 12 6 4 12" xfId="27067"/>
    <cellStyle name="Normal 12 6 4 13" xfId="27068"/>
    <cellStyle name="Normal 12 6 4 14" xfId="27069"/>
    <cellStyle name="Normal 12 6 4 15" xfId="27070"/>
    <cellStyle name="Normal 12 6 4 16" xfId="27071"/>
    <cellStyle name="Normal 12 6 4 17" xfId="27072"/>
    <cellStyle name="Normal 12 6 4 18" xfId="27073"/>
    <cellStyle name="Normal 12 6 4 2" xfId="27074"/>
    <cellStyle name="Normal 12 6 4 2 10" xfId="27075"/>
    <cellStyle name="Normal 12 6 4 2 11" xfId="27076"/>
    <cellStyle name="Normal 12 6 4 2 12" xfId="27077"/>
    <cellStyle name="Normal 12 6 4 2 13" xfId="27078"/>
    <cellStyle name="Normal 12 6 4 2 2" xfId="27079"/>
    <cellStyle name="Normal 12 6 4 2 2 2" xfId="27080"/>
    <cellStyle name="Normal 12 6 4 2 2 2 2" xfId="27081"/>
    <cellStyle name="Normal 12 6 4 2 2 3" xfId="27082"/>
    <cellStyle name="Normal 12 6 4 2 2 4" xfId="27083"/>
    <cellStyle name="Normal 12 6 4 2 2 5" xfId="27084"/>
    <cellStyle name="Normal 12 6 4 2 3" xfId="27085"/>
    <cellStyle name="Normal 12 6 4 2 3 2" xfId="27086"/>
    <cellStyle name="Normal 12 6 4 2 4" xfId="27087"/>
    <cellStyle name="Normal 12 6 4 2 4 2" xfId="27088"/>
    <cellStyle name="Normal 12 6 4 2 5" xfId="27089"/>
    <cellStyle name="Normal 12 6 4 2 5 2" xfId="27090"/>
    <cellStyle name="Normal 12 6 4 2 6" xfId="27091"/>
    <cellStyle name="Normal 12 6 4 2 6 2" xfId="27092"/>
    <cellStyle name="Normal 12 6 4 2 7" xfId="27093"/>
    <cellStyle name="Normal 12 6 4 2 8" xfId="27094"/>
    <cellStyle name="Normal 12 6 4 2 9" xfId="27095"/>
    <cellStyle name="Normal 12 6 4 3" xfId="27096"/>
    <cellStyle name="Normal 12 6 4 3 2" xfId="27097"/>
    <cellStyle name="Normal 12 6 4 3 2 2" xfId="27098"/>
    <cellStyle name="Normal 12 6 4 3 3" xfId="27099"/>
    <cellStyle name="Normal 12 6 4 3 4" xfId="27100"/>
    <cellStyle name="Normal 12 6 4 3 5" xfId="27101"/>
    <cellStyle name="Normal 12 6 4 4" xfId="27102"/>
    <cellStyle name="Normal 12 6 4 4 2" xfId="27103"/>
    <cellStyle name="Normal 12 6 4 5" xfId="27104"/>
    <cellStyle name="Normal 12 6 4 5 2" xfId="27105"/>
    <cellStyle name="Normal 12 6 4 6" xfId="27106"/>
    <cellStyle name="Normal 12 6 4 6 2" xfId="27107"/>
    <cellStyle name="Normal 12 6 4 7" xfId="27108"/>
    <cellStyle name="Normal 12 6 4 7 2" xfId="27109"/>
    <cellStyle name="Normal 12 6 4 8" xfId="27110"/>
    <cellStyle name="Normal 12 6 4 9" xfId="27111"/>
    <cellStyle name="Normal 12 6 5" xfId="27112"/>
    <cellStyle name="Normal 12 6 5 10" xfId="27113"/>
    <cellStyle name="Normal 12 6 5 11" xfId="27114"/>
    <cellStyle name="Normal 12 6 5 12" xfId="27115"/>
    <cellStyle name="Normal 12 6 5 13" xfId="27116"/>
    <cellStyle name="Normal 12 6 5 14" xfId="27117"/>
    <cellStyle name="Normal 12 6 5 15" xfId="27118"/>
    <cellStyle name="Normal 12 6 5 16" xfId="27119"/>
    <cellStyle name="Normal 12 6 5 17" xfId="27120"/>
    <cellStyle name="Normal 12 6 5 2" xfId="27121"/>
    <cellStyle name="Normal 12 6 5 2 10" xfId="27122"/>
    <cellStyle name="Normal 12 6 5 2 11" xfId="27123"/>
    <cellStyle name="Normal 12 6 5 2 12" xfId="27124"/>
    <cellStyle name="Normal 12 6 5 2 13" xfId="27125"/>
    <cellStyle name="Normal 12 6 5 2 2" xfId="27126"/>
    <cellStyle name="Normal 12 6 5 2 2 2" xfId="27127"/>
    <cellStyle name="Normal 12 6 5 2 2 2 2" xfId="27128"/>
    <cellStyle name="Normal 12 6 5 2 2 3" xfId="27129"/>
    <cellStyle name="Normal 12 6 5 2 2 4" xfId="27130"/>
    <cellStyle name="Normal 12 6 5 2 2 5" xfId="27131"/>
    <cellStyle name="Normal 12 6 5 2 3" xfId="27132"/>
    <cellStyle name="Normal 12 6 5 2 3 2" xfId="27133"/>
    <cellStyle name="Normal 12 6 5 2 4" xfId="27134"/>
    <cellStyle name="Normal 12 6 5 2 4 2" xfId="27135"/>
    <cellStyle name="Normal 12 6 5 2 5" xfId="27136"/>
    <cellStyle name="Normal 12 6 5 2 5 2" xfId="27137"/>
    <cellStyle name="Normal 12 6 5 2 6" xfId="27138"/>
    <cellStyle name="Normal 12 6 5 2 6 2" xfId="27139"/>
    <cellStyle name="Normal 12 6 5 2 7" xfId="27140"/>
    <cellStyle name="Normal 12 6 5 2 8" xfId="27141"/>
    <cellStyle name="Normal 12 6 5 2 9" xfId="27142"/>
    <cellStyle name="Normal 12 6 5 3" xfId="27143"/>
    <cellStyle name="Normal 12 6 5 3 2" xfId="27144"/>
    <cellStyle name="Normal 12 6 5 3 2 2" xfId="27145"/>
    <cellStyle name="Normal 12 6 5 3 3" xfId="27146"/>
    <cellStyle name="Normal 12 6 5 3 4" xfId="27147"/>
    <cellStyle name="Normal 12 6 5 3 5" xfId="27148"/>
    <cellStyle name="Normal 12 6 5 4" xfId="27149"/>
    <cellStyle name="Normal 12 6 5 4 2" xfId="27150"/>
    <cellStyle name="Normal 12 6 5 5" xfId="27151"/>
    <cellStyle name="Normal 12 6 5 5 2" xfId="27152"/>
    <cellStyle name="Normal 12 6 5 6" xfId="27153"/>
    <cellStyle name="Normal 12 6 5 6 2" xfId="27154"/>
    <cellStyle name="Normal 12 6 5 7" xfId="27155"/>
    <cellStyle name="Normal 12 6 5 7 2" xfId="27156"/>
    <cellStyle name="Normal 12 6 5 8" xfId="27157"/>
    <cellStyle name="Normal 12 6 5 9" xfId="27158"/>
    <cellStyle name="Normal 12 6 6" xfId="27159"/>
    <cellStyle name="Normal 12 6 6 10" xfId="27160"/>
    <cellStyle name="Normal 12 6 6 11" xfId="27161"/>
    <cellStyle name="Normal 12 6 6 12" xfId="27162"/>
    <cellStyle name="Normal 12 6 6 13" xfId="27163"/>
    <cellStyle name="Normal 12 6 6 14" xfId="27164"/>
    <cellStyle name="Normal 12 6 6 15" xfId="27165"/>
    <cellStyle name="Normal 12 6 6 16" xfId="27166"/>
    <cellStyle name="Normal 12 6 6 17" xfId="27167"/>
    <cellStyle name="Normal 12 6 6 2" xfId="27168"/>
    <cellStyle name="Normal 12 6 6 2 10" xfId="27169"/>
    <cellStyle name="Normal 12 6 6 2 11" xfId="27170"/>
    <cellStyle name="Normal 12 6 6 2 12" xfId="27171"/>
    <cellStyle name="Normal 12 6 6 2 13" xfId="27172"/>
    <cellStyle name="Normal 12 6 6 2 2" xfId="27173"/>
    <cellStyle name="Normal 12 6 6 2 2 2" xfId="27174"/>
    <cellStyle name="Normal 12 6 6 2 2 2 2" xfId="27175"/>
    <cellStyle name="Normal 12 6 6 2 2 3" xfId="27176"/>
    <cellStyle name="Normal 12 6 6 2 2 4" xfId="27177"/>
    <cellStyle name="Normal 12 6 6 2 2 5" xfId="27178"/>
    <cellStyle name="Normal 12 6 6 2 3" xfId="27179"/>
    <cellStyle name="Normal 12 6 6 2 3 2" xfId="27180"/>
    <cellStyle name="Normal 12 6 6 2 4" xfId="27181"/>
    <cellStyle name="Normal 12 6 6 2 4 2" xfId="27182"/>
    <cellStyle name="Normal 12 6 6 2 5" xfId="27183"/>
    <cellStyle name="Normal 12 6 6 2 5 2" xfId="27184"/>
    <cellStyle name="Normal 12 6 6 2 6" xfId="27185"/>
    <cellStyle name="Normal 12 6 6 2 6 2" xfId="27186"/>
    <cellStyle name="Normal 12 6 6 2 7" xfId="27187"/>
    <cellStyle name="Normal 12 6 6 2 8" xfId="27188"/>
    <cellStyle name="Normal 12 6 6 2 9" xfId="27189"/>
    <cellStyle name="Normal 12 6 6 3" xfId="27190"/>
    <cellStyle name="Normal 12 6 6 3 2" xfId="27191"/>
    <cellStyle name="Normal 12 6 6 3 2 2" xfId="27192"/>
    <cellStyle name="Normal 12 6 6 3 3" xfId="27193"/>
    <cellStyle name="Normal 12 6 6 3 4" xfId="27194"/>
    <cellStyle name="Normal 12 6 6 3 5" xfId="27195"/>
    <cellStyle name="Normal 12 6 6 4" xfId="27196"/>
    <cellStyle name="Normal 12 6 6 4 2" xfId="27197"/>
    <cellStyle name="Normal 12 6 6 5" xfId="27198"/>
    <cellStyle name="Normal 12 6 6 5 2" xfId="27199"/>
    <cellStyle name="Normal 12 6 6 6" xfId="27200"/>
    <cellStyle name="Normal 12 6 6 6 2" xfId="27201"/>
    <cellStyle name="Normal 12 6 6 7" xfId="27202"/>
    <cellStyle name="Normal 12 6 6 7 2" xfId="27203"/>
    <cellStyle name="Normal 12 6 6 8" xfId="27204"/>
    <cellStyle name="Normal 12 6 6 9" xfId="27205"/>
    <cellStyle name="Normal 12 6 7" xfId="27206"/>
    <cellStyle name="Normal 12 6 7 10" xfId="27207"/>
    <cellStyle name="Normal 12 6 7 11" xfId="27208"/>
    <cellStyle name="Normal 12 6 7 12" xfId="27209"/>
    <cellStyle name="Normal 12 6 7 13" xfId="27210"/>
    <cellStyle name="Normal 12 6 7 14" xfId="27211"/>
    <cellStyle name="Normal 12 6 7 15" xfId="27212"/>
    <cellStyle name="Normal 12 6 7 16" xfId="27213"/>
    <cellStyle name="Normal 12 6 7 17" xfId="27214"/>
    <cellStyle name="Normal 12 6 7 2" xfId="27215"/>
    <cellStyle name="Normal 12 6 7 2 10" xfId="27216"/>
    <cellStyle name="Normal 12 6 7 2 11" xfId="27217"/>
    <cellStyle name="Normal 12 6 7 2 12" xfId="27218"/>
    <cellStyle name="Normal 12 6 7 2 13" xfId="27219"/>
    <cellStyle name="Normal 12 6 7 2 2" xfId="27220"/>
    <cellStyle name="Normal 12 6 7 2 2 2" xfId="27221"/>
    <cellStyle name="Normal 12 6 7 2 2 2 2" xfId="27222"/>
    <cellStyle name="Normal 12 6 7 2 2 3" xfId="27223"/>
    <cellStyle name="Normal 12 6 7 2 2 4" xfId="27224"/>
    <cellStyle name="Normal 12 6 7 2 2 5" xfId="27225"/>
    <cellStyle name="Normal 12 6 7 2 3" xfId="27226"/>
    <cellStyle name="Normal 12 6 7 2 3 2" xfId="27227"/>
    <cellStyle name="Normal 12 6 7 2 4" xfId="27228"/>
    <cellStyle name="Normal 12 6 7 2 4 2" xfId="27229"/>
    <cellStyle name="Normal 12 6 7 2 5" xfId="27230"/>
    <cellStyle name="Normal 12 6 7 2 5 2" xfId="27231"/>
    <cellStyle name="Normal 12 6 7 2 6" xfId="27232"/>
    <cellStyle name="Normal 12 6 7 2 6 2" xfId="27233"/>
    <cellStyle name="Normal 12 6 7 2 7" xfId="27234"/>
    <cellStyle name="Normal 12 6 7 2 8" xfId="27235"/>
    <cellStyle name="Normal 12 6 7 2 9" xfId="27236"/>
    <cellStyle name="Normal 12 6 7 3" xfId="27237"/>
    <cellStyle name="Normal 12 6 7 3 2" xfId="27238"/>
    <cellStyle name="Normal 12 6 7 3 2 2" xfId="27239"/>
    <cellStyle name="Normal 12 6 7 3 3" xfId="27240"/>
    <cellStyle name="Normal 12 6 7 3 4" xfId="27241"/>
    <cellStyle name="Normal 12 6 7 3 5" xfId="27242"/>
    <cellStyle name="Normal 12 6 7 4" xfId="27243"/>
    <cellStyle name="Normal 12 6 7 4 2" xfId="27244"/>
    <cellStyle name="Normal 12 6 7 5" xfId="27245"/>
    <cellStyle name="Normal 12 6 7 5 2" xfId="27246"/>
    <cellStyle name="Normal 12 6 7 6" xfId="27247"/>
    <cellStyle name="Normal 12 6 7 6 2" xfId="27248"/>
    <cellStyle name="Normal 12 6 7 7" xfId="27249"/>
    <cellStyle name="Normal 12 6 7 7 2" xfId="27250"/>
    <cellStyle name="Normal 12 6 7 8" xfId="27251"/>
    <cellStyle name="Normal 12 6 7 9" xfId="27252"/>
    <cellStyle name="Normal 12 6 8" xfId="27253"/>
    <cellStyle name="Normal 12 6 8 10" xfId="27254"/>
    <cellStyle name="Normal 12 6 8 11" xfId="27255"/>
    <cellStyle name="Normal 12 6 8 12" xfId="27256"/>
    <cellStyle name="Normal 12 6 8 13" xfId="27257"/>
    <cellStyle name="Normal 12 6 8 14" xfId="27258"/>
    <cellStyle name="Normal 12 6 8 15" xfId="27259"/>
    <cellStyle name="Normal 12 6 8 2" xfId="27260"/>
    <cellStyle name="Normal 12 6 8 2 2" xfId="27261"/>
    <cellStyle name="Normal 12 6 8 2 2 2" xfId="27262"/>
    <cellStyle name="Normal 12 6 8 2 3" xfId="27263"/>
    <cellStyle name="Normal 12 6 8 2 3 2" xfId="27264"/>
    <cellStyle name="Normal 12 6 8 2 4" xfId="27265"/>
    <cellStyle name="Normal 12 6 8 2 4 2" xfId="27266"/>
    <cellStyle name="Normal 12 6 8 2 5" xfId="27267"/>
    <cellStyle name="Normal 12 6 8 2 5 2" xfId="27268"/>
    <cellStyle name="Normal 12 6 8 2 6" xfId="27269"/>
    <cellStyle name="Normal 12 6 8 2 7" xfId="27270"/>
    <cellStyle name="Normal 12 6 8 2 8" xfId="27271"/>
    <cellStyle name="Normal 12 6 8 2 9" xfId="27272"/>
    <cellStyle name="Normal 12 6 8 3" xfId="27273"/>
    <cellStyle name="Normal 12 6 8 3 2" xfId="27274"/>
    <cellStyle name="Normal 12 6 8 3 2 2" xfId="27275"/>
    <cellStyle name="Normal 12 6 8 3 3" xfId="27276"/>
    <cellStyle name="Normal 12 6 8 3 4" xfId="27277"/>
    <cellStyle name="Normal 12 6 8 3 5" xfId="27278"/>
    <cellStyle name="Normal 12 6 8 4" xfId="27279"/>
    <cellStyle name="Normal 12 6 8 4 2" xfId="27280"/>
    <cellStyle name="Normal 12 6 8 5" xfId="27281"/>
    <cellStyle name="Normal 12 6 8 5 2" xfId="27282"/>
    <cellStyle name="Normal 12 6 8 6" xfId="27283"/>
    <cellStyle name="Normal 12 6 8 6 2" xfId="27284"/>
    <cellStyle name="Normal 12 6 8 7" xfId="27285"/>
    <cellStyle name="Normal 12 6 8 7 2" xfId="27286"/>
    <cellStyle name="Normal 12 6 8 8" xfId="27287"/>
    <cellStyle name="Normal 12 6 8 9" xfId="27288"/>
    <cellStyle name="Normal 12 6 9" xfId="27289"/>
    <cellStyle name="Normal 12 6 9 10" xfId="27290"/>
    <cellStyle name="Normal 12 6 9 11" xfId="27291"/>
    <cellStyle name="Normal 12 6 9 12" xfId="27292"/>
    <cellStyle name="Normal 12 6 9 13" xfId="27293"/>
    <cellStyle name="Normal 12 6 9 14" xfId="27294"/>
    <cellStyle name="Normal 12 6 9 15" xfId="27295"/>
    <cellStyle name="Normal 12 6 9 2" xfId="27296"/>
    <cellStyle name="Normal 12 6 9 2 2" xfId="27297"/>
    <cellStyle name="Normal 12 6 9 2 2 2" xfId="27298"/>
    <cellStyle name="Normal 12 6 9 2 3" xfId="27299"/>
    <cellStyle name="Normal 12 6 9 2 3 2" xfId="27300"/>
    <cellStyle name="Normal 12 6 9 2 4" xfId="27301"/>
    <cellStyle name="Normal 12 6 9 2 4 2" xfId="27302"/>
    <cellStyle name="Normal 12 6 9 2 5" xfId="27303"/>
    <cellStyle name="Normal 12 6 9 2 5 2" xfId="27304"/>
    <cellStyle name="Normal 12 6 9 2 6" xfId="27305"/>
    <cellStyle name="Normal 12 6 9 2 7" xfId="27306"/>
    <cellStyle name="Normal 12 6 9 2 8" xfId="27307"/>
    <cellStyle name="Normal 12 6 9 2 9" xfId="27308"/>
    <cellStyle name="Normal 12 6 9 3" xfId="27309"/>
    <cellStyle name="Normal 12 6 9 3 2" xfId="27310"/>
    <cellStyle name="Normal 12 6 9 3 2 2" xfId="27311"/>
    <cellStyle name="Normal 12 6 9 3 3" xfId="27312"/>
    <cellStyle name="Normal 12 6 9 3 4" xfId="27313"/>
    <cellStyle name="Normal 12 6 9 3 5" xfId="27314"/>
    <cellStyle name="Normal 12 6 9 4" xfId="27315"/>
    <cellStyle name="Normal 12 6 9 4 2" xfId="27316"/>
    <cellStyle name="Normal 12 6 9 5" xfId="27317"/>
    <cellStyle name="Normal 12 6 9 5 2" xfId="27318"/>
    <cellStyle name="Normal 12 6 9 6" xfId="27319"/>
    <cellStyle name="Normal 12 6 9 6 2" xfId="27320"/>
    <cellStyle name="Normal 12 6 9 7" xfId="27321"/>
    <cellStyle name="Normal 12 6 9 7 2" xfId="27322"/>
    <cellStyle name="Normal 12 6 9 8" xfId="27323"/>
    <cellStyle name="Normal 12 6 9 9" xfId="27324"/>
    <cellStyle name="Normal 12 7" xfId="27325"/>
    <cellStyle name="Normal 12 7 10" xfId="27326"/>
    <cellStyle name="Normal 12 7 10 10" xfId="27327"/>
    <cellStyle name="Normal 12 7 10 11" xfId="27328"/>
    <cellStyle name="Normal 12 7 10 12" xfId="27329"/>
    <cellStyle name="Normal 12 7 10 13" xfId="27330"/>
    <cellStyle name="Normal 12 7 10 14" xfId="27331"/>
    <cellStyle name="Normal 12 7 10 2" xfId="27332"/>
    <cellStyle name="Normal 12 7 10 2 2" xfId="27333"/>
    <cellStyle name="Normal 12 7 10 2 2 2" xfId="27334"/>
    <cellStyle name="Normal 12 7 10 2 3" xfId="27335"/>
    <cellStyle name="Normal 12 7 10 2 3 2" xfId="27336"/>
    <cellStyle name="Normal 12 7 10 2 4" xfId="27337"/>
    <cellStyle name="Normal 12 7 10 2 4 2" xfId="27338"/>
    <cellStyle name="Normal 12 7 10 2 5" xfId="27339"/>
    <cellStyle name="Normal 12 7 10 2 5 2" xfId="27340"/>
    <cellStyle name="Normal 12 7 10 2 6" xfId="27341"/>
    <cellStyle name="Normal 12 7 10 2 7" xfId="27342"/>
    <cellStyle name="Normal 12 7 10 2 8" xfId="27343"/>
    <cellStyle name="Normal 12 7 10 2 9" xfId="27344"/>
    <cellStyle name="Normal 12 7 10 3" xfId="27345"/>
    <cellStyle name="Normal 12 7 10 3 2" xfId="27346"/>
    <cellStyle name="Normal 12 7 10 3 2 2" xfId="27347"/>
    <cellStyle name="Normal 12 7 10 3 3" xfId="27348"/>
    <cellStyle name="Normal 12 7 10 3 4" xfId="27349"/>
    <cellStyle name="Normal 12 7 10 3 5" xfId="27350"/>
    <cellStyle name="Normal 12 7 10 4" xfId="27351"/>
    <cellStyle name="Normal 12 7 10 4 2" xfId="27352"/>
    <cellStyle name="Normal 12 7 10 5" xfId="27353"/>
    <cellStyle name="Normal 12 7 10 5 2" xfId="27354"/>
    <cellStyle name="Normal 12 7 10 6" xfId="27355"/>
    <cellStyle name="Normal 12 7 10 6 2" xfId="27356"/>
    <cellStyle name="Normal 12 7 10 7" xfId="27357"/>
    <cellStyle name="Normal 12 7 10 7 2" xfId="27358"/>
    <cellStyle name="Normal 12 7 10 8" xfId="27359"/>
    <cellStyle name="Normal 12 7 10 9" xfId="27360"/>
    <cellStyle name="Normal 12 7 11" xfId="27361"/>
    <cellStyle name="Normal 12 7 11 2" xfId="27362"/>
    <cellStyle name="Normal 12 7 11 2 2" xfId="27363"/>
    <cellStyle name="Normal 12 7 11 3" xfId="27364"/>
    <cellStyle name="Normal 12 7 11 3 2" xfId="27365"/>
    <cellStyle name="Normal 12 7 11 4" xfId="27366"/>
    <cellStyle name="Normal 12 7 11 4 2" xfId="27367"/>
    <cellStyle name="Normal 12 7 11 5" xfId="27368"/>
    <cellStyle name="Normal 12 7 11 5 2" xfId="27369"/>
    <cellStyle name="Normal 12 7 11 6" xfId="27370"/>
    <cellStyle name="Normal 12 7 11 7" xfId="27371"/>
    <cellStyle name="Normal 12 7 11 8" xfId="27372"/>
    <cellStyle name="Normal 12 7 11 9" xfId="27373"/>
    <cellStyle name="Normal 12 7 12" xfId="27374"/>
    <cellStyle name="Normal 12 7 12 2" xfId="27375"/>
    <cellStyle name="Normal 12 7 12 2 2" xfId="27376"/>
    <cellStyle name="Normal 12 7 12 3" xfId="27377"/>
    <cellStyle name="Normal 12 7 12 4" xfId="27378"/>
    <cellStyle name="Normal 12 7 12 5" xfId="27379"/>
    <cellStyle name="Normal 12 7 13" xfId="27380"/>
    <cellStyle name="Normal 12 7 13 2" xfId="27381"/>
    <cellStyle name="Normal 12 7 14" xfId="27382"/>
    <cellStyle name="Normal 12 7 14 2" xfId="27383"/>
    <cellStyle name="Normal 12 7 15" xfId="27384"/>
    <cellStyle name="Normal 12 7 15 2" xfId="27385"/>
    <cellStyle name="Normal 12 7 16" xfId="27386"/>
    <cellStyle name="Normal 12 7 16 2" xfId="27387"/>
    <cellStyle name="Normal 12 7 17" xfId="27388"/>
    <cellStyle name="Normal 12 7 18" xfId="27389"/>
    <cellStyle name="Normal 12 7 19" xfId="27390"/>
    <cellStyle name="Normal 12 7 2" xfId="27391"/>
    <cellStyle name="Normal 12 7 2 10" xfId="27392"/>
    <cellStyle name="Normal 12 7 2 11" xfId="27393"/>
    <cellStyle name="Normal 12 7 2 12" xfId="27394"/>
    <cellStyle name="Normal 12 7 2 13" xfId="27395"/>
    <cellStyle name="Normal 12 7 2 14" xfId="27396"/>
    <cellStyle name="Normal 12 7 2 15" xfId="27397"/>
    <cellStyle name="Normal 12 7 2 16" xfId="27398"/>
    <cellStyle name="Normal 12 7 2 17" xfId="27399"/>
    <cellStyle name="Normal 12 7 2 18" xfId="27400"/>
    <cellStyle name="Normal 12 7 2 2" xfId="27401"/>
    <cellStyle name="Normal 12 7 2 2 10" xfId="27402"/>
    <cellStyle name="Normal 12 7 2 2 11" xfId="27403"/>
    <cellStyle name="Normal 12 7 2 2 12" xfId="27404"/>
    <cellStyle name="Normal 12 7 2 2 13" xfId="27405"/>
    <cellStyle name="Normal 12 7 2 2 2" xfId="27406"/>
    <cellStyle name="Normal 12 7 2 2 2 2" xfId="27407"/>
    <cellStyle name="Normal 12 7 2 2 2 2 2" xfId="27408"/>
    <cellStyle name="Normal 12 7 2 2 2 3" xfId="27409"/>
    <cellStyle name="Normal 12 7 2 2 2 4" xfId="27410"/>
    <cellStyle name="Normal 12 7 2 2 2 5" xfId="27411"/>
    <cellStyle name="Normal 12 7 2 2 3" xfId="27412"/>
    <cellStyle name="Normal 12 7 2 2 3 2" xfId="27413"/>
    <cellStyle name="Normal 12 7 2 2 4" xfId="27414"/>
    <cellStyle name="Normal 12 7 2 2 4 2" xfId="27415"/>
    <cellStyle name="Normal 12 7 2 2 5" xfId="27416"/>
    <cellStyle name="Normal 12 7 2 2 5 2" xfId="27417"/>
    <cellStyle name="Normal 12 7 2 2 6" xfId="27418"/>
    <cellStyle name="Normal 12 7 2 2 6 2" xfId="27419"/>
    <cellStyle name="Normal 12 7 2 2 7" xfId="27420"/>
    <cellStyle name="Normal 12 7 2 2 8" xfId="27421"/>
    <cellStyle name="Normal 12 7 2 2 9" xfId="27422"/>
    <cellStyle name="Normal 12 7 2 3" xfId="27423"/>
    <cellStyle name="Normal 12 7 2 3 2" xfId="27424"/>
    <cellStyle name="Normal 12 7 2 3 2 2" xfId="27425"/>
    <cellStyle name="Normal 12 7 2 3 3" xfId="27426"/>
    <cellStyle name="Normal 12 7 2 3 4" xfId="27427"/>
    <cellStyle name="Normal 12 7 2 3 5" xfId="27428"/>
    <cellStyle name="Normal 12 7 2 4" xfId="27429"/>
    <cellStyle name="Normal 12 7 2 4 2" xfId="27430"/>
    <cellStyle name="Normal 12 7 2 5" xfId="27431"/>
    <cellStyle name="Normal 12 7 2 5 2" xfId="27432"/>
    <cellStyle name="Normal 12 7 2 6" xfId="27433"/>
    <cellStyle name="Normal 12 7 2 6 2" xfId="27434"/>
    <cellStyle name="Normal 12 7 2 7" xfId="27435"/>
    <cellStyle name="Normal 12 7 2 7 2" xfId="27436"/>
    <cellStyle name="Normal 12 7 2 8" xfId="27437"/>
    <cellStyle name="Normal 12 7 2 9" xfId="27438"/>
    <cellStyle name="Normal 12 7 20" xfId="27439"/>
    <cellStyle name="Normal 12 7 21" xfId="27440"/>
    <cellStyle name="Normal 12 7 22" xfId="27441"/>
    <cellStyle name="Normal 12 7 23" xfId="27442"/>
    <cellStyle name="Normal 12 7 24" xfId="27443"/>
    <cellStyle name="Normal 12 7 25" xfId="27444"/>
    <cellStyle name="Normal 12 7 3" xfId="27445"/>
    <cellStyle name="Normal 12 7 3 10" xfId="27446"/>
    <cellStyle name="Normal 12 7 3 11" xfId="27447"/>
    <cellStyle name="Normal 12 7 3 12" xfId="27448"/>
    <cellStyle name="Normal 12 7 3 13" xfId="27449"/>
    <cellStyle name="Normal 12 7 3 14" xfId="27450"/>
    <cellStyle name="Normal 12 7 3 15" xfId="27451"/>
    <cellStyle name="Normal 12 7 3 16" xfId="27452"/>
    <cellStyle name="Normal 12 7 3 17" xfId="27453"/>
    <cellStyle name="Normal 12 7 3 18" xfId="27454"/>
    <cellStyle name="Normal 12 7 3 2" xfId="27455"/>
    <cellStyle name="Normal 12 7 3 2 10" xfId="27456"/>
    <cellStyle name="Normal 12 7 3 2 11" xfId="27457"/>
    <cellStyle name="Normal 12 7 3 2 12" xfId="27458"/>
    <cellStyle name="Normal 12 7 3 2 13" xfId="27459"/>
    <cellStyle name="Normal 12 7 3 2 2" xfId="27460"/>
    <cellStyle name="Normal 12 7 3 2 2 2" xfId="27461"/>
    <cellStyle name="Normal 12 7 3 2 2 2 2" xfId="27462"/>
    <cellStyle name="Normal 12 7 3 2 2 3" xfId="27463"/>
    <cellStyle name="Normal 12 7 3 2 2 4" xfId="27464"/>
    <cellStyle name="Normal 12 7 3 2 2 5" xfId="27465"/>
    <cellStyle name="Normal 12 7 3 2 3" xfId="27466"/>
    <cellStyle name="Normal 12 7 3 2 3 2" xfId="27467"/>
    <cellStyle name="Normal 12 7 3 2 4" xfId="27468"/>
    <cellStyle name="Normal 12 7 3 2 4 2" xfId="27469"/>
    <cellStyle name="Normal 12 7 3 2 5" xfId="27470"/>
    <cellStyle name="Normal 12 7 3 2 5 2" xfId="27471"/>
    <cellStyle name="Normal 12 7 3 2 6" xfId="27472"/>
    <cellStyle name="Normal 12 7 3 2 6 2" xfId="27473"/>
    <cellStyle name="Normal 12 7 3 2 7" xfId="27474"/>
    <cellStyle name="Normal 12 7 3 2 8" xfId="27475"/>
    <cellStyle name="Normal 12 7 3 2 9" xfId="27476"/>
    <cellStyle name="Normal 12 7 3 3" xfId="27477"/>
    <cellStyle name="Normal 12 7 3 3 2" xfId="27478"/>
    <cellStyle name="Normal 12 7 3 3 2 2" xfId="27479"/>
    <cellStyle name="Normal 12 7 3 3 3" xfId="27480"/>
    <cellStyle name="Normal 12 7 3 3 4" xfId="27481"/>
    <cellStyle name="Normal 12 7 3 3 5" xfId="27482"/>
    <cellStyle name="Normal 12 7 3 4" xfId="27483"/>
    <cellStyle name="Normal 12 7 3 4 2" xfId="27484"/>
    <cellStyle name="Normal 12 7 3 5" xfId="27485"/>
    <cellStyle name="Normal 12 7 3 5 2" xfId="27486"/>
    <cellStyle name="Normal 12 7 3 6" xfId="27487"/>
    <cellStyle name="Normal 12 7 3 6 2" xfId="27488"/>
    <cellStyle name="Normal 12 7 3 7" xfId="27489"/>
    <cellStyle name="Normal 12 7 3 7 2" xfId="27490"/>
    <cellStyle name="Normal 12 7 3 8" xfId="27491"/>
    <cellStyle name="Normal 12 7 3 9" xfId="27492"/>
    <cellStyle name="Normal 12 7 4" xfId="27493"/>
    <cellStyle name="Normal 12 7 4 10" xfId="27494"/>
    <cellStyle name="Normal 12 7 4 11" xfId="27495"/>
    <cellStyle name="Normal 12 7 4 12" xfId="27496"/>
    <cellStyle name="Normal 12 7 4 13" xfId="27497"/>
    <cellStyle name="Normal 12 7 4 14" xfId="27498"/>
    <cellStyle name="Normal 12 7 4 15" xfId="27499"/>
    <cellStyle name="Normal 12 7 4 16" xfId="27500"/>
    <cellStyle name="Normal 12 7 4 17" xfId="27501"/>
    <cellStyle name="Normal 12 7 4 18" xfId="27502"/>
    <cellStyle name="Normal 12 7 4 2" xfId="27503"/>
    <cellStyle name="Normal 12 7 4 2 10" xfId="27504"/>
    <cellStyle name="Normal 12 7 4 2 11" xfId="27505"/>
    <cellStyle name="Normal 12 7 4 2 12" xfId="27506"/>
    <cellStyle name="Normal 12 7 4 2 13" xfId="27507"/>
    <cellStyle name="Normal 12 7 4 2 2" xfId="27508"/>
    <cellStyle name="Normal 12 7 4 2 2 2" xfId="27509"/>
    <cellStyle name="Normal 12 7 4 2 2 2 2" xfId="27510"/>
    <cellStyle name="Normal 12 7 4 2 2 3" xfId="27511"/>
    <cellStyle name="Normal 12 7 4 2 2 4" xfId="27512"/>
    <cellStyle name="Normal 12 7 4 2 2 5" xfId="27513"/>
    <cellStyle name="Normal 12 7 4 2 3" xfId="27514"/>
    <cellStyle name="Normal 12 7 4 2 3 2" xfId="27515"/>
    <cellStyle name="Normal 12 7 4 2 4" xfId="27516"/>
    <cellStyle name="Normal 12 7 4 2 4 2" xfId="27517"/>
    <cellStyle name="Normal 12 7 4 2 5" xfId="27518"/>
    <cellStyle name="Normal 12 7 4 2 5 2" xfId="27519"/>
    <cellStyle name="Normal 12 7 4 2 6" xfId="27520"/>
    <cellStyle name="Normal 12 7 4 2 6 2" xfId="27521"/>
    <cellStyle name="Normal 12 7 4 2 7" xfId="27522"/>
    <cellStyle name="Normal 12 7 4 2 8" xfId="27523"/>
    <cellStyle name="Normal 12 7 4 2 9" xfId="27524"/>
    <cellStyle name="Normal 12 7 4 3" xfId="27525"/>
    <cellStyle name="Normal 12 7 4 3 2" xfId="27526"/>
    <cellStyle name="Normal 12 7 4 3 2 2" xfId="27527"/>
    <cellStyle name="Normal 12 7 4 3 3" xfId="27528"/>
    <cellStyle name="Normal 12 7 4 3 4" xfId="27529"/>
    <cellStyle name="Normal 12 7 4 3 5" xfId="27530"/>
    <cellStyle name="Normal 12 7 4 4" xfId="27531"/>
    <cellStyle name="Normal 12 7 4 4 2" xfId="27532"/>
    <cellStyle name="Normal 12 7 4 5" xfId="27533"/>
    <cellStyle name="Normal 12 7 4 5 2" xfId="27534"/>
    <cellStyle name="Normal 12 7 4 6" xfId="27535"/>
    <cellStyle name="Normal 12 7 4 6 2" xfId="27536"/>
    <cellStyle name="Normal 12 7 4 7" xfId="27537"/>
    <cellStyle name="Normal 12 7 4 7 2" xfId="27538"/>
    <cellStyle name="Normal 12 7 4 8" xfId="27539"/>
    <cellStyle name="Normal 12 7 4 9" xfId="27540"/>
    <cellStyle name="Normal 12 7 5" xfId="27541"/>
    <cellStyle name="Normal 12 7 5 10" xfId="27542"/>
    <cellStyle name="Normal 12 7 5 11" xfId="27543"/>
    <cellStyle name="Normal 12 7 5 12" xfId="27544"/>
    <cellStyle name="Normal 12 7 5 13" xfId="27545"/>
    <cellStyle name="Normal 12 7 5 14" xfId="27546"/>
    <cellStyle name="Normal 12 7 5 15" xfId="27547"/>
    <cellStyle name="Normal 12 7 5 16" xfId="27548"/>
    <cellStyle name="Normal 12 7 5 17" xfId="27549"/>
    <cellStyle name="Normal 12 7 5 2" xfId="27550"/>
    <cellStyle name="Normal 12 7 5 2 10" xfId="27551"/>
    <cellStyle name="Normal 12 7 5 2 11" xfId="27552"/>
    <cellStyle name="Normal 12 7 5 2 12" xfId="27553"/>
    <cellStyle name="Normal 12 7 5 2 13" xfId="27554"/>
    <cellStyle name="Normal 12 7 5 2 2" xfId="27555"/>
    <cellStyle name="Normal 12 7 5 2 2 2" xfId="27556"/>
    <cellStyle name="Normal 12 7 5 2 2 2 2" xfId="27557"/>
    <cellStyle name="Normal 12 7 5 2 2 3" xfId="27558"/>
    <cellStyle name="Normal 12 7 5 2 2 4" xfId="27559"/>
    <cellStyle name="Normal 12 7 5 2 2 5" xfId="27560"/>
    <cellStyle name="Normal 12 7 5 2 3" xfId="27561"/>
    <cellStyle name="Normal 12 7 5 2 3 2" xfId="27562"/>
    <cellStyle name="Normal 12 7 5 2 4" xfId="27563"/>
    <cellStyle name="Normal 12 7 5 2 4 2" xfId="27564"/>
    <cellStyle name="Normal 12 7 5 2 5" xfId="27565"/>
    <cellStyle name="Normal 12 7 5 2 5 2" xfId="27566"/>
    <cellStyle name="Normal 12 7 5 2 6" xfId="27567"/>
    <cellStyle name="Normal 12 7 5 2 6 2" xfId="27568"/>
    <cellStyle name="Normal 12 7 5 2 7" xfId="27569"/>
    <cellStyle name="Normal 12 7 5 2 8" xfId="27570"/>
    <cellStyle name="Normal 12 7 5 2 9" xfId="27571"/>
    <cellStyle name="Normal 12 7 5 3" xfId="27572"/>
    <cellStyle name="Normal 12 7 5 3 2" xfId="27573"/>
    <cellStyle name="Normal 12 7 5 3 2 2" xfId="27574"/>
    <cellStyle name="Normal 12 7 5 3 3" xfId="27575"/>
    <cellStyle name="Normal 12 7 5 3 4" xfId="27576"/>
    <cellStyle name="Normal 12 7 5 3 5" xfId="27577"/>
    <cellStyle name="Normal 12 7 5 4" xfId="27578"/>
    <cellStyle name="Normal 12 7 5 4 2" xfId="27579"/>
    <cellStyle name="Normal 12 7 5 5" xfId="27580"/>
    <cellStyle name="Normal 12 7 5 5 2" xfId="27581"/>
    <cellStyle name="Normal 12 7 5 6" xfId="27582"/>
    <cellStyle name="Normal 12 7 5 6 2" xfId="27583"/>
    <cellStyle name="Normal 12 7 5 7" xfId="27584"/>
    <cellStyle name="Normal 12 7 5 7 2" xfId="27585"/>
    <cellStyle name="Normal 12 7 5 8" xfId="27586"/>
    <cellStyle name="Normal 12 7 5 9" xfId="27587"/>
    <cellStyle name="Normal 12 7 6" xfId="27588"/>
    <cellStyle name="Normal 12 7 6 10" xfId="27589"/>
    <cellStyle name="Normal 12 7 6 11" xfId="27590"/>
    <cellStyle name="Normal 12 7 6 12" xfId="27591"/>
    <cellStyle name="Normal 12 7 6 13" xfId="27592"/>
    <cellStyle name="Normal 12 7 6 14" xfId="27593"/>
    <cellStyle name="Normal 12 7 6 15" xfId="27594"/>
    <cellStyle name="Normal 12 7 6 16" xfId="27595"/>
    <cellStyle name="Normal 12 7 6 17" xfId="27596"/>
    <cellStyle name="Normal 12 7 6 2" xfId="27597"/>
    <cellStyle name="Normal 12 7 6 2 10" xfId="27598"/>
    <cellStyle name="Normal 12 7 6 2 11" xfId="27599"/>
    <cellStyle name="Normal 12 7 6 2 12" xfId="27600"/>
    <cellStyle name="Normal 12 7 6 2 13" xfId="27601"/>
    <cellStyle name="Normal 12 7 6 2 2" xfId="27602"/>
    <cellStyle name="Normal 12 7 6 2 2 2" xfId="27603"/>
    <cellStyle name="Normal 12 7 6 2 2 2 2" xfId="27604"/>
    <cellStyle name="Normal 12 7 6 2 2 3" xfId="27605"/>
    <cellStyle name="Normal 12 7 6 2 2 4" xfId="27606"/>
    <cellStyle name="Normal 12 7 6 2 2 5" xfId="27607"/>
    <cellStyle name="Normal 12 7 6 2 3" xfId="27608"/>
    <cellStyle name="Normal 12 7 6 2 3 2" xfId="27609"/>
    <cellStyle name="Normal 12 7 6 2 4" xfId="27610"/>
    <cellStyle name="Normal 12 7 6 2 4 2" xfId="27611"/>
    <cellStyle name="Normal 12 7 6 2 5" xfId="27612"/>
    <cellStyle name="Normal 12 7 6 2 5 2" xfId="27613"/>
    <cellStyle name="Normal 12 7 6 2 6" xfId="27614"/>
    <cellStyle name="Normal 12 7 6 2 6 2" xfId="27615"/>
    <cellStyle name="Normal 12 7 6 2 7" xfId="27616"/>
    <cellStyle name="Normal 12 7 6 2 8" xfId="27617"/>
    <cellStyle name="Normal 12 7 6 2 9" xfId="27618"/>
    <cellStyle name="Normal 12 7 6 3" xfId="27619"/>
    <cellStyle name="Normal 12 7 6 3 2" xfId="27620"/>
    <cellStyle name="Normal 12 7 6 3 2 2" xfId="27621"/>
    <cellStyle name="Normal 12 7 6 3 3" xfId="27622"/>
    <cellStyle name="Normal 12 7 6 3 4" xfId="27623"/>
    <cellStyle name="Normal 12 7 6 3 5" xfId="27624"/>
    <cellStyle name="Normal 12 7 6 4" xfId="27625"/>
    <cellStyle name="Normal 12 7 6 4 2" xfId="27626"/>
    <cellStyle name="Normal 12 7 6 5" xfId="27627"/>
    <cellStyle name="Normal 12 7 6 5 2" xfId="27628"/>
    <cellStyle name="Normal 12 7 6 6" xfId="27629"/>
    <cellStyle name="Normal 12 7 6 6 2" xfId="27630"/>
    <cellStyle name="Normal 12 7 6 7" xfId="27631"/>
    <cellStyle name="Normal 12 7 6 7 2" xfId="27632"/>
    <cellStyle name="Normal 12 7 6 8" xfId="27633"/>
    <cellStyle name="Normal 12 7 6 9" xfId="27634"/>
    <cellStyle name="Normal 12 7 7" xfId="27635"/>
    <cellStyle name="Normal 12 7 7 10" xfId="27636"/>
    <cellStyle name="Normal 12 7 7 11" xfId="27637"/>
    <cellStyle name="Normal 12 7 7 12" xfId="27638"/>
    <cellStyle name="Normal 12 7 7 13" xfId="27639"/>
    <cellStyle name="Normal 12 7 7 14" xfId="27640"/>
    <cellStyle name="Normal 12 7 7 15" xfId="27641"/>
    <cellStyle name="Normal 12 7 7 16" xfId="27642"/>
    <cellStyle name="Normal 12 7 7 17" xfId="27643"/>
    <cellStyle name="Normal 12 7 7 2" xfId="27644"/>
    <cellStyle name="Normal 12 7 7 2 10" xfId="27645"/>
    <cellStyle name="Normal 12 7 7 2 11" xfId="27646"/>
    <cellStyle name="Normal 12 7 7 2 12" xfId="27647"/>
    <cellStyle name="Normal 12 7 7 2 13" xfId="27648"/>
    <cellStyle name="Normal 12 7 7 2 2" xfId="27649"/>
    <cellStyle name="Normal 12 7 7 2 2 2" xfId="27650"/>
    <cellStyle name="Normal 12 7 7 2 2 2 2" xfId="27651"/>
    <cellStyle name="Normal 12 7 7 2 2 3" xfId="27652"/>
    <cellStyle name="Normal 12 7 7 2 2 4" xfId="27653"/>
    <cellStyle name="Normal 12 7 7 2 2 5" xfId="27654"/>
    <cellStyle name="Normal 12 7 7 2 3" xfId="27655"/>
    <cellStyle name="Normal 12 7 7 2 3 2" xfId="27656"/>
    <cellStyle name="Normal 12 7 7 2 4" xfId="27657"/>
    <cellStyle name="Normal 12 7 7 2 4 2" xfId="27658"/>
    <cellStyle name="Normal 12 7 7 2 5" xfId="27659"/>
    <cellStyle name="Normal 12 7 7 2 5 2" xfId="27660"/>
    <cellStyle name="Normal 12 7 7 2 6" xfId="27661"/>
    <cellStyle name="Normal 12 7 7 2 6 2" xfId="27662"/>
    <cellStyle name="Normal 12 7 7 2 7" xfId="27663"/>
    <cellStyle name="Normal 12 7 7 2 8" xfId="27664"/>
    <cellStyle name="Normal 12 7 7 2 9" xfId="27665"/>
    <cellStyle name="Normal 12 7 7 3" xfId="27666"/>
    <cellStyle name="Normal 12 7 7 3 2" xfId="27667"/>
    <cellStyle name="Normal 12 7 7 3 2 2" xfId="27668"/>
    <cellStyle name="Normal 12 7 7 3 3" xfId="27669"/>
    <cellStyle name="Normal 12 7 7 3 4" xfId="27670"/>
    <cellStyle name="Normal 12 7 7 3 5" xfId="27671"/>
    <cellStyle name="Normal 12 7 7 4" xfId="27672"/>
    <cellStyle name="Normal 12 7 7 4 2" xfId="27673"/>
    <cellStyle name="Normal 12 7 7 5" xfId="27674"/>
    <cellStyle name="Normal 12 7 7 5 2" xfId="27675"/>
    <cellStyle name="Normal 12 7 7 6" xfId="27676"/>
    <cellStyle name="Normal 12 7 7 6 2" xfId="27677"/>
    <cellStyle name="Normal 12 7 7 7" xfId="27678"/>
    <cellStyle name="Normal 12 7 7 7 2" xfId="27679"/>
    <cellStyle name="Normal 12 7 7 8" xfId="27680"/>
    <cellStyle name="Normal 12 7 7 9" xfId="27681"/>
    <cellStyle name="Normal 12 7 8" xfId="27682"/>
    <cellStyle name="Normal 12 7 8 10" xfId="27683"/>
    <cellStyle name="Normal 12 7 8 11" xfId="27684"/>
    <cellStyle name="Normal 12 7 8 12" xfId="27685"/>
    <cellStyle name="Normal 12 7 8 13" xfId="27686"/>
    <cellStyle name="Normal 12 7 8 14" xfId="27687"/>
    <cellStyle name="Normal 12 7 8 15" xfId="27688"/>
    <cellStyle name="Normal 12 7 8 2" xfId="27689"/>
    <cellStyle name="Normal 12 7 8 2 2" xfId="27690"/>
    <cellStyle name="Normal 12 7 8 2 2 2" xfId="27691"/>
    <cellStyle name="Normal 12 7 8 2 3" xfId="27692"/>
    <cellStyle name="Normal 12 7 8 2 3 2" xfId="27693"/>
    <cellStyle name="Normal 12 7 8 2 4" xfId="27694"/>
    <cellStyle name="Normal 12 7 8 2 4 2" xfId="27695"/>
    <cellStyle name="Normal 12 7 8 2 5" xfId="27696"/>
    <cellStyle name="Normal 12 7 8 2 5 2" xfId="27697"/>
    <cellStyle name="Normal 12 7 8 2 6" xfId="27698"/>
    <cellStyle name="Normal 12 7 8 2 7" xfId="27699"/>
    <cellStyle name="Normal 12 7 8 2 8" xfId="27700"/>
    <cellStyle name="Normal 12 7 8 2 9" xfId="27701"/>
    <cellStyle name="Normal 12 7 8 3" xfId="27702"/>
    <cellStyle name="Normal 12 7 8 3 2" xfId="27703"/>
    <cellStyle name="Normal 12 7 8 3 2 2" xfId="27704"/>
    <cellStyle name="Normal 12 7 8 3 3" xfId="27705"/>
    <cellStyle name="Normal 12 7 8 3 4" xfId="27706"/>
    <cellStyle name="Normal 12 7 8 3 5" xfId="27707"/>
    <cellStyle name="Normal 12 7 8 4" xfId="27708"/>
    <cellStyle name="Normal 12 7 8 4 2" xfId="27709"/>
    <cellStyle name="Normal 12 7 8 5" xfId="27710"/>
    <cellStyle name="Normal 12 7 8 5 2" xfId="27711"/>
    <cellStyle name="Normal 12 7 8 6" xfId="27712"/>
    <cellStyle name="Normal 12 7 8 6 2" xfId="27713"/>
    <cellStyle name="Normal 12 7 8 7" xfId="27714"/>
    <cellStyle name="Normal 12 7 8 7 2" xfId="27715"/>
    <cellStyle name="Normal 12 7 8 8" xfId="27716"/>
    <cellStyle name="Normal 12 7 8 9" xfId="27717"/>
    <cellStyle name="Normal 12 7 9" xfId="27718"/>
    <cellStyle name="Normal 12 7 9 10" xfId="27719"/>
    <cellStyle name="Normal 12 7 9 11" xfId="27720"/>
    <cellStyle name="Normal 12 7 9 12" xfId="27721"/>
    <cellStyle name="Normal 12 7 9 13" xfId="27722"/>
    <cellStyle name="Normal 12 7 9 14" xfId="27723"/>
    <cellStyle name="Normal 12 7 9 15" xfId="27724"/>
    <cellStyle name="Normal 12 7 9 2" xfId="27725"/>
    <cellStyle name="Normal 12 7 9 2 2" xfId="27726"/>
    <cellStyle name="Normal 12 7 9 2 2 2" xfId="27727"/>
    <cellStyle name="Normal 12 7 9 2 3" xfId="27728"/>
    <cellStyle name="Normal 12 7 9 2 3 2" xfId="27729"/>
    <cellStyle name="Normal 12 7 9 2 4" xfId="27730"/>
    <cellStyle name="Normal 12 7 9 2 4 2" xfId="27731"/>
    <cellStyle name="Normal 12 7 9 2 5" xfId="27732"/>
    <cellStyle name="Normal 12 7 9 2 5 2" xfId="27733"/>
    <cellStyle name="Normal 12 7 9 2 6" xfId="27734"/>
    <cellStyle name="Normal 12 7 9 2 7" xfId="27735"/>
    <cellStyle name="Normal 12 7 9 2 8" xfId="27736"/>
    <cellStyle name="Normal 12 7 9 2 9" xfId="27737"/>
    <cellStyle name="Normal 12 7 9 3" xfId="27738"/>
    <cellStyle name="Normal 12 7 9 3 2" xfId="27739"/>
    <cellStyle name="Normal 12 7 9 3 2 2" xfId="27740"/>
    <cellStyle name="Normal 12 7 9 3 3" xfId="27741"/>
    <cellStyle name="Normal 12 7 9 3 4" xfId="27742"/>
    <cellStyle name="Normal 12 7 9 3 5" xfId="27743"/>
    <cellStyle name="Normal 12 7 9 4" xfId="27744"/>
    <cellStyle name="Normal 12 7 9 4 2" xfId="27745"/>
    <cellStyle name="Normal 12 7 9 5" xfId="27746"/>
    <cellStyle name="Normal 12 7 9 5 2" xfId="27747"/>
    <cellStyle name="Normal 12 7 9 6" xfId="27748"/>
    <cellStyle name="Normal 12 7 9 6 2" xfId="27749"/>
    <cellStyle name="Normal 12 7 9 7" xfId="27750"/>
    <cellStyle name="Normal 12 7 9 7 2" xfId="27751"/>
    <cellStyle name="Normal 12 7 9 8" xfId="27752"/>
    <cellStyle name="Normal 12 7 9 9" xfId="27753"/>
    <cellStyle name="Normal 12 8" xfId="27754"/>
    <cellStyle name="Normal 12 8 10" xfId="27755"/>
    <cellStyle name="Normal 12 8 10 10" xfId="27756"/>
    <cellStyle name="Normal 12 8 10 11" xfId="27757"/>
    <cellStyle name="Normal 12 8 10 12" xfId="27758"/>
    <cellStyle name="Normal 12 8 10 13" xfId="27759"/>
    <cellStyle name="Normal 12 8 10 14" xfId="27760"/>
    <cellStyle name="Normal 12 8 10 2" xfId="27761"/>
    <cellStyle name="Normal 12 8 10 2 2" xfId="27762"/>
    <cellStyle name="Normal 12 8 10 2 2 2" xfId="27763"/>
    <cellStyle name="Normal 12 8 10 2 3" xfId="27764"/>
    <cellStyle name="Normal 12 8 10 2 3 2" xfId="27765"/>
    <cellStyle name="Normal 12 8 10 2 4" xfId="27766"/>
    <cellStyle name="Normal 12 8 10 2 4 2" xfId="27767"/>
    <cellStyle name="Normal 12 8 10 2 5" xfId="27768"/>
    <cellStyle name="Normal 12 8 10 2 5 2" xfId="27769"/>
    <cellStyle name="Normal 12 8 10 2 6" xfId="27770"/>
    <cellStyle name="Normal 12 8 10 2 7" xfId="27771"/>
    <cellStyle name="Normal 12 8 10 2 8" xfId="27772"/>
    <cellStyle name="Normal 12 8 10 2 9" xfId="27773"/>
    <cellStyle name="Normal 12 8 10 3" xfId="27774"/>
    <cellStyle name="Normal 12 8 10 3 2" xfId="27775"/>
    <cellStyle name="Normal 12 8 10 3 2 2" xfId="27776"/>
    <cellStyle name="Normal 12 8 10 3 3" xfId="27777"/>
    <cellStyle name="Normal 12 8 10 3 4" xfId="27778"/>
    <cellStyle name="Normal 12 8 10 3 5" xfId="27779"/>
    <cellStyle name="Normal 12 8 10 4" xfId="27780"/>
    <cellStyle name="Normal 12 8 10 4 2" xfId="27781"/>
    <cellStyle name="Normal 12 8 10 5" xfId="27782"/>
    <cellStyle name="Normal 12 8 10 5 2" xfId="27783"/>
    <cellStyle name="Normal 12 8 10 6" xfId="27784"/>
    <cellStyle name="Normal 12 8 10 6 2" xfId="27785"/>
    <cellStyle name="Normal 12 8 10 7" xfId="27786"/>
    <cellStyle name="Normal 12 8 10 7 2" xfId="27787"/>
    <cellStyle name="Normal 12 8 10 8" xfId="27788"/>
    <cellStyle name="Normal 12 8 10 9" xfId="27789"/>
    <cellStyle name="Normal 12 8 11" xfId="27790"/>
    <cellStyle name="Normal 12 8 11 2" xfId="27791"/>
    <cellStyle name="Normal 12 8 11 2 2" xfId="27792"/>
    <cellStyle name="Normal 12 8 11 3" xfId="27793"/>
    <cellStyle name="Normal 12 8 11 3 2" xfId="27794"/>
    <cellStyle name="Normal 12 8 11 4" xfId="27795"/>
    <cellStyle name="Normal 12 8 11 4 2" xfId="27796"/>
    <cellStyle name="Normal 12 8 11 5" xfId="27797"/>
    <cellStyle name="Normal 12 8 11 5 2" xfId="27798"/>
    <cellStyle name="Normal 12 8 11 6" xfId="27799"/>
    <cellStyle name="Normal 12 8 11 7" xfId="27800"/>
    <cellStyle name="Normal 12 8 11 8" xfId="27801"/>
    <cellStyle name="Normal 12 8 11 9" xfId="27802"/>
    <cellStyle name="Normal 12 8 12" xfId="27803"/>
    <cellStyle name="Normal 12 8 12 2" xfId="27804"/>
    <cellStyle name="Normal 12 8 12 2 2" xfId="27805"/>
    <cellStyle name="Normal 12 8 12 3" xfId="27806"/>
    <cellStyle name="Normal 12 8 12 4" xfId="27807"/>
    <cellStyle name="Normal 12 8 12 5" xfId="27808"/>
    <cellStyle name="Normal 12 8 13" xfId="27809"/>
    <cellStyle name="Normal 12 8 13 2" xfId="27810"/>
    <cellStyle name="Normal 12 8 14" xfId="27811"/>
    <cellStyle name="Normal 12 8 14 2" xfId="27812"/>
    <cellStyle name="Normal 12 8 15" xfId="27813"/>
    <cellStyle name="Normal 12 8 15 2" xfId="27814"/>
    <cellStyle name="Normal 12 8 16" xfId="27815"/>
    <cellStyle name="Normal 12 8 16 2" xfId="27816"/>
    <cellStyle name="Normal 12 8 17" xfId="27817"/>
    <cellStyle name="Normal 12 8 18" xfId="27818"/>
    <cellStyle name="Normal 12 8 19" xfId="27819"/>
    <cellStyle name="Normal 12 8 2" xfId="27820"/>
    <cellStyle name="Normal 12 8 2 10" xfId="27821"/>
    <cellStyle name="Normal 12 8 2 11" xfId="27822"/>
    <cellStyle name="Normal 12 8 2 12" xfId="27823"/>
    <cellStyle name="Normal 12 8 2 13" xfId="27824"/>
    <cellStyle name="Normal 12 8 2 14" xfId="27825"/>
    <cellStyle name="Normal 12 8 2 15" xfId="27826"/>
    <cellStyle name="Normal 12 8 2 16" xfId="27827"/>
    <cellStyle name="Normal 12 8 2 17" xfId="27828"/>
    <cellStyle name="Normal 12 8 2 18" xfId="27829"/>
    <cellStyle name="Normal 12 8 2 2" xfId="27830"/>
    <cellStyle name="Normal 12 8 2 2 10" xfId="27831"/>
    <cellStyle name="Normal 12 8 2 2 11" xfId="27832"/>
    <cellStyle name="Normal 12 8 2 2 12" xfId="27833"/>
    <cellStyle name="Normal 12 8 2 2 13" xfId="27834"/>
    <cellStyle name="Normal 12 8 2 2 2" xfId="27835"/>
    <cellStyle name="Normal 12 8 2 2 2 2" xfId="27836"/>
    <cellStyle name="Normal 12 8 2 2 2 2 2" xfId="27837"/>
    <cellStyle name="Normal 12 8 2 2 2 3" xfId="27838"/>
    <cellStyle name="Normal 12 8 2 2 2 4" xfId="27839"/>
    <cellStyle name="Normal 12 8 2 2 2 5" xfId="27840"/>
    <cellStyle name="Normal 12 8 2 2 3" xfId="27841"/>
    <cellStyle name="Normal 12 8 2 2 3 2" xfId="27842"/>
    <cellStyle name="Normal 12 8 2 2 4" xfId="27843"/>
    <cellStyle name="Normal 12 8 2 2 4 2" xfId="27844"/>
    <cellStyle name="Normal 12 8 2 2 5" xfId="27845"/>
    <cellStyle name="Normal 12 8 2 2 5 2" xfId="27846"/>
    <cellStyle name="Normal 12 8 2 2 6" xfId="27847"/>
    <cellStyle name="Normal 12 8 2 2 6 2" xfId="27848"/>
    <cellStyle name="Normal 12 8 2 2 7" xfId="27849"/>
    <cellStyle name="Normal 12 8 2 2 8" xfId="27850"/>
    <cellStyle name="Normal 12 8 2 2 9" xfId="27851"/>
    <cellStyle name="Normal 12 8 2 3" xfId="27852"/>
    <cellStyle name="Normal 12 8 2 3 2" xfId="27853"/>
    <cellStyle name="Normal 12 8 2 3 2 2" xfId="27854"/>
    <cellStyle name="Normal 12 8 2 3 3" xfId="27855"/>
    <cellStyle name="Normal 12 8 2 3 4" xfId="27856"/>
    <cellStyle name="Normal 12 8 2 3 5" xfId="27857"/>
    <cellStyle name="Normal 12 8 2 4" xfId="27858"/>
    <cellStyle name="Normal 12 8 2 4 2" xfId="27859"/>
    <cellStyle name="Normal 12 8 2 5" xfId="27860"/>
    <cellStyle name="Normal 12 8 2 5 2" xfId="27861"/>
    <cellStyle name="Normal 12 8 2 6" xfId="27862"/>
    <cellStyle name="Normal 12 8 2 6 2" xfId="27863"/>
    <cellStyle name="Normal 12 8 2 7" xfId="27864"/>
    <cellStyle name="Normal 12 8 2 7 2" xfId="27865"/>
    <cellStyle name="Normal 12 8 2 8" xfId="27866"/>
    <cellStyle name="Normal 12 8 2 9" xfId="27867"/>
    <cellStyle name="Normal 12 8 20" xfId="27868"/>
    <cellStyle name="Normal 12 8 21" xfId="27869"/>
    <cellStyle name="Normal 12 8 22" xfId="27870"/>
    <cellStyle name="Normal 12 8 23" xfId="27871"/>
    <cellStyle name="Normal 12 8 24" xfId="27872"/>
    <cellStyle name="Normal 12 8 25" xfId="27873"/>
    <cellStyle name="Normal 12 8 3" xfId="27874"/>
    <cellStyle name="Normal 12 8 3 10" xfId="27875"/>
    <cellStyle name="Normal 12 8 3 11" xfId="27876"/>
    <cellStyle name="Normal 12 8 3 12" xfId="27877"/>
    <cellStyle name="Normal 12 8 3 13" xfId="27878"/>
    <cellStyle name="Normal 12 8 3 14" xfId="27879"/>
    <cellStyle name="Normal 12 8 3 15" xfId="27880"/>
    <cellStyle name="Normal 12 8 3 16" xfId="27881"/>
    <cellStyle name="Normal 12 8 3 17" xfId="27882"/>
    <cellStyle name="Normal 12 8 3 18" xfId="27883"/>
    <cellStyle name="Normal 12 8 3 2" xfId="27884"/>
    <cellStyle name="Normal 12 8 3 2 10" xfId="27885"/>
    <cellStyle name="Normal 12 8 3 2 11" xfId="27886"/>
    <cellStyle name="Normal 12 8 3 2 12" xfId="27887"/>
    <cellStyle name="Normal 12 8 3 2 13" xfId="27888"/>
    <cellStyle name="Normal 12 8 3 2 2" xfId="27889"/>
    <cellStyle name="Normal 12 8 3 2 2 2" xfId="27890"/>
    <cellStyle name="Normal 12 8 3 2 2 2 2" xfId="27891"/>
    <cellStyle name="Normal 12 8 3 2 2 3" xfId="27892"/>
    <cellStyle name="Normal 12 8 3 2 2 4" xfId="27893"/>
    <cellStyle name="Normal 12 8 3 2 2 5" xfId="27894"/>
    <cellStyle name="Normal 12 8 3 2 3" xfId="27895"/>
    <cellStyle name="Normal 12 8 3 2 3 2" xfId="27896"/>
    <cellStyle name="Normal 12 8 3 2 4" xfId="27897"/>
    <cellStyle name="Normal 12 8 3 2 4 2" xfId="27898"/>
    <cellStyle name="Normal 12 8 3 2 5" xfId="27899"/>
    <cellStyle name="Normal 12 8 3 2 5 2" xfId="27900"/>
    <cellStyle name="Normal 12 8 3 2 6" xfId="27901"/>
    <cellStyle name="Normal 12 8 3 2 6 2" xfId="27902"/>
    <cellStyle name="Normal 12 8 3 2 7" xfId="27903"/>
    <cellStyle name="Normal 12 8 3 2 8" xfId="27904"/>
    <cellStyle name="Normal 12 8 3 2 9" xfId="27905"/>
    <cellStyle name="Normal 12 8 3 3" xfId="27906"/>
    <cellStyle name="Normal 12 8 3 3 2" xfId="27907"/>
    <cellStyle name="Normal 12 8 3 3 2 2" xfId="27908"/>
    <cellStyle name="Normal 12 8 3 3 3" xfId="27909"/>
    <cellStyle name="Normal 12 8 3 3 4" xfId="27910"/>
    <cellStyle name="Normal 12 8 3 3 5" xfId="27911"/>
    <cellStyle name="Normal 12 8 3 4" xfId="27912"/>
    <cellStyle name="Normal 12 8 3 4 2" xfId="27913"/>
    <cellStyle name="Normal 12 8 3 5" xfId="27914"/>
    <cellStyle name="Normal 12 8 3 5 2" xfId="27915"/>
    <cellStyle name="Normal 12 8 3 6" xfId="27916"/>
    <cellStyle name="Normal 12 8 3 6 2" xfId="27917"/>
    <cellStyle name="Normal 12 8 3 7" xfId="27918"/>
    <cellStyle name="Normal 12 8 3 7 2" xfId="27919"/>
    <cellStyle name="Normal 12 8 3 8" xfId="27920"/>
    <cellStyle name="Normal 12 8 3 9" xfId="27921"/>
    <cellStyle name="Normal 12 8 4" xfId="27922"/>
    <cellStyle name="Normal 12 8 4 10" xfId="27923"/>
    <cellStyle name="Normal 12 8 4 11" xfId="27924"/>
    <cellStyle name="Normal 12 8 4 12" xfId="27925"/>
    <cellStyle name="Normal 12 8 4 13" xfId="27926"/>
    <cellStyle name="Normal 12 8 4 14" xfId="27927"/>
    <cellStyle name="Normal 12 8 4 15" xfId="27928"/>
    <cellStyle name="Normal 12 8 4 16" xfId="27929"/>
    <cellStyle name="Normal 12 8 4 17" xfId="27930"/>
    <cellStyle name="Normal 12 8 4 18" xfId="27931"/>
    <cellStyle name="Normal 12 8 4 2" xfId="27932"/>
    <cellStyle name="Normal 12 8 4 2 10" xfId="27933"/>
    <cellStyle name="Normal 12 8 4 2 11" xfId="27934"/>
    <cellStyle name="Normal 12 8 4 2 12" xfId="27935"/>
    <cellStyle name="Normal 12 8 4 2 13" xfId="27936"/>
    <cellStyle name="Normal 12 8 4 2 2" xfId="27937"/>
    <cellStyle name="Normal 12 8 4 2 2 2" xfId="27938"/>
    <cellStyle name="Normal 12 8 4 2 2 2 2" xfId="27939"/>
    <cellStyle name="Normal 12 8 4 2 2 3" xfId="27940"/>
    <cellStyle name="Normal 12 8 4 2 2 4" xfId="27941"/>
    <cellStyle name="Normal 12 8 4 2 2 5" xfId="27942"/>
    <cellStyle name="Normal 12 8 4 2 3" xfId="27943"/>
    <cellStyle name="Normal 12 8 4 2 3 2" xfId="27944"/>
    <cellStyle name="Normal 12 8 4 2 4" xfId="27945"/>
    <cellStyle name="Normal 12 8 4 2 4 2" xfId="27946"/>
    <cellStyle name="Normal 12 8 4 2 5" xfId="27947"/>
    <cellStyle name="Normal 12 8 4 2 5 2" xfId="27948"/>
    <cellStyle name="Normal 12 8 4 2 6" xfId="27949"/>
    <cellStyle name="Normal 12 8 4 2 6 2" xfId="27950"/>
    <cellStyle name="Normal 12 8 4 2 7" xfId="27951"/>
    <cellStyle name="Normal 12 8 4 2 8" xfId="27952"/>
    <cellStyle name="Normal 12 8 4 2 9" xfId="27953"/>
    <cellStyle name="Normal 12 8 4 3" xfId="27954"/>
    <cellStyle name="Normal 12 8 4 3 2" xfId="27955"/>
    <cellStyle name="Normal 12 8 4 3 2 2" xfId="27956"/>
    <cellStyle name="Normal 12 8 4 3 3" xfId="27957"/>
    <cellStyle name="Normal 12 8 4 3 4" xfId="27958"/>
    <cellStyle name="Normal 12 8 4 3 5" xfId="27959"/>
    <cellStyle name="Normal 12 8 4 4" xfId="27960"/>
    <cellStyle name="Normal 12 8 4 4 2" xfId="27961"/>
    <cellStyle name="Normal 12 8 4 5" xfId="27962"/>
    <cellStyle name="Normal 12 8 4 5 2" xfId="27963"/>
    <cellStyle name="Normal 12 8 4 6" xfId="27964"/>
    <cellStyle name="Normal 12 8 4 6 2" xfId="27965"/>
    <cellStyle name="Normal 12 8 4 7" xfId="27966"/>
    <cellStyle name="Normal 12 8 4 7 2" xfId="27967"/>
    <cellStyle name="Normal 12 8 4 8" xfId="27968"/>
    <cellStyle name="Normal 12 8 4 9" xfId="27969"/>
    <cellStyle name="Normal 12 8 5" xfId="27970"/>
    <cellStyle name="Normal 12 8 5 10" xfId="27971"/>
    <cellStyle name="Normal 12 8 5 11" xfId="27972"/>
    <cellStyle name="Normal 12 8 5 12" xfId="27973"/>
    <cellStyle name="Normal 12 8 5 13" xfId="27974"/>
    <cellStyle name="Normal 12 8 5 14" xfId="27975"/>
    <cellStyle name="Normal 12 8 5 15" xfId="27976"/>
    <cellStyle name="Normal 12 8 5 16" xfId="27977"/>
    <cellStyle name="Normal 12 8 5 17" xfId="27978"/>
    <cellStyle name="Normal 12 8 5 2" xfId="27979"/>
    <cellStyle name="Normal 12 8 5 2 10" xfId="27980"/>
    <cellStyle name="Normal 12 8 5 2 11" xfId="27981"/>
    <cellStyle name="Normal 12 8 5 2 12" xfId="27982"/>
    <cellStyle name="Normal 12 8 5 2 13" xfId="27983"/>
    <cellStyle name="Normal 12 8 5 2 2" xfId="27984"/>
    <cellStyle name="Normal 12 8 5 2 2 2" xfId="27985"/>
    <cellStyle name="Normal 12 8 5 2 2 2 2" xfId="27986"/>
    <cellStyle name="Normal 12 8 5 2 2 3" xfId="27987"/>
    <cellStyle name="Normal 12 8 5 2 2 4" xfId="27988"/>
    <cellStyle name="Normal 12 8 5 2 2 5" xfId="27989"/>
    <cellStyle name="Normal 12 8 5 2 3" xfId="27990"/>
    <cellStyle name="Normal 12 8 5 2 3 2" xfId="27991"/>
    <cellStyle name="Normal 12 8 5 2 4" xfId="27992"/>
    <cellStyle name="Normal 12 8 5 2 4 2" xfId="27993"/>
    <cellStyle name="Normal 12 8 5 2 5" xfId="27994"/>
    <cellStyle name="Normal 12 8 5 2 5 2" xfId="27995"/>
    <cellStyle name="Normal 12 8 5 2 6" xfId="27996"/>
    <cellStyle name="Normal 12 8 5 2 6 2" xfId="27997"/>
    <cellStyle name="Normal 12 8 5 2 7" xfId="27998"/>
    <cellStyle name="Normal 12 8 5 2 8" xfId="27999"/>
    <cellStyle name="Normal 12 8 5 2 9" xfId="28000"/>
    <cellStyle name="Normal 12 8 5 3" xfId="28001"/>
    <cellStyle name="Normal 12 8 5 3 2" xfId="28002"/>
    <cellStyle name="Normal 12 8 5 3 2 2" xfId="28003"/>
    <cellStyle name="Normal 12 8 5 3 3" xfId="28004"/>
    <cellStyle name="Normal 12 8 5 3 4" xfId="28005"/>
    <cellStyle name="Normal 12 8 5 3 5" xfId="28006"/>
    <cellStyle name="Normal 12 8 5 4" xfId="28007"/>
    <cellStyle name="Normal 12 8 5 4 2" xfId="28008"/>
    <cellStyle name="Normal 12 8 5 5" xfId="28009"/>
    <cellStyle name="Normal 12 8 5 5 2" xfId="28010"/>
    <cellStyle name="Normal 12 8 5 6" xfId="28011"/>
    <cellStyle name="Normal 12 8 5 6 2" xfId="28012"/>
    <cellStyle name="Normal 12 8 5 7" xfId="28013"/>
    <cellStyle name="Normal 12 8 5 7 2" xfId="28014"/>
    <cellStyle name="Normal 12 8 5 8" xfId="28015"/>
    <cellStyle name="Normal 12 8 5 9" xfId="28016"/>
    <cellStyle name="Normal 12 8 6" xfId="28017"/>
    <cellStyle name="Normal 12 8 6 10" xfId="28018"/>
    <cellStyle name="Normal 12 8 6 11" xfId="28019"/>
    <cellStyle name="Normal 12 8 6 12" xfId="28020"/>
    <cellStyle name="Normal 12 8 6 13" xfId="28021"/>
    <cellStyle name="Normal 12 8 6 14" xfId="28022"/>
    <cellStyle name="Normal 12 8 6 15" xfId="28023"/>
    <cellStyle name="Normal 12 8 6 16" xfId="28024"/>
    <cellStyle name="Normal 12 8 6 17" xfId="28025"/>
    <cellStyle name="Normal 12 8 6 2" xfId="28026"/>
    <cellStyle name="Normal 12 8 6 2 10" xfId="28027"/>
    <cellStyle name="Normal 12 8 6 2 11" xfId="28028"/>
    <cellStyle name="Normal 12 8 6 2 12" xfId="28029"/>
    <cellStyle name="Normal 12 8 6 2 13" xfId="28030"/>
    <cellStyle name="Normal 12 8 6 2 2" xfId="28031"/>
    <cellStyle name="Normal 12 8 6 2 2 2" xfId="28032"/>
    <cellStyle name="Normal 12 8 6 2 2 2 2" xfId="28033"/>
    <cellStyle name="Normal 12 8 6 2 2 3" xfId="28034"/>
    <cellStyle name="Normal 12 8 6 2 2 4" xfId="28035"/>
    <cellStyle name="Normal 12 8 6 2 2 5" xfId="28036"/>
    <cellStyle name="Normal 12 8 6 2 3" xfId="28037"/>
    <cellStyle name="Normal 12 8 6 2 3 2" xfId="28038"/>
    <cellStyle name="Normal 12 8 6 2 4" xfId="28039"/>
    <cellStyle name="Normal 12 8 6 2 4 2" xfId="28040"/>
    <cellStyle name="Normal 12 8 6 2 5" xfId="28041"/>
    <cellStyle name="Normal 12 8 6 2 5 2" xfId="28042"/>
    <cellStyle name="Normal 12 8 6 2 6" xfId="28043"/>
    <cellStyle name="Normal 12 8 6 2 6 2" xfId="28044"/>
    <cellStyle name="Normal 12 8 6 2 7" xfId="28045"/>
    <cellStyle name="Normal 12 8 6 2 8" xfId="28046"/>
    <cellStyle name="Normal 12 8 6 2 9" xfId="28047"/>
    <cellStyle name="Normal 12 8 6 3" xfId="28048"/>
    <cellStyle name="Normal 12 8 6 3 2" xfId="28049"/>
    <cellStyle name="Normal 12 8 6 3 2 2" xfId="28050"/>
    <cellStyle name="Normal 12 8 6 3 3" xfId="28051"/>
    <cellStyle name="Normal 12 8 6 3 4" xfId="28052"/>
    <cellStyle name="Normal 12 8 6 3 5" xfId="28053"/>
    <cellStyle name="Normal 12 8 6 4" xfId="28054"/>
    <cellStyle name="Normal 12 8 6 4 2" xfId="28055"/>
    <cellStyle name="Normal 12 8 6 5" xfId="28056"/>
    <cellStyle name="Normal 12 8 6 5 2" xfId="28057"/>
    <cellStyle name="Normal 12 8 6 6" xfId="28058"/>
    <cellStyle name="Normal 12 8 6 6 2" xfId="28059"/>
    <cellStyle name="Normal 12 8 6 7" xfId="28060"/>
    <cellStyle name="Normal 12 8 6 7 2" xfId="28061"/>
    <cellStyle name="Normal 12 8 6 8" xfId="28062"/>
    <cellStyle name="Normal 12 8 6 9" xfId="28063"/>
    <cellStyle name="Normal 12 8 7" xfId="28064"/>
    <cellStyle name="Normal 12 8 7 10" xfId="28065"/>
    <cellStyle name="Normal 12 8 7 11" xfId="28066"/>
    <cellStyle name="Normal 12 8 7 12" xfId="28067"/>
    <cellStyle name="Normal 12 8 7 13" xfId="28068"/>
    <cellStyle name="Normal 12 8 7 14" xfId="28069"/>
    <cellStyle name="Normal 12 8 7 15" xfId="28070"/>
    <cellStyle name="Normal 12 8 7 16" xfId="28071"/>
    <cellStyle name="Normal 12 8 7 17" xfId="28072"/>
    <cellStyle name="Normal 12 8 7 2" xfId="28073"/>
    <cellStyle name="Normal 12 8 7 2 10" xfId="28074"/>
    <cellStyle name="Normal 12 8 7 2 11" xfId="28075"/>
    <cellStyle name="Normal 12 8 7 2 12" xfId="28076"/>
    <cellStyle name="Normal 12 8 7 2 13" xfId="28077"/>
    <cellStyle name="Normal 12 8 7 2 2" xfId="28078"/>
    <cellStyle name="Normal 12 8 7 2 2 2" xfId="28079"/>
    <cellStyle name="Normal 12 8 7 2 2 2 2" xfId="28080"/>
    <cellStyle name="Normal 12 8 7 2 2 3" xfId="28081"/>
    <cellStyle name="Normal 12 8 7 2 2 4" xfId="28082"/>
    <cellStyle name="Normal 12 8 7 2 2 5" xfId="28083"/>
    <cellStyle name="Normal 12 8 7 2 3" xfId="28084"/>
    <cellStyle name="Normal 12 8 7 2 3 2" xfId="28085"/>
    <cellStyle name="Normal 12 8 7 2 4" xfId="28086"/>
    <cellStyle name="Normal 12 8 7 2 4 2" xfId="28087"/>
    <cellStyle name="Normal 12 8 7 2 5" xfId="28088"/>
    <cellStyle name="Normal 12 8 7 2 5 2" xfId="28089"/>
    <cellStyle name="Normal 12 8 7 2 6" xfId="28090"/>
    <cellStyle name="Normal 12 8 7 2 6 2" xfId="28091"/>
    <cellStyle name="Normal 12 8 7 2 7" xfId="28092"/>
    <cellStyle name="Normal 12 8 7 2 8" xfId="28093"/>
    <cellStyle name="Normal 12 8 7 2 9" xfId="28094"/>
    <cellStyle name="Normal 12 8 7 3" xfId="28095"/>
    <cellStyle name="Normal 12 8 7 3 2" xfId="28096"/>
    <cellStyle name="Normal 12 8 7 3 2 2" xfId="28097"/>
    <cellStyle name="Normal 12 8 7 3 3" xfId="28098"/>
    <cellStyle name="Normal 12 8 7 3 4" xfId="28099"/>
    <cellStyle name="Normal 12 8 7 3 5" xfId="28100"/>
    <cellStyle name="Normal 12 8 7 4" xfId="28101"/>
    <cellStyle name="Normal 12 8 7 4 2" xfId="28102"/>
    <cellStyle name="Normal 12 8 7 5" xfId="28103"/>
    <cellStyle name="Normal 12 8 7 5 2" xfId="28104"/>
    <cellStyle name="Normal 12 8 7 6" xfId="28105"/>
    <cellStyle name="Normal 12 8 7 6 2" xfId="28106"/>
    <cellStyle name="Normal 12 8 7 7" xfId="28107"/>
    <cellStyle name="Normal 12 8 7 7 2" xfId="28108"/>
    <cellStyle name="Normal 12 8 7 8" xfId="28109"/>
    <cellStyle name="Normal 12 8 7 9" xfId="28110"/>
    <cellStyle name="Normal 12 8 8" xfId="28111"/>
    <cellStyle name="Normal 12 8 8 10" xfId="28112"/>
    <cellStyle name="Normal 12 8 8 11" xfId="28113"/>
    <cellStyle name="Normal 12 8 8 12" xfId="28114"/>
    <cellStyle name="Normal 12 8 8 13" xfId="28115"/>
    <cellStyle name="Normal 12 8 8 14" xfId="28116"/>
    <cellStyle name="Normal 12 8 8 15" xfId="28117"/>
    <cellStyle name="Normal 12 8 8 2" xfId="28118"/>
    <cellStyle name="Normal 12 8 8 2 2" xfId="28119"/>
    <cellStyle name="Normal 12 8 8 2 2 2" xfId="28120"/>
    <cellStyle name="Normal 12 8 8 2 3" xfId="28121"/>
    <cellStyle name="Normal 12 8 8 2 3 2" xfId="28122"/>
    <cellStyle name="Normal 12 8 8 2 4" xfId="28123"/>
    <cellStyle name="Normal 12 8 8 2 4 2" xfId="28124"/>
    <cellStyle name="Normal 12 8 8 2 5" xfId="28125"/>
    <cellStyle name="Normal 12 8 8 2 5 2" xfId="28126"/>
    <cellStyle name="Normal 12 8 8 2 6" xfId="28127"/>
    <cellStyle name="Normal 12 8 8 2 7" xfId="28128"/>
    <cellStyle name="Normal 12 8 8 2 8" xfId="28129"/>
    <cellStyle name="Normal 12 8 8 2 9" xfId="28130"/>
    <cellStyle name="Normal 12 8 8 3" xfId="28131"/>
    <cellStyle name="Normal 12 8 8 3 2" xfId="28132"/>
    <cellStyle name="Normal 12 8 8 3 2 2" xfId="28133"/>
    <cellStyle name="Normal 12 8 8 3 3" xfId="28134"/>
    <cellStyle name="Normal 12 8 8 3 4" xfId="28135"/>
    <cellStyle name="Normal 12 8 8 3 5" xfId="28136"/>
    <cellStyle name="Normal 12 8 8 4" xfId="28137"/>
    <cellStyle name="Normal 12 8 8 4 2" xfId="28138"/>
    <cellStyle name="Normal 12 8 8 5" xfId="28139"/>
    <cellStyle name="Normal 12 8 8 5 2" xfId="28140"/>
    <cellStyle name="Normal 12 8 8 6" xfId="28141"/>
    <cellStyle name="Normal 12 8 8 6 2" xfId="28142"/>
    <cellStyle name="Normal 12 8 8 7" xfId="28143"/>
    <cellStyle name="Normal 12 8 8 7 2" xfId="28144"/>
    <cellStyle name="Normal 12 8 8 8" xfId="28145"/>
    <cellStyle name="Normal 12 8 8 9" xfId="28146"/>
    <cellStyle name="Normal 12 8 9" xfId="28147"/>
    <cellStyle name="Normal 12 8 9 10" xfId="28148"/>
    <cellStyle name="Normal 12 8 9 11" xfId="28149"/>
    <cellStyle name="Normal 12 8 9 12" xfId="28150"/>
    <cellStyle name="Normal 12 8 9 13" xfId="28151"/>
    <cellStyle name="Normal 12 8 9 14" xfId="28152"/>
    <cellStyle name="Normal 12 8 9 15" xfId="28153"/>
    <cellStyle name="Normal 12 8 9 2" xfId="28154"/>
    <cellStyle name="Normal 12 8 9 2 2" xfId="28155"/>
    <cellStyle name="Normal 12 8 9 2 2 2" xfId="28156"/>
    <cellStyle name="Normal 12 8 9 2 3" xfId="28157"/>
    <cellStyle name="Normal 12 8 9 2 3 2" xfId="28158"/>
    <cellStyle name="Normal 12 8 9 2 4" xfId="28159"/>
    <cellStyle name="Normal 12 8 9 2 4 2" xfId="28160"/>
    <cellStyle name="Normal 12 8 9 2 5" xfId="28161"/>
    <cellStyle name="Normal 12 8 9 2 5 2" xfId="28162"/>
    <cellStyle name="Normal 12 8 9 2 6" xfId="28163"/>
    <cellStyle name="Normal 12 8 9 2 7" xfId="28164"/>
    <cellStyle name="Normal 12 8 9 2 8" xfId="28165"/>
    <cellStyle name="Normal 12 8 9 2 9" xfId="28166"/>
    <cellStyle name="Normal 12 8 9 3" xfId="28167"/>
    <cellStyle name="Normal 12 8 9 3 2" xfId="28168"/>
    <cellStyle name="Normal 12 8 9 3 2 2" xfId="28169"/>
    <cellStyle name="Normal 12 8 9 3 3" xfId="28170"/>
    <cellStyle name="Normal 12 8 9 3 4" xfId="28171"/>
    <cellStyle name="Normal 12 8 9 3 5" xfId="28172"/>
    <cellStyle name="Normal 12 8 9 4" xfId="28173"/>
    <cellStyle name="Normal 12 8 9 4 2" xfId="28174"/>
    <cellStyle name="Normal 12 8 9 5" xfId="28175"/>
    <cellStyle name="Normal 12 8 9 5 2" xfId="28176"/>
    <cellStyle name="Normal 12 8 9 6" xfId="28177"/>
    <cellStyle name="Normal 12 8 9 6 2" xfId="28178"/>
    <cellStyle name="Normal 12 8 9 7" xfId="28179"/>
    <cellStyle name="Normal 12 8 9 7 2" xfId="28180"/>
    <cellStyle name="Normal 12 8 9 8" xfId="28181"/>
    <cellStyle name="Normal 12 8 9 9" xfId="28182"/>
    <cellStyle name="Normal 12 9" xfId="28183"/>
    <cellStyle name="Normal 12 9 10" xfId="28184"/>
    <cellStyle name="Normal 12 9 10 10" xfId="28185"/>
    <cellStyle name="Normal 12 9 10 11" xfId="28186"/>
    <cellStyle name="Normal 12 9 10 12" xfId="28187"/>
    <cellStyle name="Normal 12 9 10 13" xfId="28188"/>
    <cellStyle name="Normal 12 9 10 14" xfId="28189"/>
    <cellStyle name="Normal 12 9 10 2" xfId="28190"/>
    <cellStyle name="Normal 12 9 10 2 2" xfId="28191"/>
    <cellStyle name="Normal 12 9 10 2 2 2" xfId="28192"/>
    <cellStyle name="Normal 12 9 10 2 3" xfId="28193"/>
    <cellStyle name="Normal 12 9 10 2 3 2" xfId="28194"/>
    <cellStyle name="Normal 12 9 10 2 4" xfId="28195"/>
    <cellStyle name="Normal 12 9 10 2 4 2" xfId="28196"/>
    <cellStyle name="Normal 12 9 10 2 5" xfId="28197"/>
    <cellStyle name="Normal 12 9 10 2 5 2" xfId="28198"/>
    <cellStyle name="Normal 12 9 10 2 6" xfId="28199"/>
    <cellStyle name="Normal 12 9 10 2 7" xfId="28200"/>
    <cellStyle name="Normal 12 9 10 2 8" xfId="28201"/>
    <cellStyle name="Normal 12 9 10 2 9" xfId="28202"/>
    <cellStyle name="Normal 12 9 10 3" xfId="28203"/>
    <cellStyle name="Normal 12 9 10 3 2" xfId="28204"/>
    <cellStyle name="Normal 12 9 10 3 2 2" xfId="28205"/>
    <cellStyle name="Normal 12 9 10 3 3" xfId="28206"/>
    <cellStyle name="Normal 12 9 10 3 4" xfId="28207"/>
    <cellStyle name="Normal 12 9 10 3 5" xfId="28208"/>
    <cellStyle name="Normal 12 9 10 4" xfId="28209"/>
    <cellStyle name="Normal 12 9 10 4 2" xfId="28210"/>
    <cellStyle name="Normal 12 9 10 5" xfId="28211"/>
    <cellStyle name="Normal 12 9 10 5 2" xfId="28212"/>
    <cellStyle name="Normal 12 9 10 6" xfId="28213"/>
    <cellStyle name="Normal 12 9 10 6 2" xfId="28214"/>
    <cellStyle name="Normal 12 9 10 7" xfId="28215"/>
    <cellStyle name="Normal 12 9 10 7 2" xfId="28216"/>
    <cellStyle name="Normal 12 9 10 8" xfId="28217"/>
    <cellStyle name="Normal 12 9 10 9" xfId="28218"/>
    <cellStyle name="Normal 12 9 11" xfId="28219"/>
    <cellStyle name="Normal 12 9 11 2" xfId="28220"/>
    <cellStyle name="Normal 12 9 11 2 2" xfId="28221"/>
    <cellStyle name="Normal 12 9 11 3" xfId="28222"/>
    <cellStyle name="Normal 12 9 11 3 2" xfId="28223"/>
    <cellStyle name="Normal 12 9 11 4" xfId="28224"/>
    <cellStyle name="Normal 12 9 11 4 2" xfId="28225"/>
    <cellStyle name="Normal 12 9 11 5" xfId="28226"/>
    <cellStyle name="Normal 12 9 11 5 2" xfId="28227"/>
    <cellStyle name="Normal 12 9 11 6" xfId="28228"/>
    <cellStyle name="Normal 12 9 11 7" xfId="28229"/>
    <cellStyle name="Normal 12 9 11 8" xfId="28230"/>
    <cellStyle name="Normal 12 9 11 9" xfId="28231"/>
    <cellStyle name="Normal 12 9 12" xfId="28232"/>
    <cellStyle name="Normal 12 9 12 2" xfId="28233"/>
    <cellStyle name="Normal 12 9 12 2 2" xfId="28234"/>
    <cellStyle name="Normal 12 9 12 3" xfId="28235"/>
    <cellStyle name="Normal 12 9 12 4" xfId="28236"/>
    <cellStyle name="Normal 12 9 12 5" xfId="28237"/>
    <cellStyle name="Normal 12 9 13" xfId="28238"/>
    <cellStyle name="Normal 12 9 13 2" xfId="28239"/>
    <cellStyle name="Normal 12 9 14" xfId="28240"/>
    <cellStyle name="Normal 12 9 14 2" xfId="28241"/>
    <cellStyle name="Normal 12 9 15" xfId="28242"/>
    <cellStyle name="Normal 12 9 15 2" xfId="28243"/>
    <cellStyle name="Normal 12 9 16" xfId="28244"/>
    <cellStyle name="Normal 12 9 16 2" xfId="28245"/>
    <cellStyle name="Normal 12 9 17" xfId="28246"/>
    <cellStyle name="Normal 12 9 18" xfId="28247"/>
    <cellStyle name="Normal 12 9 19" xfId="28248"/>
    <cellStyle name="Normal 12 9 2" xfId="28249"/>
    <cellStyle name="Normal 12 9 2 10" xfId="28250"/>
    <cellStyle name="Normal 12 9 2 11" xfId="28251"/>
    <cellStyle name="Normal 12 9 2 12" xfId="28252"/>
    <cellStyle name="Normal 12 9 2 13" xfId="28253"/>
    <cellStyle name="Normal 12 9 2 14" xfId="28254"/>
    <cellStyle name="Normal 12 9 2 15" xfId="28255"/>
    <cellStyle name="Normal 12 9 2 16" xfId="28256"/>
    <cellStyle name="Normal 12 9 2 17" xfId="28257"/>
    <cellStyle name="Normal 12 9 2 18" xfId="28258"/>
    <cellStyle name="Normal 12 9 2 2" xfId="28259"/>
    <cellStyle name="Normal 12 9 2 2 10" xfId="28260"/>
    <cellStyle name="Normal 12 9 2 2 11" xfId="28261"/>
    <cellStyle name="Normal 12 9 2 2 12" xfId="28262"/>
    <cellStyle name="Normal 12 9 2 2 13" xfId="28263"/>
    <cellStyle name="Normal 12 9 2 2 2" xfId="28264"/>
    <cellStyle name="Normal 12 9 2 2 2 2" xfId="28265"/>
    <cellStyle name="Normal 12 9 2 2 2 2 2" xfId="28266"/>
    <cellStyle name="Normal 12 9 2 2 2 3" xfId="28267"/>
    <cellStyle name="Normal 12 9 2 2 2 4" xfId="28268"/>
    <cellStyle name="Normal 12 9 2 2 2 5" xfId="28269"/>
    <cellStyle name="Normal 12 9 2 2 3" xfId="28270"/>
    <cellStyle name="Normal 12 9 2 2 3 2" xfId="28271"/>
    <cellStyle name="Normal 12 9 2 2 4" xfId="28272"/>
    <cellStyle name="Normal 12 9 2 2 4 2" xfId="28273"/>
    <cellStyle name="Normal 12 9 2 2 5" xfId="28274"/>
    <cellStyle name="Normal 12 9 2 2 5 2" xfId="28275"/>
    <cellStyle name="Normal 12 9 2 2 6" xfId="28276"/>
    <cellStyle name="Normal 12 9 2 2 6 2" xfId="28277"/>
    <cellStyle name="Normal 12 9 2 2 7" xfId="28278"/>
    <cellStyle name="Normal 12 9 2 2 8" xfId="28279"/>
    <cellStyle name="Normal 12 9 2 2 9" xfId="28280"/>
    <cellStyle name="Normal 12 9 2 3" xfId="28281"/>
    <cellStyle name="Normal 12 9 2 3 2" xfId="28282"/>
    <cellStyle name="Normal 12 9 2 3 2 2" xfId="28283"/>
    <cellStyle name="Normal 12 9 2 3 3" xfId="28284"/>
    <cellStyle name="Normal 12 9 2 3 4" xfId="28285"/>
    <cellStyle name="Normal 12 9 2 3 5" xfId="28286"/>
    <cellStyle name="Normal 12 9 2 4" xfId="28287"/>
    <cellStyle name="Normal 12 9 2 4 2" xfId="28288"/>
    <cellStyle name="Normal 12 9 2 5" xfId="28289"/>
    <cellStyle name="Normal 12 9 2 5 2" xfId="28290"/>
    <cellStyle name="Normal 12 9 2 6" xfId="28291"/>
    <cellStyle name="Normal 12 9 2 6 2" xfId="28292"/>
    <cellStyle name="Normal 12 9 2 7" xfId="28293"/>
    <cellStyle name="Normal 12 9 2 7 2" xfId="28294"/>
    <cellStyle name="Normal 12 9 2 8" xfId="28295"/>
    <cellStyle name="Normal 12 9 2 9" xfId="28296"/>
    <cellStyle name="Normal 12 9 20" xfId="28297"/>
    <cellStyle name="Normal 12 9 21" xfId="28298"/>
    <cellStyle name="Normal 12 9 22" xfId="28299"/>
    <cellStyle name="Normal 12 9 23" xfId="28300"/>
    <cellStyle name="Normal 12 9 24" xfId="28301"/>
    <cellStyle name="Normal 12 9 25" xfId="28302"/>
    <cellStyle name="Normal 12 9 3" xfId="28303"/>
    <cellStyle name="Normal 12 9 3 10" xfId="28304"/>
    <cellStyle name="Normal 12 9 3 11" xfId="28305"/>
    <cellStyle name="Normal 12 9 3 12" xfId="28306"/>
    <cellStyle name="Normal 12 9 3 13" xfId="28307"/>
    <cellStyle name="Normal 12 9 3 14" xfId="28308"/>
    <cellStyle name="Normal 12 9 3 15" xfId="28309"/>
    <cellStyle name="Normal 12 9 3 16" xfId="28310"/>
    <cellStyle name="Normal 12 9 3 17" xfId="28311"/>
    <cellStyle name="Normal 12 9 3 18" xfId="28312"/>
    <cellStyle name="Normal 12 9 3 2" xfId="28313"/>
    <cellStyle name="Normal 12 9 3 2 10" xfId="28314"/>
    <cellStyle name="Normal 12 9 3 2 11" xfId="28315"/>
    <cellStyle name="Normal 12 9 3 2 12" xfId="28316"/>
    <cellStyle name="Normal 12 9 3 2 13" xfId="28317"/>
    <cellStyle name="Normal 12 9 3 2 2" xfId="28318"/>
    <cellStyle name="Normal 12 9 3 2 2 2" xfId="28319"/>
    <cellStyle name="Normal 12 9 3 2 2 2 2" xfId="28320"/>
    <cellStyle name="Normal 12 9 3 2 2 3" xfId="28321"/>
    <cellStyle name="Normal 12 9 3 2 2 4" xfId="28322"/>
    <cellStyle name="Normal 12 9 3 2 2 5" xfId="28323"/>
    <cellStyle name="Normal 12 9 3 2 3" xfId="28324"/>
    <cellStyle name="Normal 12 9 3 2 3 2" xfId="28325"/>
    <cellStyle name="Normal 12 9 3 2 4" xfId="28326"/>
    <cellStyle name="Normal 12 9 3 2 4 2" xfId="28327"/>
    <cellStyle name="Normal 12 9 3 2 5" xfId="28328"/>
    <cellStyle name="Normal 12 9 3 2 5 2" xfId="28329"/>
    <cellStyle name="Normal 12 9 3 2 6" xfId="28330"/>
    <cellStyle name="Normal 12 9 3 2 6 2" xfId="28331"/>
    <cellStyle name="Normal 12 9 3 2 7" xfId="28332"/>
    <cellStyle name="Normal 12 9 3 2 8" xfId="28333"/>
    <cellStyle name="Normal 12 9 3 2 9" xfId="28334"/>
    <cellStyle name="Normal 12 9 3 3" xfId="28335"/>
    <cellStyle name="Normal 12 9 3 3 2" xfId="28336"/>
    <cellStyle name="Normal 12 9 3 3 2 2" xfId="28337"/>
    <cellStyle name="Normal 12 9 3 3 3" xfId="28338"/>
    <cellStyle name="Normal 12 9 3 3 4" xfId="28339"/>
    <cellStyle name="Normal 12 9 3 3 5" xfId="28340"/>
    <cellStyle name="Normal 12 9 3 4" xfId="28341"/>
    <cellStyle name="Normal 12 9 3 4 2" xfId="28342"/>
    <cellStyle name="Normal 12 9 3 5" xfId="28343"/>
    <cellStyle name="Normal 12 9 3 5 2" xfId="28344"/>
    <cellStyle name="Normal 12 9 3 6" xfId="28345"/>
    <cellStyle name="Normal 12 9 3 6 2" xfId="28346"/>
    <cellStyle name="Normal 12 9 3 7" xfId="28347"/>
    <cellStyle name="Normal 12 9 3 7 2" xfId="28348"/>
    <cellStyle name="Normal 12 9 3 8" xfId="28349"/>
    <cellStyle name="Normal 12 9 3 9" xfId="28350"/>
    <cellStyle name="Normal 12 9 4" xfId="28351"/>
    <cellStyle name="Normal 12 9 4 10" xfId="28352"/>
    <cellStyle name="Normal 12 9 4 11" xfId="28353"/>
    <cellStyle name="Normal 12 9 4 12" xfId="28354"/>
    <cellStyle name="Normal 12 9 4 13" xfId="28355"/>
    <cellStyle name="Normal 12 9 4 14" xfId="28356"/>
    <cellStyle name="Normal 12 9 4 15" xfId="28357"/>
    <cellStyle name="Normal 12 9 4 16" xfId="28358"/>
    <cellStyle name="Normal 12 9 4 17" xfId="28359"/>
    <cellStyle name="Normal 12 9 4 18" xfId="28360"/>
    <cellStyle name="Normal 12 9 4 2" xfId="28361"/>
    <cellStyle name="Normal 12 9 4 2 10" xfId="28362"/>
    <cellStyle name="Normal 12 9 4 2 11" xfId="28363"/>
    <cellStyle name="Normal 12 9 4 2 12" xfId="28364"/>
    <cellStyle name="Normal 12 9 4 2 13" xfId="28365"/>
    <cellStyle name="Normal 12 9 4 2 2" xfId="28366"/>
    <cellStyle name="Normal 12 9 4 2 2 2" xfId="28367"/>
    <cellStyle name="Normal 12 9 4 2 2 2 2" xfId="28368"/>
    <cellStyle name="Normal 12 9 4 2 2 3" xfId="28369"/>
    <cellStyle name="Normal 12 9 4 2 2 4" xfId="28370"/>
    <cellStyle name="Normal 12 9 4 2 2 5" xfId="28371"/>
    <cellStyle name="Normal 12 9 4 2 3" xfId="28372"/>
    <cellStyle name="Normal 12 9 4 2 3 2" xfId="28373"/>
    <cellStyle name="Normal 12 9 4 2 4" xfId="28374"/>
    <cellStyle name="Normal 12 9 4 2 4 2" xfId="28375"/>
    <cellStyle name="Normal 12 9 4 2 5" xfId="28376"/>
    <cellStyle name="Normal 12 9 4 2 5 2" xfId="28377"/>
    <cellStyle name="Normal 12 9 4 2 6" xfId="28378"/>
    <cellStyle name="Normal 12 9 4 2 6 2" xfId="28379"/>
    <cellStyle name="Normal 12 9 4 2 7" xfId="28380"/>
    <cellStyle name="Normal 12 9 4 2 8" xfId="28381"/>
    <cellStyle name="Normal 12 9 4 2 9" xfId="28382"/>
    <cellStyle name="Normal 12 9 4 3" xfId="28383"/>
    <cellStyle name="Normal 12 9 4 3 2" xfId="28384"/>
    <cellStyle name="Normal 12 9 4 3 2 2" xfId="28385"/>
    <cellStyle name="Normal 12 9 4 3 3" xfId="28386"/>
    <cellStyle name="Normal 12 9 4 3 4" xfId="28387"/>
    <cellStyle name="Normal 12 9 4 3 5" xfId="28388"/>
    <cellStyle name="Normal 12 9 4 4" xfId="28389"/>
    <cellStyle name="Normal 12 9 4 4 2" xfId="28390"/>
    <cellStyle name="Normal 12 9 4 5" xfId="28391"/>
    <cellStyle name="Normal 12 9 4 5 2" xfId="28392"/>
    <cellStyle name="Normal 12 9 4 6" xfId="28393"/>
    <cellStyle name="Normal 12 9 4 6 2" xfId="28394"/>
    <cellStyle name="Normal 12 9 4 7" xfId="28395"/>
    <cellStyle name="Normal 12 9 4 7 2" xfId="28396"/>
    <cellStyle name="Normal 12 9 4 8" xfId="28397"/>
    <cellStyle name="Normal 12 9 4 9" xfId="28398"/>
    <cellStyle name="Normal 12 9 5" xfId="28399"/>
    <cellStyle name="Normal 12 9 5 10" xfId="28400"/>
    <cellStyle name="Normal 12 9 5 11" xfId="28401"/>
    <cellStyle name="Normal 12 9 5 12" xfId="28402"/>
    <cellStyle name="Normal 12 9 5 13" xfId="28403"/>
    <cellStyle name="Normal 12 9 5 14" xfId="28404"/>
    <cellStyle name="Normal 12 9 5 15" xfId="28405"/>
    <cellStyle name="Normal 12 9 5 16" xfId="28406"/>
    <cellStyle name="Normal 12 9 5 17" xfId="28407"/>
    <cellStyle name="Normal 12 9 5 2" xfId="28408"/>
    <cellStyle name="Normal 12 9 5 2 10" xfId="28409"/>
    <cellStyle name="Normal 12 9 5 2 11" xfId="28410"/>
    <cellStyle name="Normal 12 9 5 2 12" xfId="28411"/>
    <cellStyle name="Normal 12 9 5 2 13" xfId="28412"/>
    <cellStyle name="Normal 12 9 5 2 2" xfId="28413"/>
    <cellStyle name="Normal 12 9 5 2 2 2" xfId="28414"/>
    <cellStyle name="Normal 12 9 5 2 2 2 2" xfId="28415"/>
    <cellStyle name="Normal 12 9 5 2 2 3" xfId="28416"/>
    <cellStyle name="Normal 12 9 5 2 2 4" xfId="28417"/>
    <cellStyle name="Normal 12 9 5 2 2 5" xfId="28418"/>
    <cellStyle name="Normal 12 9 5 2 3" xfId="28419"/>
    <cellStyle name="Normal 12 9 5 2 3 2" xfId="28420"/>
    <cellStyle name="Normal 12 9 5 2 4" xfId="28421"/>
    <cellStyle name="Normal 12 9 5 2 4 2" xfId="28422"/>
    <cellStyle name="Normal 12 9 5 2 5" xfId="28423"/>
    <cellStyle name="Normal 12 9 5 2 5 2" xfId="28424"/>
    <cellStyle name="Normal 12 9 5 2 6" xfId="28425"/>
    <cellStyle name="Normal 12 9 5 2 6 2" xfId="28426"/>
    <cellStyle name="Normal 12 9 5 2 7" xfId="28427"/>
    <cellStyle name="Normal 12 9 5 2 8" xfId="28428"/>
    <cellStyle name="Normal 12 9 5 2 9" xfId="28429"/>
    <cellStyle name="Normal 12 9 5 3" xfId="28430"/>
    <cellStyle name="Normal 12 9 5 3 2" xfId="28431"/>
    <cellStyle name="Normal 12 9 5 3 2 2" xfId="28432"/>
    <cellStyle name="Normal 12 9 5 3 3" xfId="28433"/>
    <cellStyle name="Normal 12 9 5 3 4" xfId="28434"/>
    <cellStyle name="Normal 12 9 5 3 5" xfId="28435"/>
    <cellStyle name="Normal 12 9 5 4" xfId="28436"/>
    <cellStyle name="Normal 12 9 5 4 2" xfId="28437"/>
    <cellStyle name="Normal 12 9 5 5" xfId="28438"/>
    <cellStyle name="Normal 12 9 5 5 2" xfId="28439"/>
    <cellStyle name="Normal 12 9 5 6" xfId="28440"/>
    <cellStyle name="Normal 12 9 5 6 2" xfId="28441"/>
    <cellStyle name="Normal 12 9 5 7" xfId="28442"/>
    <cellStyle name="Normal 12 9 5 7 2" xfId="28443"/>
    <cellStyle name="Normal 12 9 5 8" xfId="28444"/>
    <cellStyle name="Normal 12 9 5 9" xfId="28445"/>
    <cellStyle name="Normal 12 9 6" xfId="28446"/>
    <cellStyle name="Normal 12 9 6 10" xfId="28447"/>
    <cellStyle name="Normal 12 9 6 11" xfId="28448"/>
    <cellStyle name="Normal 12 9 6 12" xfId="28449"/>
    <cellStyle name="Normal 12 9 6 13" xfId="28450"/>
    <cellStyle name="Normal 12 9 6 14" xfId="28451"/>
    <cellStyle name="Normal 12 9 6 15" xfId="28452"/>
    <cellStyle name="Normal 12 9 6 16" xfId="28453"/>
    <cellStyle name="Normal 12 9 6 17" xfId="28454"/>
    <cellStyle name="Normal 12 9 6 2" xfId="28455"/>
    <cellStyle name="Normal 12 9 6 2 10" xfId="28456"/>
    <cellStyle name="Normal 12 9 6 2 11" xfId="28457"/>
    <cellStyle name="Normal 12 9 6 2 12" xfId="28458"/>
    <cellStyle name="Normal 12 9 6 2 13" xfId="28459"/>
    <cellStyle name="Normal 12 9 6 2 2" xfId="28460"/>
    <cellStyle name="Normal 12 9 6 2 2 2" xfId="28461"/>
    <cellStyle name="Normal 12 9 6 2 2 2 2" xfId="28462"/>
    <cellStyle name="Normal 12 9 6 2 2 3" xfId="28463"/>
    <cellStyle name="Normal 12 9 6 2 2 4" xfId="28464"/>
    <cellStyle name="Normal 12 9 6 2 2 5" xfId="28465"/>
    <cellStyle name="Normal 12 9 6 2 3" xfId="28466"/>
    <cellStyle name="Normal 12 9 6 2 3 2" xfId="28467"/>
    <cellStyle name="Normal 12 9 6 2 4" xfId="28468"/>
    <cellStyle name="Normal 12 9 6 2 4 2" xfId="28469"/>
    <cellStyle name="Normal 12 9 6 2 5" xfId="28470"/>
    <cellStyle name="Normal 12 9 6 2 5 2" xfId="28471"/>
    <cellStyle name="Normal 12 9 6 2 6" xfId="28472"/>
    <cellStyle name="Normal 12 9 6 2 6 2" xfId="28473"/>
    <cellStyle name="Normal 12 9 6 2 7" xfId="28474"/>
    <cellStyle name="Normal 12 9 6 2 8" xfId="28475"/>
    <cellStyle name="Normal 12 9 6 2 9" xfId="28476"/>
    <cellStyle name="Normal 12 9 6 3" xfId="28477"/>
    <cellStyle name="Normal 12 9 6 3 2" xfId="28478"/>
    <cellStyle name="Normal 12 9 6 3 2 2" xfId="28479"/>
    <cellStyle name="Normal 12 9 6 3 3" xfId="28480"/>
    <cellStyle name="Normal 12 9 6 3 4" xfId="28481"/>
    <cellStyle name="Normal 12 9 6 3 5" xfId="28482"/>
    <cellStyle name="Normal 12 9 6 4" xfId="28483"/>
    <cellStyle name="Normal 12 9 6 4 2" xfId="28484"/>
    <cellStyle name="Normal 12 9 6 5" xfId="28485"/>
    <cellStyle name="Normal 12 9 6 5 2" xfId="28486"/>
    <cellStyle name="Normal 12 9 6 6" xfId="28487"/>
    <cellStyle name="Normal 12 9 6 6 2" xfId="28488"/>
    <cellStyle name="Normal 12 9 6 7" xfId="28489"/>
    <cellStyle name="Normal 12 9 6 7 2" xfId="28490"/>
    <cellStyle name="Normal 12 9 6 8" xfId="28491"/>
    <cellStyle name="Normal 12 9 6 9" xfId="28492"/>
    <cellStyle name="Normal 12 9 7" xfId="28493"/>
    <cellStyle name="Normal 12 9 7 10" xfId="28494"/>
    <cellStyle name="Normal 12 9 7 11" xfId="28495"/>
    <cellStyle name="Normal 12 9 7 12" xfId="28496"/>
    <cellStyle name="Normal 12 9 7 13" xfId="28497"/>
    <cellStyle name="Normal 12 9 7 14" xfId="28498"/>
    <cellStyle name="Normal 12 9 7 15" xfId="28499"/>
    <cellStyle name="Normal 12 9 7 16" xfId="28500"/>
    <cellStyle name="Normal 12 9 7 17" xfId="28501"/>
    <cellStyle name="Normal 12 9 7 2" xfId="28502"/>
    <cellStyle name="Normal 12 9 7 2 10" xfId="28503"/>
    <cellStyle name="Normal 12 9 7 2 11" xfId="28504"/>
    <cellStyle name="Normal 12 9 7 2 12" xfId="28505"/>
    <cellStyle name="Normal 12 9 7 2 13" xfId="28506"/>
    <cellStyle name="Normal 12 9 7 2 2" xfId="28507"/>
    <cellStyle name="Normal 12 9 7 2 2 2" xfId="28508"/>
    <cellStyle name="Normal 12 9 7 2 2 2 2" xfId="28509"/>
    <cellStyle name="Normal 12 9 7 2 2 3" xfId="28510"/>
    <cellStyle name="Normal 12 9 7 2 2 4" xfId="28511"/>
    <cellStyle name="Normal 12 9 7 2 2 5" xfId="28512"/>
    <cellStyle name="Normal 12 9 7 2 3" xfId="28513"/>
    <cellStyle name="Normal 12 9 7 2 3 2" xfId="28514"/>
    <cellStyle name="Normal 12 9 7 2 4" xfId="28515"/>
    <cellStyle name="Normal 12 9 7 2 4 2" xfId="28516"/>
    <cellStyle name="Normal 12 9 7 2 5" xfId="28517"/>
    <cellStyle name="Normal 12 9 7 2 5 2" xfId="28518"/>
    <cellStyle name="Normal 12 9 7 2 6" xfId="28519"/>
    <cellStyle name="Normal 12 9 7 2 6 2" xfId="28520"/>
    <cellStyle name="Normal 12 9 7 2 7" xfId="28521"/>
    <cellStyle name="Normal 12 9 7 2 8" xfId="28522"/>
    <cellStyle name="Normal 12 9 7 2 9" xfId="28523"/>
    <cellStyle name="Normal 12 9 7 3" xfId="28524"/>
    <cellStyle name="Normal 12 9 7 3 2" xfId="28525"/>
    <cellStyle name="Normal 12 9 7 3 2 2" xfId="28526"/>
    <cellStyle name="Normal 12 9 7 3 3" xfId="28527"/>
    <cellStyle name="Normal 12 9 7 3 4" xfId="28528"/>
    <cellStyle name="Normal 12 9 7 3 5" xfId="28529"/>
    <cellStyle name="Normal 12 9 7 4" xfId="28530"/>
    <cellStyle name="Normal 12 9 7 4 2" xfId="28531"/>
    <cellStyle name="Normal 12 9 7 5" xfId="28532"/>
    <cellStyle name="Normal 12 9 7 5 2" xfId="28533"/>
    <cellStyle name="Normal 12 9 7 6" xfId="28534"/>
    <cellStyle name="Normal 12 9 7 6 2" xfId="28535"/>
    <cellStyle name="Normal 12 9 7 7" xfId="28536"/>
    <cellStyle name="Normal 12 9 7 7 2" xfId="28537"/>
    <cellStyle name="Normal 12 9 7 8" xfId="28538"/>
    <cellStyle name="Normal 12 9 7 9" xfId="28539"/>
    <cellStyle name="Normal 12 9 8" xfId="28540"/>
    <cellStyle name="Normal 12 9 8 10" xfId="28541"/>
    <cellStyle name="Normal 12 9 8 11" xfId="28542"/>
    <cellStyle name="Normal 12 9 8 12" xfId="28543"/>
    <cellStyle name="Normal 12 9 8 13" xfId="28544"/>
    <cellStyle name="Normal 12 9 8 14" xfId="28545"/>
    <cellStyle name="Normal 12 9 8 15" xfId="28546"/>
    <cellStyle name="Normal 12 9 8 2" xfId="28547"/>
    <cellStyle name="Normal 12 9 8 2 2" xfId="28548"/>
    <cellStyle name="Normal 12 9 8 2 2 2" xfId="28549"/>
    <cellStyle name="Normal 12 9 8 2 3" xfId="28550"/>
    <cellStyle name="Normal 12 9 8 2 3 2" xfId="28551"/>
    <cellStyle name="Normal 12 9 8 2 4" xfId="28552"/>
    <cellStyle name="Normal 12 9 8 2 4 2" xfId="28553"/>
    <cellStyle name="Normal 12 9 8 2 5" xfId="28554"/>
    <cellStyle name="Normal 12 9 8 2 5 2" xfId="28555"/>
    <cellStyle name="Normal 12 9 8 2 6" xfId="28556"/>
    <cellStyle name="Normal 12 9 8 2 7" xfId="28557"/>
    <cellStyle name="Normal 12 9 8 2 8" xfId="28558"/>
    <cellStyle name="Normal 12 9 8 2 9" xfId="28559"/>
    <cellStyle name="Normal 12 9 8 3" xfId="28560"/>
    <cellStyle name="Normal 12 9 8 3 2" xfId="28561"/>
    <cellStyle name="Normal 12 9 8 3 2 2" xfId="28562"/>
    <cellStyle name="Normal 12 9 8 3 3" xfId="28563"/>
    <cellStyle name="Normal 12 9 8 3 4" xfId="28564"/>
    <cellStyle name="Normal 12 9 8 3 5" xfId="28565"/>
    <cellStyle name="Normal 12 9 8 4" xfId="28566"/>
    <cellStyle name="Normal 12 9 8 4 2" xfId="28567"/>
    <cellStyle name="Normal 12 9 8 5" xfId="28568"/>
    <cellStyle name="Normal 12 9 8 5 2" xfId="28569"/>
    <cellStyle name="Normal 12 9 8 6" xfId="28570"/>
    <cellStyle name="Normal 12 9 8 6 2" xfId="28571"/>
    <cellStyle name="Normal 12 9 8 7" xfId="28572"/>
    <cellStyle name="Normal 12 9 8 7 2" xfId="28573"/>
    <cellStyle name="Normal 12 9 8 8" xfId="28574"/>
    <cellStyle name="Normal 12 9 8 9" xfId="28575"/>
    <cellStyle name="Normal 12 9 9" xfId="28576"/>
    <cellStyle name="Normal 12 9 9 10" xfId="28577"/>
    <cellStyle name="Normal 12 9 9 11" xfId="28578"/>
    <cellStyle name="Normal 12 9 9 12" xfId="28579"/>
    <cellStyle name="Normal 12 9 9 13" xfId="28580"/>
    <cellStyle name="Normal 12 9 9 14" xfId="28581"/>
    <cellStyle name="Normal 12 9 9 15" xfId="28582"/>
    <cellStyle name="Normal 12 9 9 2" xfId="28583"/>
    <cellStyle name="Normal 12 9 9 2 2" xfId="28584"/>
    <cellStyle name="Normal 12 9 9 2 2 2" xfId="28585"/>
    <cellStyle name="Normal 12 9 9 2 3" xfId="28586"/>
    <cellStyle name="Normal 12 9 9 2 3 2" xfId="28587"/>
    <cellStyle name="Normal 12 9 9 2 4" xfId="28588"/>
    <cellStyle name="Normal 12 9 9 2 4 2" xfId="28589"/>
    <cellStyle name="Normal 12 9 9 2 5" xfId="28590"/>
    <cellStyle name="Normal 12 9 9 2 5 2" xfId="28591"/>
    <cellStyle name="Normal 12 9 9 2 6" xfId="28592"/>
    <cellStyle name="Normal 12 9 9 2 7" xfId="28593"/>
    <cellStyle name="Normal 12 9 9 2 8" xfId="28594"/>
    <cellStyle name="Normal 12 9 9 2 9" xfId="28595"/>
    <cellStyle name="Normal 12 9 9 3" xfId="28596"/>
    <cellStyle name="Normal 12 9 9 3 2" xfId="28597"/>
    <cellStyle name="Normal 12 9 9 3 2 2" xfId="28598"/>
    <cellStyle name="Normal 12 9 9 3 3" xfId="28599"/>
    <cellStyle name="Normal 12 9 9 3 4" xfId="28600"/>
    <cellStyle name="Normal 12 9 9 3 5" xfId="28601"/>
    <cellStyle name="Normal 12 9 9 4" xfId="28602"/>
    <cellStyle name="Normal 12 9 9 4 2" xfId="28603"/>
    <cellStyle name="Normal 12 9 9 5" xfId="28604"/>
    <cellStyle name="Normal 12 9 9 5 2" xfId="28605"/>
    <cellStyle name="Normal 12 9 9 6" xfId="28606"/>
    <cellStyle name="Normal 12 9 9 6 2" xfId="28607"/>
    <cellStyle name="Normal 12 9 9 7" xfId="28608"/>
    <cellStyle name="Normal 12 9 9 7 2" xfId="28609"/>
    <cellStyle name="Normal 12 9 9 8" xfId="28610"/>
    <cellStyle name="Normal 12 9 9 9" xfId="28611"/>
    <cellStyle name="Normal 13" xfId="63"/>
    <cellStyle name="Normal 13 2" xfId="28612"/>
    <cellStyle name="Normal 14" xfId="64"/>
    <cellStyle name="Normal 15" xfId="65"/>
    <cellStyle name="Normal 15 2" xfId="28613"/>
    <cellStyle name="Normal 16" xfId="66"/>
    <cellStyle name="Normal 16 2" xfId="28614"/>
    <cellStyle name="Normal 17" xfId="67"/>
    <cellStyle name="Normal 18" xfId="68"/>
    <cellStyle name="Normal 19" xfId="69"/>
    <cellStyle name="Normal 19 2" xfId="28615"/>
    <cellStyle name="Normal 2" xfId="70"/>
    <cellStyle name="Normal 2 2" xfId="71"/>
    <cellStyle name="Normal 2 2 2" xfId="72"/>
    <cellStyle name="Normal 2 3" xfId="73"/>
    <cellStyle name="Normal 2 3 2" xfId="28616"/>
    <cellStyle name="Normal 2 3 2 2" xfId="28617"/>
    <cellStyle name="Normal 2 3 3" xfId="28618"/>
    <cellStyle name="Normal 2 3 4" xfId="28619"/>
    <cellStyle name="Normal 2 3 5" xfId="28620"/>
    <cellStyle name="Normal 2 3 6" xfId="28621"/>
    <cellStyle name="Normal 2 4" xfId="74"/>
    <cellStyle name="Normal 2 5" xfId="75"/>
    <cellStyle name="Normal 2 6" xfId="76"/>
    <cellStyle name="Normal 20" xfId="982"/>
    <cellStyle name="Normal 20 2" xfId="28622"/>
    <cellStyle name="Normal 21" xfId="983"/>
    <cellStyle name="Normal 22" xfId="984"/>
    <cellStyle name="Normal 23" xfId="985"/>
    <cellStyle name="Normal 24" xfId="986"/>
    <cellStyle name="Normal 24 2" xfId="28623"/>
    <cellStyle name="Normal 25" xfId="1008"/>
    <cellStyle name="Normal 25 2" xfId="28624"/>
    <cellStyle name="Normal 26" xfId="1019"/>
    <cellStyle name="Normal 26 2" xfId="28625"/>
    <cellStyle name="Normal 27" xfId="1020"/>
    <cellStyle name="Normal 27 2" xfId="28626"/>
    <cellStyle name="Normal 28" xfId="1021"/>
    <cellStyle name="Normal 28 2" xfId="28627"/>
    <cellStyle name="Normal 29" xfId="1022"/>
    <cellStyle name="Normal 29 2" xfId="28628"/>
    <cellStyle name="Normal 3" xfId="77"/>
    <cellStyle name="Normal 3 10" xfId="991"/>
    <cellStyle name="Normal 3 11" xfId="992"/>
    <cellStyle name="Normal 3 12" xfId="993"/>
    <cellStyle name="Normal 3 13" xfId="28629"/>
    <cellStyle name="Normal 3 13 10" xfId="28630"/>
    <cellStyle name="Normal 3 13 10 10" xfId="28631"/>
    <cellStyle name="Normal 3 13 10 11" xfId="28632"/>
    <cellStyle name="Normal 3 13 10 12" xfId="28633"/>
    <cellStyle name="Normal 3 13 10 13" xfId="28634"/>
    <cellStyle name="Normal 3 13 10 14" xfId="28635"/>
    <cellStyle name="Normal 3 13 10 15" xfId="28636"/>
    <cellStyle name="Normal 3 13 10 2" xfId="28637"/>
    <cellStyle name="Normal 3 13 10 2 2" xfId="28638"/>
    <cellStyle name="Normal 3 13 10 2 2 2" xfId="28639"/>
    <cellStyle name="Normal 3 13 10 2 3" xfId="28640"/>
    <cellStyle name="Normal 3 13 10 2 3 2" xfId="28641"/>
    <cellStyle name="Normal 3 13 10 2 4" xfId="28642"/>
    <cellStyle name="Normal 3 13 10 2 4 2" xfId="28643"/>
    <cellStyle name="Normal 3 13 10 2 5" xfId="28644"/>
    <cellStyle name="Normal 3 13 10 2 5 2" xfId="28645"/>
    <cellStyle name="Normal 3 13 10 2 6" xfId="28646"/>
    <cellStyle name="Normal 3 13 10 2 7" xfId="28647"/>
    <cellStyle name="Normal 3 13 10 2 8" xfId="28648"/>
    <cellStyle name="Normal 3 13 10 2 9" xfId="28649"/>
    <cellStyle name="Normal 3 13 10 3" xfId="28650"/>
    <cellStyle name="Normal 3 13 10 3 2" xfId="28651"/>
    <cellStyle name="Normal 3 13 10 3 2 2" xfId="28652"/>
    <cellStyle name="Normal 3 13 10 3 3" xfId="28653"/>
    <cellStyle name="Normal 3 13 10 3 4" xfId="28654"/>
    <cellStyle name="Normal 3 13 10 3 5" xfId="28655"/>
    <cellStyle name="Normal 3 13 10 4" xfId="28656"/>
    <cellStyle name="Normal 3 13 10 4 2" xfId="28657"/>
    <cellStyle name="Normal 3 13 10 5" xfId="28658"/>
    <cellStyle name="Normal 3 13 10 5 2" xfId="28659"/>
    <cellStyle name="Normal 3 13 10 6" xfId="28660"/>
    <cellStyle name="Normal 3 13 10 6 2" xfId="28661"/>
    <cellStyle name="Normal 3 13 10 7" xfId="28662"/>
    <cellStyle name="Normal 3 13 10 7 2" xfId="28663"/>
    <cellStyle name="Normal 3 13 10 8" xfId="28664"/>
    <cellStyle name="Normal 3 13 10 9" xfId="28665"/>
    <cellStyle name="Normal 3 13 11" xfId="28666"/>
    <cellStyle name="Normal 3 13 11 2" xfId="28667"/>
    <cellStyle name="Normal 3 13 11 2 2" xfId="28668"/>
    <cellStyle name="Normal 3 13 11 3" xfId="28669"/>
    <cellStyle name="Normal 3 13 11 3 2" xfId="28670"/>
    <cellStyle name="Normal 3 13 11 4" xfId="28671"/>
    <cellStyle name="Normal 3 13 11 4 2" xfId="28672"/>
    <cellStyle name="Normal 3 13 11 5" xfId="28673"/>
    <cellStyle name="Normal 3 13 11 5 2" xfId="28674"/>
    <cellStyle name="Normal 3 13 11 6" xfId="28675"/>
    <cellStyle name="Normal 3 13 11 7" xfId="28676"/>
    <cellStyle name="Normal 3 13 11 8" xfId="28677"/>
    <cellStyle name="Normal 3 13 11 9" xfId="28678"/>
    <cellStyle name="Normal 3 13 12" xfId="28679"/>
    <cellStyle name="Normal 3 13 12 2" xfId="28680"/>
    <cellStyle name="Normal 3 13 12 2 2" xfId="28681"/>
    <cellStyle name="Normal 3 13 12 3" xfId="28682"/>
    <cellStyle name="Normal 3 13 12 4" xfId="28683"/>
    <cellStyle name="Normal 3 13 12 5" xfId="28684"/>
    <cellStyle name="Normal 3 13 13" xfId="28685"/>
    <cellStyle name="Normal 3 13 13 2" xfId="28686"/>
    <cellStyle name="Normal 3 13 14" xfId="28687"/>
    <cellStyle name="Normal 3 13 14 2" xfId="28688"/>
    <cellStyle name="Normal 3 13 15" xfId="28689"/>
    <cellStyle name="Normal 3 13 15 2" xfId="28690"/>
    <cellStyle name="Normal 3 13 16" xfId="28691"/>
    <cellStyle name="Normal 3 13 16 2" xfId="28692"/>
    <cellStyle name="Normal 3 13 17" xfId="28693"/>
    <cellStyle name="Normal 3 13 18" xfId="28694"/>
    <cellStyle name="Normal 3 13 19" xfId="28695"/>
    <cellStyle name="Normal 3 13 2" xfId="28696"/>
    <cellStyle name="Normal 3 13 2 10" xfId="28697"/>
    <cellStyle name="Normal 3 13 2 10 2" xfId="28698"/>
    <cellStyle name="Normal 3 13 2 11" xfId="28699"/>
    <cellStyle name="Normal 3 13 2 11 2" xfId="28700"/>
    <cellStyle name="Normal 3 13 2 12" xfId="28701"/>
    <cellStyle name="Normal 3 13 2 13" xfId="28702"/>
    <cellStyle name="Normal 3 13 2 14" xfId="28703"/>
    <cellStyle name="Normal 3 13 2 15" xfId="28704"/>
    <cellStyle name="Normal 3 13 2 16" xfId="28705"/>
    <cellStyle name="Normal 3 13 2 17" xfId="28706"/>
    <cellStyle name="Normal 3 13 2 18" xfId="28707"/>
    <cellStyle name="Normal 3 13 2 19" xfId="28708"/>
    <cellStyle name="Normal 3 13 2 2" xfId="28709"/>
    <cellStyle name="Normal 3 13 2 2 10" xfId="28710"/>
    <cellStyle name="Normal 3 13 2 2 11" xfId="28711"/>
    <cellStyle name="Normal 3 13 2 2 12" xfId="28712"/>
    <cellStyle name="Normal 3 13 2 2 13" xfId="28713"/>
    <cellStyle name="Normal 3 13 2 2 14" xfId="28714"/>
    <cellStyle name="Normal 3 13 2 2 15" xfId="28715"/>
    <cellStyle name="Normal 3 13 2 2 16" xfId="28716"/>
    <cellStyle name="Normal 3 13 2 2 2" xfId="28717"/>
    <cellStyle name="Normal 3 13 2 2 2 2" xfId="28718"/>
    <cellStyle name="Normal 3 13 2 2 2 2 2" xfId="28719"/>
    <cellStyle name="Normal 3 13 2 2 2 3" xfId="28720"/>
    <cellStyle name="Normal 3 13 2 2 2 3 2" xfId="28721"/>
    <cellStyle name="Normal 3 13 2 2 2 4" xfId="28722"/>
    <cellStyle name="Normal 3 13 2 2 2 4 2" xfId="28723"/>
    <cellStyle name="Normal 3 13 2 2 2 5" xfId="28724"/>
    <cellStyle name="Normal 3 13 2 2 2 5 2" xfId="28725"/>
    <cellStyle name="Normal 3 13 2 2 2 6" xfId="28726"/>
    <cellStyle name="Normal 3 13 2 2 2 7" xfId="28727"/>
    <cellStyle name="Normal 3 13 2 2 2 8" xfId="28728"/>
    <cellStyle name="Normal 3 13 2 2 2 9" xfId="28729"/>
    <cellStyle name="Normal 3 13 2 2 3" xfId="28730"/>
    <cellStyle name="Normal 3 13 2 2 3 2" xfId="28731"/>
    <cellStyle name="Normal 3 13 2 2 3 2 2" xfId="28732"/>
    <cellStyle name="Normal 3 13 2 2 3 3" xfId="28733"/>
    <cellStyle name="Normal 3 13 2 2 3 4" xfId="28734"/>
    <cellStyle name="Normal 3 13 2 2 3 5" xfId="28735"/>
    <cellStyle name="Normal 3 13 2 2 4" xfId="28736"/>
    <cellStyle name="Normal 3 13 2 2 4 2" xfId="28737"/>
    <cellStyle name="Normal 3 13 2 2 5" xfId="28738"/>
    <cellStyle name="Normal 3 13 2 2 5 2" xfId="28739"/>
    <cellStyle name="Normal 3 13 2 2 6" xfId="28740"/>
    <cellStyle name="Normal 3 13 2 2 6 2" xfId="28741"/>
    <cellStyle name="Normal 3 13 2 2 7" xfId="28742"/>
    <cellStyle name="Normal 3 13 2 2 7 2" xfId="28743"/>
    <cellStyle name="Normal 3 13 2 2 8" xfId="28744"/>
    <cellStyle name="Normal 3 13 2 2 9" xfId="28745"/>
    <cellStyle name="Normal 3 13 2 20" xfId="28746"/>
    <cellStyle name="Normal 3 13 2 3" xfId="28747"/>
    <cellStyle name="Normal 3 13 2 3 10" xfId="28748"/>
    <cellStyle name="Normal 3 13 2 3 11" xfId="28749"/>
    <cellStyle name="Normal 3 13 2 3 12" xfId="28750"/>
    <cellStyle name="Normal 3 13 2 3 13" xfId="28751"/>
    <cellStyle name="Normal 3 13 2 3 14" xfId="28752"/>
    <cellStyle name="Normal 3 13 2 3 15" xfId="28753"/>
    <cellStyle name="Normal 3 13 2 3 16" xfId="28754"/>
    <cellStyle name="Normal 3 13 2 3 2" xfId="28755"/>
    <cellStyle name="Normal 3 13 2 3 2 2" xfId="28756"/>
    <cellStyle name="Normal 3 13 2 3 2 2 2" xfId="28757"/>
    <cellStyle name="Normal 3 13 2 3 2 3" xfId="28758"/>
    <cellStyle name="Normal 3 13 2 3 2 3 2" xfId="28759"/>
    <cellStyle name="Normal 3 13 2 3 2 4" xfId="28760"/>
    <cellStyle name="Normal 3 13 2 3 2 4 2" xfId="28761"/>
    <cellStyle name="Normal 3 13 2 3 2 5" xfId="28762"/>
    <cellStyle name="Normal 3 13 2 3 2 5 2" xfId="28763"/>
    <cellStyle name="Normal 3 13 2 3 2 6" xfId="28764"/>
    <cellStyle name="Normal 3 13 2 3 2 7" xfId="28765"/>
    <cellStyle name="Normal 3 13 2 3 2 8" xfId="28766"/>
    <cellStyle name="Normal 3 13 2 3 2 9" xfId="28767"/>
    <cellStyle name="Normal 3 13 2 3 3" xfId="28768"/>
    <cellStyle name="Normal 3 13 2 3 3 2" xfId="28769"/>
    <cellStyle name="Normal 3 13 2 3 3 2 2" xfId="28770"/>
    <cellStyle name="Normal 3 13 2 3 3 3" xfId="28771"/>
    <cellStyle name="Normal 3 13 2 3 3 4" xfId="28772"/>
    <cellStyle name="Normal 3 13 2 3 3 5" xfId="28773"/>
    <cellStyle name="Normal 3 13 2 3 4" xfId="28774"/>
    <cellStyle name="Normal 3 13 2 3 4 2" xfId="28775"/>
    <cellStyle name="Normal 3 13 2 3 5" xfId="28776"/>
    <cellStyle name="Normal 3 13 2 3 5 2" xfId="28777"/>
    <cellStyle name="Normal 3 13 2 3 6" xfId="28778"/>
    <cellStyle name="Normal 3 13 2 3 6 2" xfId="28779"/>
    <cellStyle name="Normal 3 13 2 3 7" xfId="28780"/>
    <cellStyle name="Normal 3 13 2 3 7 2" xfId="28781"/>
    <cellStyle name="Normal 3 13 2 3 8" xfId="28782"/>
    <cellStyle name="Normal 3 13 2 3 9" xfId="28783"/>
    <cellStyle name="Normal 3 13 2 4" xfId="28784"/>
    <cellStyle name="Normal 3 13 2 4 10" xfId="28785"/>
    <cellStyle name="Normal 3 13 2 4 11" xfId="28786"/>
    <cellStyle name="Normal 3 13 2 4 12" xfId="28787"/>
    <cellStyle name="Normal 3 13 2 4 13" xfId="28788"/>
    <cellStyle name="Normal 3 13 2 4 14" xfId="28789"/>
    <cellStyle name="Normal 3 13 2 4 15" xfId="28790"/>
    <cellStyle name="Normal 3 13 2 4 2" xfId="28791"/>
    <cellStyle name="Normal 3 13 2 4 2 2" xfId="28792"/>
    <cellStyle name="Normal 3 13 2 4 2 2 2" xfId="28793"/>
    <cellStyle name="Normal 3 13 2 4 2 3" xfId="28794"/>
    <cellStyle name="Normal 3 13 2 4 2 3 2" xfId="28795"/>
    <cellStyle name="Normal 3 13 2 4 2 4" xfId="28796"/>
    <cellStyle name="Normal 3 13 2 4 2 4 2" xfId="28797"/>
    <cellStyle name="Normal 3 13 2 4 2 5" xfId="28798"/>
    <cellStyle name="Normal 3 13 2 4 2 5 2" xfId="28799"/>
    <cellStyle name="Normal 3 13 2 4 2 6" xfId="28800"/>
    <cellStyle name="Normal 3 13 2 4 2 7" xfId="28801"/>
    <cellStyle name="Normal 3 13 2 4 2 8" xfId="28802"/>
    <cellStyle name="Normal 3 13 2 4 2 9" xfId="28803"/>
    <cellStyle name="Normal 3 13 2 4 3" xfId="28804"/>
    <cellStyle name="Normal 3 13 2 4 3 2" xfId="28805"/>
    <cellStyle name="Normal 3 13 2 4 3 2 2" xfId="28806"/>
    <cellStyle name="Normal 3 13 2 4 3 3" xfId="28807"/>
    <cellStyle name="Normal 3 13 2 4 3 4" xfId="28808"/>
    <cellStyle name="Normal 3 13 2 4 3 5" xfId="28809"/>
    <cellStyle name="Normal 3 13 2 4 4" xfId="28810"/>
    <cellStyle name="Normal 3 13 2 4 4 2" xfId="28811"/>
    <cellStyle name="Normal 3 13 2 4 5" xfId="28812"/>
    <cellStyle name="Normal 3 13 2 4 5 2" xfId="28813"/>
    <cellStyle name="Normal 3 13 2 4 6" xfId="28814"/>
    <cellStyle name="Normal 3 13 2 4 6 2" xfId="28815"/>
    <cellStyle name="Normal 3 13 2 4 7" xfId="28816"/>
    <cellStyle name="Normal 3 13 2 4 7 2" xfId="28817"/>
    <cellStyle name="Normal 3 13 2 4 8" xfId="28818"/>
    <cellStyle name="Normal 3 13 2 4 9" xfId="28819"/>
    <cellStyle name="Normal 3 13 2 5" xfId="28820"/>
    <cellStyle name="Normal 3 13 2 5 10" xfId="28821"/>
    <cellStyle name="Normal 3 13 2 5 11" xfId="28822"/>
    <cellStyle name="Normal 3 13 2 5 12" xfId="28823"/>
    <cellStyle name="Normal 3 13 2 5 13" xfId="28824"/>
    <cellStyle name="Normal 3 13 2 5 14" xfId="28825"/>
    <cellStyle name="Normal 3 13 2 5 2" xfId="28826"/>
    <cellStyle name="Normal 3 13 2 5 2 2" xfId="28827"/>
    <cellStyle name="Normal 3 13 2 5 2 2 2" xfId="28828"/>
    <cellStyle name="Normal 3 13 2 5 2 3" xfId="28829"/>
    <cellStyle name="Normal 3 13 2 5 2 3 2" xfId="28830"/>
    <cellStyle name="Normal 3 13 2 5 2 4" xfId="28831"/>
    <cellStyle name="Normal 3 13 2 5 2 4 2" xfId="28832"/>
    <cellStyle name="Normal 3 13 2 5 2 5" xfId="28833"/>
    <cellStyle name="Normal 3 13 2 5 2 5 2" xfId="28834"/>
    <cellStyle name="Normal 3 13 2 5 2 6" xfId="28835"/>
    <cellStyle name="Normal 3 13 2 5 2 7" xfId="28836"/>
    <cellStyle name="Normal 3 13 2 5 2 8" xfId="28837"/>
    <cellStyle name="Normal 3 13 2 5 2 9" xfId="28838"/>
    <cellStyle name="Normal 3 13 2 5 3" xfId="28839"/>
    <cellStyle name="Normal 3 13 2 5 3 2" xfId="28840"/>
    <cellStyle name="Normal 3 13 2 5 3 2 2" xfId="28841"/>
    <cellStyle name="Normal 3 13 2 5 3 3" xfId="28842"/>
    <cellStyle name="Normal 3 13 2 5 3 4" xfId="28843"/>
    <cellStyle name="Normal 3 13 2 5 3 5" xfId="28844"/>
    <cellStyle name="Normal 3 13 2 5 4" xfId="28845"/>
    <cellStyle name="Normal 3 13 2 5 4 2" xfId="28846"/>
    <cellStyle name="Normal 3 13 2 5 5" xfId="28847"/>
    <cellStyle name="Normal 3 13 2 5 5 2" xfId="28848"/>
    <cellStyle name="Normal 3 13 2 5 6" xfId="28849"/>
    <cellStyle name="Normal 3 13 2 5 6 2" xfId="28850"/>
    <cellStyle name="Normal 3 13 2 5 7" xfId="28851"/>
    <cellStyle name="Normal 3 13 2 5 7 2" xfId="28852"/>
    <cellStyle name="Normal 3 13 2 5 8" xfId="28853"/>
    <cellStyle name="Normal 3 13 2 5 9" xfId="28854"/>
    <cellStyle name="Normal 3 13 2 6" xfId="28855"/>
    <cellStyle name="Normal 3 13 2 6 2" xfId="28856"/>
    <cellStyle name="Normal 3 13 2 6 2 2" xfId="28857"/>
    <cellStyle name="Normal 3 13 2 6 3" xfId="28858"/>
    <cellStyle name="Normal 3 13 2 6 3 2" xfId="28859"/>
    <cellStyle name="Normal 3 13 2 6 4" xfId="28860"/>
    <cellStyle name="Normal 3 13 2 6 4 2" xfId="28861"/>
    <cellStyle name="Normal 3 13 2 6 5" xfId="28862"/>
    <cellStyle name="Normal 3 13 2 6 5 2" xfId="28863"/>
    <cellStyle name="Normal 3 13 2 6 6" xfId="28864"/>
    <cellStyle name="Normal 3 13 2 6 7" xfId="28865"/>
    <cellStyle name="Normal 3 13 2 6 8" xfId="28866"/>
    <cellStyle name="Normal 3 13 2 6 9" xfId="28867"/>
    <cellStyle name="Normal 3 13 2 7" xfId="28868"/>
    <cellStyle name="Normal 3 13 2 7 2" xfId="28869"/>
    <cellStyle name="Normal 3 13 2 7 2 2" xfId="28870"/>
    <cellStyle name="Normal 3 13 2 7 3" xfId="28871"/>
    <cellStyle name="Normal 3 13 2 7 4" xfId="28872"/>
    <cellStyle name="Normal 3 13 2 7 5" xfId="28873"/>
    <cellStyle name="Normal 3 13 2 8" xfId="28874"/>
    <cellStyle name="Normal 3 13 2 8 2" xfId="28875"/>
    <cellStyle name="Normal 3 13 2 9" xfId="28876"/>
    <cellStyle name="Normal 3 13 2 9 2" xfId="28877"/>
    <cellStyle name="Normal 3 13 20" xfId="28878"/>
    <cellStyle name="Normal 3 13 21" xfId="28879"/>
    <cellStyle name="Normal 3 13 22" xfId="28880"/>
    <cellStyle name="Normal 3 13 23" xfId="28881"/>
    <cellStyle name="Normal 3 13 24" xfId="28882"/>
    <cellStyle name="Normal 3 13 25" xfId="28883"/>
    <cellStyle name="Normal 3 13 26" xfId="28884"/>
    <cellStyle name="Normal 3 13 3" xfId="28885"/>
    <cellStyle name="Normal 3 13 3 10" xfId="28886"/>
    <cellStyle name="Normal 3 13 3 11" xfId="28887"/>
    <cellStyle name="Normal 3 13 3 12" xfId="28888"/>
    <cellStyle name="Normal 3 13 3 13" xfId="28889"/>
    <cellStyle name="Normal 3 13 3 14" xfId="28890"/>
    <cellStyle name="Normal 3 13 3 15" xfId="28891"/>
    <cellStyle name="Normal 3 13 3 16" xfId="28892"/>
    <cellStyle name="Normal 3 13 3 17" xfId="28893"/>
    <cellStyle name="Normal 3 13 3 18" xfId="28894"/>
    <cellStyle name="Normal 3 13 3 2" xfId="28895"/>
    <cellStyle name="Normal 3 13 3 2 10" xfId="28896"/>
    <cellStyle name="Normal 3 13 3 2 11" xfId="28897"/>
    <cellStyle name="Normal 3 13 3 2 12" xfId="28898"/>
    <cellStyle name="Normal 3 13 3 2 13" xfId="28899"/>
    <cellStyle name="Normal 3 13 3 2 2" xfId="28900"/>
    <cellStyle name="Normal 3 13 3 2 2 2" xfId="28901"/>
    <cellStyle name="Normal 3 13 3 2 2 2 2" xfId="28902"/>
    <cellStyle name="Normal 3 13 3 2 2 3" xfId="28903"/>
    <cellStyle name="Normal 3 13 3 2 2 4" xfId="28904"/>
    <cellStyle name="Normal 3 13 3 2 2 5" xfId="28905"/>
    <cellStyle name="Normal 3 13 3 2 3" xfId="28906"/>
    <cellStyle name="Normal 3 13 3 2 3 2" xfId="28907"/>
    <cellStyle name="Normal 3 13 3 2 4" xfId="28908"/>
    <cellStyle name="Normal 3 13 3 2 4 2" xfId="28909"/>
    <cellStyle name="Normal 3 13 3 2 5" xfId="28910"/>
    <cellStyle name="Normal 3 13 3 2 5 2" xfId="28911"/>
    <cellStyle name="Normal 3 13 3 2 6" xfId="28912"/>
    <cellStyle name="Normal 3 13 3 2 6 2" xfId="28913"/>
    <cellStyle name="Normal 3 13 3 2 7" xfId="28914"/>
    <cellStyle name="Normal 3 13 3 2 8" xfId="28915"/>
    <cellStyle name="Normal 3 13 3 2 9" xfId="28916"/>
    <cellStyle name="Normal 3 13 3 3" xfId="28917"/>
    <cellStyle name="Normal 3 13 3 3 2" xfId="28918"/>
    <cellStyle name="Normal 3 13 3 3 2 2" xfId="28919"/>
    <cellStyle name="Normal 3 13 3 3 3" xfId="28920"/>
    <cellStyle name="Normal 3 13 3 3 4" xfId="28921"/>
    <cellStyle name="Normal 3 13 3 3 5" xfId="28922"/>
    <cellStyle name="Normal 3 13 3 4" xfId="28923"/>
    <cellStyle name="Normal 3 13 3 4 2" xfId="28924"/>
    <cellStyle name="Normal 3 13 3 5" xfId="28925"/>
    <cellStyle name="Normal 3 13 3 5 2" xfId="28926"/>
    <cellStyle name="Normal 3 13 3 6" xfId="28927"/>
    <cellStyle name="Normal 3 13 3 6 2" xfId="28928"/>
    <cellStyle name="Normal 3 13 3 7" xfId="28929"/>
    <cellStyle name="Normal 3 13 3 7 2" xfId="28930"/>
    <cellStyle name="Normal 3 13 3 8" xfId="28931"/>
    <cellStyle name="Normal 3 13 3 9" xfId="28932"/>
    <cellStyle name="Normal 3 13 4" xfId="28933"/>
    <cellStyle name="Normal 3 13 4 10" xfId="28934"/>
    <cellStyle name="Normal 3 13 4 11" xfId="28935"/>
    <cellStyle name="Normal 3 13 4 12" xfId="28936"/>
    <cellStyle name="Normal 3 13 4 13" xfId="28937"/>
    <cellStyle name="Normal 3 13 4 14" xfId="28938"/>
    <cellStyle name="Normal 3 13 4 15" xfId="28939"/>
    <cellStyle name="Normal 3 13 4 16" xfId="28940"/>
    <cellStyle name="Normal 3 13 4 17" xfId="28941"/>
    <cellStyle name="Normal 3 13 4 18" xfId="28942"/>
    <cellStyle name="Normal 3 13 4 2" xfId="28943"/>
    <cellStyle name="Normal 3 13 4 2 10" xfId="28944"/>
    <cellStyle name="Normal 3 13 4 2 11" xfId="28945"/>
    <cellStyle name="Normal 3 13 4 2 12" xfId="28946"/>
    <cellStyle name="Normal 3 13 4 2 13" xfId="28947"/>
    <cellStyle name="Normal 3 13 4 2 2" xfId="28948"/>
    <cellStyle name="Normal 3 13 4 2 2 2" xfId="28949"/>
    <cellStyle name="Normal 3 13 4 2 2 2 2" xfId="28950"/>
    <cellStyle name="Normal 3 13 4 2 2 3" xfId="28951"/>
    <cellStyle name="Normal 3 13 4 2 2 4" xfId="28952"/>
    <cellStyle name="Normal 3 13 4 2 2 5" xfId="28953"/>
    <cellStyle name="Normal 3 13 4 2 3" xfId="28954"/>
    <cellStyle name="Normal 3 13 4 2 3 2" xfId="28955"/>
    <cellStyle name="Normal 3 13 4 2 4" xfId="28956"/>
    <cellStyle name="Normal 3 13 4 2 4 2" xfId="28957"/>
    <cellStyle name="Normal 3 13 4 2 5" xfId="28958"/>
    <cellStyle name="Normal 3 13 4 2 5 2" xfId="28959"/>
    <cellStyle name="Normal 3 13 4 2 6" xfId="28960"/>
    <cellStyle name="Normal 3 13 4 2 6 2" xfId="28961"/>
    <cellStyle name="Normal 3 13 4 2 7" xfId="28962"/>
    <cellStyle name="Normal 3 13 4 2 8" xfId="28963"/>
    <cellStyle name="Normal 3 13 4 2 9" xfId="28964"/>
    <cellStyle name="Normal 3 13 4 3" xfId="28965"/>
    <cellStyle name="Normal 3 13 4 3 2" xfId="28966"/>
    <cellStyle name="Normal 3 13 4 3 2 2" xfId="28967"/>
    <cellStyle name="Normal 3 13 4 3 3" xfId="28968"/>
    <cellStyle name="Normal 3 13 4 3 4" xfId="28969"/>
    <cellStyle name="Normal 3 13 4 3 5" xfId="28970"/>
    <cellStyle name="Normal 3 13 4 4" xfId="28971"/>
    <cellStyle name="Normal 3 13 4 4 2" xfId="28972"/>
    <cellStyle name="Normal 3 13 4 5" xfId="28973"/>
    <cellStyle name="Normal 3 13 4 5 2" xfId="28974"/>
    <cellStyle name="Normal 3 13 4 6" xfId="28975"/>
    <cellStyle name="Normal 3 13 4 6 2" xfId="28976"/>
    <cellStyle name="Normal 3 13 4 7" xfId="28977"/>
    <cellStyle name="Normal 3 13 4 7 2" xfId="28978"/>
    <cellStyle name="Normal 3 13 4 8" xfId="28979"/>
    <cellStyle name="Normal 3 13 4 9" xfId="28980"/>
    <cellStyle name="Normal 3 13 5" xfId="28981"/>
    <cellStyle name="Normal 3 13 5 10" xfId="28982"/>
    <cellStyle name="Normal 3 13 5 11" xfId="28983"/>
    <cellStyle name="Normal 3 13 5 12" xfId="28984"/>
    <cellStyle name="Normal 3 13 5 13" xfId="28985"/>
    <cellStyle name="Normal 3 13 5 14" xfId="28986"/>
    <cellStyle name="Normal 3 13 5 15" xfId="28987"/>
    <cellStyle name="Normal 3 13 5 16" xfId="28988"/>
    <cellStyle name="Normal 3 13 5 17" xfId="28989"/>
    <cellStyle name="Normal 3 13 5 18" xfId="28990"/>
    <cellStyle name="Normal 3 13 5 2" xfId="28991"/>
    <cellStyle name="Normal 3 13 5 2 10" xfId="28992"/>
    <cellStyle name="Normal 3 13 5 2 11" xfId="28993"/>
    <cellStyle name="Normal 3 13 5 2 12" xfId="28994"/>
    <cellStyle name="Normal 3 13 5 2 13" xfId="28995"/>
    <cellStyle name="Normal 3 13 5 2 2" xfId="28996"/>
    <cellStyle name="Normal 3 13 5 2 2 2" xfId="28997"/>
    <cellStyle name="Normal 3 13 5 2 2 2 2" xfId="28998"/>
    <cellStyle name="Normal 3 13 5 2 2 3" xfId="28999"/>
    <cellStyle name="Normal 3 13 5 2 2 4" xfId="29000"/>
    <cellStyle name="Normal 3 13 5 2 2 5" xfId="29001"/>
    <cellStyle name="Normal 3 13 5 2 3" xfId="29002"/>
    <cellStyle name="Normal 3 13 5 2 3 2" xfId="29003"/>
    <cellStyle name="Normal 3 13 5 2 4" xfId="29004"/>
    <cellStyle name="Normal 3 13 5 2 4 2" xfId="29005"/>
    <cellStyle name="Normal 3 13 5 2 5" xfId="29006"/>
    <cellStyle name="Normal 3 13 5 2 5 2" xfId="29007"/>
    <cellStyle name="Normal 3 13 5 2 6" xfId="29008"/>
    <cellStyle name="Normal 3 13 5 2 6 2" xfId="29009"/>
    <cellStyle name="Normal 3 13 5 2 7" xfId="29010"/>
    <cellStyle name="Normal 3 13 5 2 8" xfId="29011"/>
    <cellStyle name="Normal 3 13 5 2 9" xfId="29012"/>
    <cellStyle name="Normal 3 13 5 3" xfId="29013"/>
    <cellStyle name="Normal 3 13 5 3 2" xfId="29014"/>
    <cellStyle name="Normal 3 13 5 3 2 2" xfId="29015"/>
    <cellStyle name="Normal 3 13 5 3 3" xfId="29016"/>
    <cellStyle name="Normal 3 13 5 3 4" xfId="29017"/>
    <cellStyle name="Normal 3 13 5 3 5" xfId="29018"/>
    <cellStyle name="Normal 3 13 5 4" xfId="29019"/>
    <cellStyle name="Normal 3 13 5 4 2" xfId="29020"/>
    <cellStyle name="Normal 3 13 5 5" xfId="29021"/>
    <cellStyle name="Normal 3 13 5 5 2" xfId="29022"/>
    <cellStyle name="Normal 3 13 5 6" xfId="29023"/>
    <cellStyle name="Normal 3 13 5 6 2" xfId="29024"/>
    <cellStyle name="Normal 3 13 5 7" xfId="29025"/>
    <cellStyle name="Normal 3 13 5 7 2" xfId="29026"/>
    <cellStyle name="Normal 3 13 5 8" xfId="29027"/>
    <cellStyle name="Normal 3 13 5 9" xfId="29028"/>
    <cellStyle name="Normal 3 13 6" xfId="29029"/>
    <cellStyle name="Normal 3 13 6 10" xfId="29030"/>
    <cellStyle name="Normal 3 13 6 11" xfId="29031"/>
    <cellStyle name="Normal 3 13 6 12" xfId="29032"/>
    <cellStyle name="Normal 3 13 6 13" xfId="29033"/>
    <cellStyle name="Normal 3 13 6 14" xfId="29034"/>
    <cellStyle name="Normal 3 13 6 15" xfId="29035"/>
    <cellStyle name="Normal 3 13 6 16" xfId="29036"/>
    <cellStyle name="Normal 3 13 6 17" xfId="29037"/>
    <cellStyle name="Normal 3 13 6 18" xfId="29038"/>
    <cellStyle name="Normal 3 13 6 2" xfId="29039"/>
    <cellStyle name="Normal 3 13 6 2 10" xfId="29040"/>
    <cellStyle name="Normal 3 13 6 2 11" xfId="29041"/>
    <cellStyle name="Normal 3 13 6 2 12" xfId="29042"/>
    <cellStyle name="Normal 3 13 6 2 13" xfId="29043"/>
    <cellStyle name="Normal 3 13 6 2 2" xfId="29044"/>
    <cellStyle name="Normal 3 13 6 2 2 2" xfId="29045"/>
    <cellStyle name="Normal 3 13 6 2 2 2 2" xfId="29046"/>
    <cellStyle name="Normal 3 13 6 2 2 3" xfId="29047"/>
    <cellStyle name="Normal 3 13 6 2 2 4" xfId="29048"/>
    <cellStyle name="Normal 3 13 6 2 2 5" xfId="29049"/>
    <cellStyle name="Normal 3 13 6 2 3" xfId="29050"/>
    <cellStyle name="Normal 3 13 6 2 3 2" xfId="29051"/>
    <cellStyle name="Normal 3 13 6 2 4" xfId="29052"/>
    <cellStyle name="Normal 3 13 6 2 4 2" xfId="29053"/>
    <cellStyle name="Normal 3 13 6 2 5" xfId="29054"/>
    <cellStyle name="Normal 3 13 6 2 5 2" xfId="29055"/>
    <cellStyle name="Normal 3 13 6 2 6" xfId="29056"/>
    <cellStyle name="Normal 3 13 6 2 6 2" xfId="29057"/>
    <cellStyle name="Normal 3 13 6 2 7" xfId="29058"/>
    <cellStyle name="Normal 3 13 6 2 8" xfId="29059"/>
    <cellStyle name="Normal 3 13 6 2 9" xfId="29060"/>
    <cellStyle name="Normal 3 13 6 3" xfId="29061"/>
    <cellStyle name="Normal 3 13 6 3 2" xfId="29062"/>
    <cellStyle name="Normal 3 13 6 3 2 2" xfId="29063"/>
    <cellStyle name="Normal 3 13 6 3 3" xfId="29064"/>
    <cellStyle name="Normal 3 13 6 3 4" xfId="29065"/>
    <cellStyle name="Normal 3 13 6 3 5" xfId="29066"/>
    <cellStyle name="Normal 3 13 6 4" xfId="29067"/>
    <cellStyle name="Normal 3 13 6 4 2" xfId="29068"/>
    <cellStyle name="Normal 3 13 6 5" xfId="29069"/>
    <cellStyle name="Normal 3 13 6 5 2" xfId="29070"/>
    <cellStyle name="Normal 3 13 6 6" xfId="29071"/>
    <cellStyle name="Normal 3 13 6 6 2" xfId="29072"/>
    <cellStyle name="Normal 3 13 6 7" xfId="29073"/>
    <cellStyle name="Normal 3 13 6 7 2" xfId="29074"/>
    <cellStyle name="Normal 3 13 6 8" xfId="29075"/>
    <cellStyle name="Normal 3 13 6 9" xfId="29076"/>
    <cellStyle name="Normal 3 13 7" xfId="29077"/>
    <cellStyle name="Normal 3 13 7 10" xfId="29078"/>
    <cellStyle name="Normal 3 13 7 11" xfId="29079"/>
    <cellStyle name="Normal 3 13 7 12" xfId="29080"/>
    <cellStyle name="Normal 3 13 7 13" xfId="29081"/>
    <cellStyle name="Normal 3 13 7 14" xfId="29082"/>
    <cellStyle name="Normal 3 13 7 15" xfId="29083"/>
    <cellStyle name="Normal 3 13 7 16" xfId="29084"/>
    <cellStyle name="Normal 3 13 7 17" xfId="29085"/>
    <cellStyle name="Normal 3 13 7 18" xfId="29086"/>
    <cellStyle name="Normal 3 13 7 2" xfId="29087"/>
    <cellStyle name="Normal 3 13 7 2 10" xfId="29088"/>
    <cellStyle name="Normal 3 13 7 2 11" xfId="29089"/>
    <cellStyle name="Normal 3 13 7 2 12" xfId="29090"/>
    <cellStyle name="Normal 3 13 7 2 13" xfId="29091"/>
    <cellStyle name="Normal 3 13 7 2 2" xfId="29092"/>
    <cellStyle name="Normal 3 13 7 2 2 2" xfId="29093"/>
    <cellStyle name="Normal 3 13 7 2 2 2 2" xfId="29094"/>
    <cellStyle name="Normal 3 13 7 2 2 3" xfId="29095"/>
    <cellStyle name="Normal 3 13 7 2 2 4" xfId="29096"/>
    <cellStyle name="Normal 3 13 7 2 2 5" xfId="29097"/>
    <cellStyle name="Normal 3 13 7 2 3" xfId="29098"/>
    <cellStyle name="Normal 3 13 7 2 3 2" xfId="29099"/>
    <cellStyle name="Normal 3 13 7 2 4" xfId="29100"/>
    <cellStyle name="Normal 3 13 7 2 4 2" xfId="29101"/>
    <cellStyle name="Normal 3 13 7 2 5" xfId="29102"/>
    <cellStyle name="Normal 3 13 7 2 5 2" xfId="29103"/>
    <cellStyle name="Normal 3 13 7 2 6" xfId="29104"/>
    <cellStyle name="Normal 3 13 7 2 6 2" xfId="29105"/>
    <cellStyle name="Normal 3 13 7 2 7" xfId="29106"/>
    <cellStyle name="Normal 3 13 7 2 8" xfId="29107"/>
    <cellStyle name="Normal 3 13 7 2 9" xfId="29108"/>
    <cellStyle name="Normal 3 13 7 3" xfId="29109"/>
    <cellStyle name="Normal 3 13 7 3 2" xfId="29110"/>
    <cellStyle name="Normal 3 13 7 3 2 2" xfId="29111"/>
    <cellStyle name="Normal 3 13 7 3 3" xfId="29112"/>
    <cellStyle name="Normal 3 13 7 3 4" xfId="29113"/>
    <cellStyle name="Normal 3 13 7 3 5" xfId="29114"/>
    <cellStyle name="Normal 3 13 7 4" xfId="29115"/>
    <cellStyle name="Normal 3 13 7 4 2" xfId="29116"/>
    <cellStyle name="Normal 3 13 7 5" xfId="29117"/>
    <cellStyle name="Normal 3 13 7 5 2" xfId="29118"/>
    <cellStyle name="Normal 3 13 7 6" xfId="29119"/>
    <cellStyle name="Normal 3 13 7 6 2" xfId="29120"/>
    <cellStyle name="Normal 3 13 7 7" xfId="29121"/>
    <cellStyle name="Normal 3 13 7 7 2" xfId="29122"/>
    <cellStyle name="Normal 3 13 7 8" xfId="29123"/>
    <cellStyle name="Normal 3 13 7 9" xfId="29124"/>
    <cellStyle name="Normal 3 13 8" xfId="29125"/>
    <cellStyle name="Normal 3 13 8 10" xfId="29126"/>
    <cellStyle name="Normal 3 13 8 11" xfId="29127"/>
    <cellStyle name="Normal 3 13 8 12" xfId="29128"/>
    <cellStyle name="Normal 3 13 8 13" xfId="29129"/>
    <cellStyle name="Normal 3 13 8 14" xfId="29130"/>
    <cellStyle name="Normal 3 13 8 15" xfId="29131"/>
    <cellStyle name="Normal 3 13 8 16" xfId="29132"/>
    <cellStyle name="Normal 3 13 8 2" xfId="29133"/>
    <cellStyle name="Normal 3 13 8 2 2" xfId="29134"/>
    <cellStyle name="Normal 3 13 8 2 2 2" xfId="29135"/>
    <cellStyle name="Normal 3 13 8 2 3" xfId="29136"/>
    <cellStyle name="Normal 3 13 8 2 3 2" xfId="29137"/>
    <cellStyle name="Normal 3 13 8 2 4" xfId="29138"/>
    <cellStyle name="Normal 3 13 8 2 4 2" xfId="29139"/>
    <cellStyle name="Normal 3 13 8 2 5" xfId="29140"/>
    <cellStyle name="Normal 3 13 8 2 5 2" xfId="29141"/>
    <cellStyle name="Normal 3 13 8 2 6" xfId="29142"/>
    <cellStyle name="Normal 3 13 8 2 7" xfId="29143"/>
    <cellStyle name="Normal 3 13 8 2 8" xfId="29144"/>
    <cellStyle name="Normal 3 13 8 2 9" xfId="29145"/>
    <cellStyle name="Normal 3 13 8 3" xfId="29146"/>
    <cellStyle name="Normal 3 13 8 3 2" xfId="29147"/>
    <cellStyle name="Normal 3 13 8 3 2 2" xfId="29148"/>
    <cellStyle name="Normal 3 13 8 3 3" xfId="29149"/>
    <cellStyle name="Normal 3 13 8 3 4" xfId="29150"/>
    <cellStyle name="Normal 3 13 8 3 5" xfId="29151"/>
    <cellStyle name="Normal 3 13 8 4" xfId="29152"/>
    <cellStyle name="Normal 3 13 8 4 2" xfId="29153"/>
    <cellStyle name="Normal 3 13 8 5" xfId="29154"/>
    <cellStyle name="Normal 3 13 8 5 2" xfId="29155"/>
    <cellStyle name="Normal 3 13 8 6" xfId="29156"/>
    <cellStyle name="Normal 3 13 8 6 2" xfId="29157"/>
    <cellStyle name="Normal 3 13 8 7" xfId="29158"/>
    <cellStyle name="Normal 3 13 8 7 2" xfId="29159"/>
    <cellStyle name="Normal 3 13 8 8" xfId="29160"/>
    <cellStyle name="Normal 3 13 8 9" xfId="29161"/>
    <cellStyle name="Normal 3 13 9" xfId="29162"/>
    <cellStyle name="Normal 3 13 9 10" xfId="29163"/>
    <cellStyle name="Normal 3 13 9 11" xfId="29164"/>
    <cellStyle name="Normal 3 13 9 12" xfId="29165"/>
    <cellStyle name="Normal 3 13 9 13" xfId="29166"/>
    <cellStyle name="Normal 3 13 9 14" xfId="29167"/>
    <cellStyle name="Normal 3 13 9 15" xfId="29168"/>
    <cellStyle name="Normal 3 13 9 16" xfId="29169"/>
    <cellStyle name="Normal 3 13 9 2" xfId="29170"/>
    <cellStyle name="Normal 3 13 9 2 2" xfId="29171"/>
    <cellStyle name="Normal 3 13 9 2 2 2" xfId="29172"/>
    <cellStyle name="Normal 3 13 9 2 3" xfId="29173"/>
    <cellStyle name="Normal 3 13 9 2 3 2" xfId="29174"/>
    <cellStyle name="Normal 3 13 9 2 4" xfId="29175"/>
    <cellStyle name="Normal 3 13 9 2 4 2" xfId="29176"/>
    <cellStyle name="Normal 3 13 9 2 5" xfId="29177"/>
    <cellStyle name="Normal 3 13 9 2 5 2" xfId="29178"/>
    <cellStyle name="Normal 3 13 9 2 6" xfId="29179"/>
    <cellStyle name="Normal 3 13 9 2 7" xfId="29180"/>
    <cellStyle name="Normal 3 13 9 2 8" xfId="29181"/>
    <cellStyle name="Normal 3 13 9 2 9" xfId="29182"/>
    <cellStyle name="Normal 3 13 9 3" xfId="29183"/>
    <cellStyle name="Normal 3 13 9 3 2" xfId="29184"/>
    <cellStyle name="Normal 3 13 9 3 2 2" xfId="29185"/>
    <cellStyle name="Normal 3 13 9 3 3" xfId="29186"/>
    <cellStyle name="Normal 3 13 9 3 4" xfId="29187"/>
    <cellStyle name="Normal 3 13 9 3 5" xfId="29188"/>
    <cellStyle name="Normal 3 13 9 4" xfId="29189"/>
    <cellStyle name="Normal 3 13 9 4 2" xfId="29190"/>
    <cellStyle name="Normal 3 13 9 5" xfId="29191"/>
    <cellStyle name="Normal 3 13 9 5 2" xfId="29192"/>
    <cellStyle name="Normal 3 13 9 6" xfId="29193"/>
    <cellStyle name="Normal 3 13 9 6 2" xfId="29194"/>
    <cellStyle name="Normal 3 13 9 7" xfId="29195"/>
    <cellStyle name="Normal 3 13 9 7 2" xfId="29196"/>
    <cellStyle name="Normal 3 13 9 8" xfId="29197"/>
    <cellStyle name="Normal 3 13 9 9" xfId="29198"/>
    <cellStyle name="Normal 3 14" xfId="29199"/>
    <cellStyle name="Normal 3 14 10" xfId="29200"/>
    <cellStyle name="Normal 3 14 10 10" xfId="29201"/>
    <cellStyle name="Normal 3 14 10 11" xfId="29202"/>
    <cellStyle name="Normal 3 14 10 12" xfId="29203"/>
    <cellStyle name="Normal 3 14 10 13" xfId="29204"/>
    <cellStyle name="Normal 3 14 10 14" xfId="29205"/>
    <cellStyle name="Normal 3 14 10 2" xfId="29206"/>
    <cellStyle name="Normal 3 14 10 2 2" xfId="29207"/>
    <cellStyle name="Normal 3 14 10 2 2 2" xfId="29208"/>
    <cellStyle name="Normal 3 14 10 2 3" xfId="29209"/>
    <cellStyle name="Normal 3 14 10 2 3 2" xfId="29210"/>
    <cellStyle name="Normal 3 14 10 2 4" xfId="29211"/>
    <cellStyle name="Normal 3 14 10 2 4 2" xfId="29212"/>
    <cellStyle name="Normal 3 14 10 2 5" xfId="29213"/>
    <cellStyle name="Normal 3 14 10 2 5 2" xfId="29214"/>
    <cellStyle name="Normal 3 14 10 2 6" xfId="29215"/>
    <cellStyle name="Normal 3 14 10 2 7" xfId="29216"/>
    <cellStyle name="Normal 3 14 10 2 8" xfId="29217"/>
    <cellStyle name="Normal 3 14 10 2 9" xfId="29218"/>
    <cellStyle name="Normal 3 14 10 3" xfId="29219"/>
    <cellStyle name="Normal 3 14 10 3 2" xfId="29220"/>
    <cellStyle name="Normal 3 14 10 3 2 2" xfId="29221"/>
    <cellStyle name="Normal 3 14 10 3 3" xfId="29222"/>
    <cellStyle name="Normal 3 14 10 3 4" xfId="29223"/>
    <cellStyle name="Normal 3 14 10 3 5" xfId="29224"/>
    <cellStyle name="Normal 3 14 10 4" xfId="29225"/>
    <cellStyle name="Normal 3 14 10 4 2" xfId="29226"/>
    <cellStyle name="Normal 3 14 10 5" xfId="29227"/>
    <cellStyle name="Normal 3 14 10 5 2" xfId="29228"/>
    <cellStyle name="Normal 3 14 10 6" xfId="29229"/>
    <cellStyle name="Normal 3 14 10 6 2" xfId="29230"/>
    <cellStyle name="Normal 3 14 10 7" xfId="29231"/>
    <cellStyle name="Normal 3 14 10 7 2" xfId="29232"/>
    <cellStyle name="Normal 3 14 10 8" xfId="29233"/>
    <cellStyle name="Normal 3 14 10 9" xfId="29234"/>
    <cellStyle name="Normal 3 14 11" xfId="29235"/>
    <cellStyle name="Normal 3 14 11 2" xfId="29236"/>
    <cellStyle name="Normal 3 14 11 2 2" xfId="29237"/>
    <cellStyle name="Normal 3 14 11 3" xfId="29238"/>
    <cellStyle name="Normal 3 14 11 3 2" xfId="29239"/>
    <cellStyle name="Normal 3 14 11 4" xfId="29240"/>
    <cellStyle name="Normal 3 14 11 4 2" xfId="29241"/>
    <cellStyle name="Normal 3 14 11 5" xfId="29242"/>
    <cellStyle name="Normal 3 14 11 5 2" xfId="29243"/>
    <cellStyle name="Normal 3 14 11 6" xfId="29244"/>
    <cellStyle name="Normal 3 14 11 7" xfId="29245"/>
    <cellStyle name="Normal 3 14 11 8" xfId="29246"/>
    <cellStyle name="Normal 3 14 11 9" xfId="29247"/>
    <cellStyle name="Normal 3 14 12" xfId="29248"/>
    <cellStyle name="Normal 3 14 12 2" xfId="29249"/>
    <cellStyle name="Normal 3 14 12 2 2" xfId="29250"/>
    <cellStyle name="Normal 3 14 12 3" xfId="29251"/>
    <cellStyle name="Normal 3 14 12 4" xfId="29252"/>
    <cellStyle name="Normal 3 14 12 5" xfId="29253"/>
    <cellStyle name="Normal 3 14 13" xfId="29254"/>
    <cellStyle name="Normal 3 14 13 2" xfId="29255"/>
    <cellStyle name="Normal 3 14 14" xfId="29256"/>
    <cellStyle name="Normal 3 14 14 2" xfId="29257"/>
    <cellStyle name="Normal 3 14 15" xfId="29258"/>
    <cellStyle name="Normal 3 14 15 2" xfId="29259"/>
    <cellStyle name="Normal 3 14 16" xfId="29260"/>
    <cellStyle name="Normal 3 14 16 2" xfId="29261"/>
    <cellStyle name="Normal 3 14 17" xfId="29262"/>
    <cellStyle name="Normal 3 14 18" xfId="29263"/>
    <cellStyle name="Normal 3 14 19" xfId="29264"/>
    <cellStyle name="Normal 3 14 2" xfId="29265"/>
    <cellStyle name="Normal 3 14 2 10" xfId="29266"/>
    <cellStyle name="Normal 3 14 2 10 2" xfId="29267"/>
    <cellStyle name="Normal 3 14 2 11" xfId="29268"/>
    <cellStyle name="Normal 3 14 2 11 2" xfId="29269"/>
    <cellStyle name="Normal 3 14 2 12" xfId="29270"/>
    <cellStyle name="Normal 3 14 2 13" xfId="29271"/>
    <cellStyle name="Normal 3 14 2 14" xfId="29272"/>
    <cellStyle name="Normal 3 14 2 15" xfId="29273"/>
    <cellStyle name="Normal 3 14 2 16" xfId="29274"/>
    <cellStyle name="Normal 3 14 2 17" xfId="29275"/>
    <cellStyle name="Normal 3 14 2 18" xfId="29276"/>
    <cellStyle name="Normal 3 14 2 19" xfId="29277"/>
    <cellStyle name="Normal 3 14 2 2" xfId="29278"/>
    <cellStyle name="Normal 3 14 2 2 10" xfId="29279"/>
    <cellStyle name="Normal 3 14 2 2 11" xfId="29280"/>
    <cellStyle name="Normal 3 14 2 2 12" xfId="29281"/>
    <cellStyle name="Normal 3 14 2 2 13" xfId="29282"/>
    <cellStyle name="Normal 3 14 2 2 14" xfId="29283"/>
    <cellStyle name="Normal 3 14 2 2 15" xfId="29284"/>
    <cellStyle name="Normal 3 14 2 2 16" xfId="29285"/>
    <cellStyle name="Normal 3 14 2 2 2" xfId="29286"/>
    <cellStyle name="Normal 3 14 2 2 2 2" xfId="29287"/>
    <cellStyle name="Normal 3 14 2 2 2 2 2" xfId="29288"/>
    <cellStyle name="Normal 3 14 2 2 2 3" xfId="29289"/>
    <cellStyle name="Normal 3 14 2 2 2 3 2" xfId="29290"/>
    <cellStyle name="Normal 3 14 2 2 2 4" xfId="29291"/>
    <cellStyle name="Normal 3 14 2 2 2 4 2" xfId="29292"/>
    <cellStyle name="Normal 3 14 2 2 2 5" xfId="29293"/>
    <cellStyle name="Normal 3 14 2 2 2 5 2" xfId="29294"/>
    <cellStyle name="Normal 3 14 2 2 2 6" xfId="29295"/>
    <cellStyle name="Normal 3 14 2 2 2 7" xfId="29296"/>
    <cellStyle name="Normal 3 14 2 2 2 8" xfId="29297"/>
    <cellStyle name="Normal 3 14 2 2 2 9" xfId="29298"/>
    <cellStyle name="Normal 3 14 2 2 3" xfId="29299"/>
    <cellStyle name="Normal 3 14 2 2 3 2" xfId="29300"/>
    <cellStyle name="Normal 3 14 2 2 3 2 2" xfId="29301"/>
    <cellStyle name="Normal 3 14 2 2 3 3" xfId="29302"/>
    <cellStyle name="Normal 3 14 2 2 3 4" xfId="29303"/>
    <cellStyle name="Normal 3 14 2 2 3 5" xfId="29304"/>
    <cellStyle name="Normal 3 14 2 2 4" xfId="29305"/>
    <cellStyle name="Normal 3 14 2 2 4 2" xfId="29306"/>
    <cellStyle name="Normal 3 14 2 2 5" xfId="29307"/>
    <cellStyle name="Normal 3 14 2 2 5 2" xfId="29308"/>
    <cellStyle name="Normal 3 14 2 2 6" xfId="29309"/>
    <cellStyle name="Normal 3 14 2 2 6 2" xfId="29310"/>
    <cellStyle name="Normal 3 14 2 2 7" xfId="29311"/>
    <cellStyle name="Normal 3 14 2 2 7 2" xfId="29312"/>
    <cellStyle name="Normal 3 14 2 2 8" xfId="29313"/>
    <cellStyle name="Normal 3 14 2 2 9" xfId="29314"/>
    <cellStyle name="Normal 3 14 2 20" xfId="29315"/>
    <cellStyle name="Normal 3 14 2 3" xfId="29316"/>
    <cellStyle name="Normal 3 14 2 3 10" xfId="29317"/>
    <cellStyle name="Normal 3 14 2 3 11" xfId="29318"/>
    <cellStyle name="Normal 3 14 2 3 12" xfId="29319"/>
    <cellStyle name="Normal 3 14 2 3 13" xfId="29320"/>
    <cellStyle name="Normal 3 14 2 3 14" xfId="29321"/>
    <cellStyle name="Normal 3 14 2 3 15" xfId="29322"/>
    <cellStyle name="Normal 3 14 2 3 16" xfId="29323"/>
    <cellStyle name="Normal 3 14 2 3 2" xfId="29324"/>
    <cellStyle name="Normal 3 14 2 3 2 2" xfId="29325"/>
    <cellStyle name="Normal 3 14 2 3 2 2 2" xfId="29326"/>
    <cellStyle name="Normal 3 14 2 3 2 3" xfId="29327"/>
    <cellStyle name="Normal 3 14 2 3 2 3 2" xfId="29328"/>
    <cellStyle name="Normal 3 14 2 3 2 4" xfId="29329"/>
    <cellStyle name="Normal 3 14 2 3 2 4 2" xfId="29330"/>
    <cellStyle name="Normal 3 14 2 3 2 5" xfId="29331"/>
    <cellStyle name="Normal 3 14 2 3 2 5 2" xfId="29332"/>
    <cellStyle name="Normal 3 14 2 3 2 6" xfId="29333"/>
    <cellStyle name="Normal 3 14 2 3 2 7" xfId="29334"/>
    <cellStyle name="Normal 3 14 2 3 2 8" xfId="29335"/>
    <cellStyle name="Normal 3 14 2 3 2 9" xfId="29336"/>
    <cellStyle name="Normal 3 14 2 3 3" xfId="29337"/>
    <cellStyle name="Normal 3 14 2 3 3 2" xfId="29338"/>
    <cellStyle name="Normal 3 14 2 3 3 2 2" xfId="29339"/>
    <cellStyle name="Normal 3 14 2 3 3 3" xfId="29340"/>
    <cellStyle name="Normal 3 14 2 3 3 4" xfId="29341"/>
    <cellStyle name="Normal 3 14 2 3 3 5" xfId="29342"/>
    <cellStyle name="Normal 3 14 2 3 4" xfId="29343"/>
    <cellStyle name="Normal 3 14 2 3 4 2" xfId="29344"/>
    <cellStyle name="Normal 3 14 2 3 5" xfId="29345"/>
    <cellStyle name="Normal 3 14 2 3 5 2" xfId="29346"/>
    <cellStyle name="Normal 3 14 2 3 6" xfId="29347"/>
    <cellStyle name="Normal 3 14 2 3 6 2" xfId="29348"/>
    <cellStyle name="Normal 3 14 2 3 7" xfId="29349"/>
    <cellStyle name="Normal 3 14 2 3 7 2" xfId="29350"/>
    <cellStyle name="Normal 3 14 2 3 8" xfId="29351"/>
    <cellStyle name="Normal 3 14 2 3 9" xfId="29352"/>
    <cellStyle name="Normal 3 14 2 4" xfId="29353"/>
    <cellStyle name="Normal 3 14 2 4 10" xfId="29354"/>
    <cellStyle name="Normal 3 14 2 4 11" xfId="29355"/>
    <cellStyle name="Normal 3 14 2 4 12" xfId="29356"/>
    <cellStyle name="Normal 3 14 2 4 13" xfId="29357"/>
    <cellStyle name="Normal 3 14 2 4 14" xfId="29358"/>
    <cellStyle name="Normal 3 14 2 4 15" xfId="29359"/>
    <cellStyle name="Normal 3 14 2 4 2" xfId="29360"/>
    <cellStyle name="Normal 3 14 2 4 2 2" xfId="29361"/>
    <cellStyle name="Normal 3 14 2 4 2 2 2" xfId="29362"/>
    <cellStyle name="Normal 3 14 2 4 2 3" xfId="29363"/>
    <cellStyle name="Normal 3 14 2 4 2 3 2" xfId="29364"/>
    <cellStyle name="Normal 3 14 2 4 2 4" xfId="29365"/>
    <cellStyle name="Normal 3 14 2 4 2 4 2" xfId="29366"/>
    <cellStyle name="Normal 3 14 2 4 2 5" xfId="29367"/>
    <cellStyle name="Normal 3 14 2 4 2 5 2" xfId="29368"/>
    <cellStyle name="Normal 3 14 2 4 2 6" xfId="29369"/>
    <cellStyle name="Normal 3 14 2 4 2 7" xfId="29370"/>
    <cellStyle name="Normal 3 14 2 4 2 8" xfId="29371"/>
    <cellStyle name="Normal 3 14 2 4 2 9" xfId="29372"/>
    <cellStyle name="Normal 3 14 2 4 3" xfId="29373"/>
    <cellStyle name="Normal 3 14 2 4 3 2" xfId="29374"/>
    <cellStyle name="Normal 3 14 2 4 3 2 2" xfId="29375"/>
    <cellStyle name="Normal 3 14 2 4 3 3" xfId="29376"/>
    <cellStyle name="Normal 3 14 2 4 3 4" xfId="29377"/>
    <cellStyle name="Normal 3 14 2 4 3 5" xfId="29378"/>
    <cellStyle name="Normal 3 14 2 4 4" xfId="29379"/>
    <cellStyle name="Normal 3 14 2 4 4 2" xfId="29380"/>
    <cellStyle name="Normal 3 14 2 4 5" xfId="29381"/>
    <cellStyle name="Normal 3 14 2 4 5 2" xfId="29382"/>
    <cellStyle name="Normal 3 14 2 4 6" xfId="29383"/>
    <cellStyle name="Normal 3 14 2 4 6 2" xfId="29384"/>
    <cellStyle name="Normal 3 14 2 4 7" xfId="29385"/>
    <cellStyle name="Normal 3 14 2 4 7 2" xfId="29386"/>
    <cellStyle name="Normal 3 14 2 4 8" xfId="29387"/>
    <cellStyle name="Normal 3 14 2 4 9" xfId="29388"/>
    <cellStyle name="Normal 3 14 2 5" xfId="29389"/>
    <cellStyle name="Normal 3 14 2 5 10" xfId="29390"/>
    <cellStyle name="Normal 3 14 2 5 11" xfId="29391"/>
    <cellStyle name="Normal 3 14 2 5 12" xfId="29392"/>
    <cellStyle name="Normal 3 14 2 5 13" xfId="29393"/>
    <cellStyle name="Normal 3 14 2 5 14" xfId="29394"/>
    <cellStyle name="Normal 3 14 2 5 2" xfId="29395"/>
    <cellStyle name="Normal 3 14 2 5 2 2" xfId="29396"/>
    <cellStyle name="Normal 3 14 2 5 2 2 2" xfId="29397"/>
    <cellStyle name="Normal 3 14 2 5 2 3" xfId="29398"/>
    <cellStyle name="Normal 3 14 2 5 2 3 2" xfId="29399"/>
    <cellStyle name="Normal 3 14 2 5 2 4" xfId="29400"/>
    <cellStyle name="Normal 3 14 2 5 2 4 2" xfId="29401"/>
    <cellStyle name="Normal 3 14 2 5 2 5" xfId="29402"/>
    <cellStyle name="Normal 3 14 2 5 2 5 2" xfId="29403"/>
    <cellStyle name="Normal 3 14 2 5 2 6" xfId="29404"/>
    <cellStyle name="Normal 3 14 2 5 2 7" xfId="29405"/>
    <cellStyle name="Normal 3 14 2 5 2 8" xfId="29406"/>
    <cellStyle name="Normal 3 14 2 5 2 9" xfId="29407"/>
    <cellStyle name="Normal 3 14 2 5 3" xfId="29408"/>
    <cellStyle name="Normal 3 14 2 5 3 2" xfId="29409"/>
    <cellStyle name="Normal 3 14 2 5 3 2 2" xfId="29410"/>
    <cellStyle name="Normal 3 14 2 5 3 3" xfId="29411"/>
    <cellStyle name="Normal 3 14 2 5 3 4" xfId="29412"/>
    <cellStyle name="Normal 3 14 2 5 3 5" xfId="29413"/>
    <cellStyle name="Normal 3 14 2 5 4" xfId="29414"/>
    <cellStyle name="Normal 3 14 2 5 4 2" xfId="29415"/>
    <cellStyle name="Normal 3 14 2 5 5" xfId="29416"/>
    <cellStyle name="Normal 3 14 2 5 5 2" xfId="29417"/>
    <cellStyle name="Normal 3 14 2 5 6" xfId="29418"/>
    <cellStyle name="Normal 3 14 2 5 6 2" xfId="29419"/>
    <cellStyle name="Normal 3 14 2 5 7" xfId="29420"/>
    <cellStyle name="Normal 3 14 2 5 7 2" xfId="29421"/>
    <cellStyle name="Normal 3 14 2 5 8" xfId="29422"/>
    <cellStyle name="Normal 3 14 2 5 9" xfId="29423"/>
    <cellStyle name="Normal 3 14 2 6" xfId="29424"/>
    <cellStyle name="Normal 3 14 2 6 2" xfId="29425"/>
    <cellStyle name="Normal 3 14 2 6 2 2" xfId="29426"/>
    <cellStyle name="Normal 3 14 2 6 3" xfId="29427"/>
    <cellStyle name="Normal 3 14 2 6 3 2" xfId="29428"/>
    <cellStyle name="Normal 3 14 2 6 4" xfId="29429"/>
    <cellStyle name="Normal 3 14 2 6 4 2" xfId="29430"/>
    <cellStyle name="Normal 3 14 2 6 5" xfId="29431"/>
    <cellStyle name="Normal 3 14 2 6 5 2" xfId="29432"/>
    <cellStyle name="Normal 3 14 2 6 6" xfId="29433"/>
    <cellStyle name="Normal 3 14 2 6 7" xfId="29434"/>
    <cellStyle name="Normal 3 14 2 6 8" xfId="29435"/>
    <cellStyle name="Normal 3 14 2 6 9" xfId="29436"/>
    <cellStyle name="Normal 3 14 2 7" xfId="29437"/>
    <cellStyle name="Normal 3 14 2 7 2" xfId="29438"/>
    <cellStyle name="Normal 3 14 2 7 2 2" xfId="29439"/>
    <cellStyle name="Normal 3 14 2 7 3" xfId="29440"/>
    <cellStyle name="Normal 3 14 2 7 4" xfId="29441"/>
    <cellStyle name="Normal 3 14 2 7 5" xfId="29442"/>
    <cellStyle name="Normal 3 14 2 8" xfId="29443"/>
    <cellStyle name="Normal 3 14 2 8 2" xfId="29444"/>
    <cellStyle name="Normal 3 14 2 9" xfId="29445"/>
    <cellStyle name="Normal 3 14 2 9 2" xfId="29446"/>
    <cellStyle name="Normal 3 14 20" xfId="29447"/>
    <cellStyle name="Normal 3 14 21" xfId="29448"/>
    <cellStyle name="Normal 3 14 22" xfId="29449"/>
    <cellStyle name="Normal 3 14 23" xfId="29450"/>
    <cellStyle name="Normal 3 14 24" xfId="29451"/>
    <cellStyle name="Normal 3 14 25" xfId="29452"/>
    <cellStyle name="Normal 3 14 3" xfId="29453"/>
    <cellStyle name="Normal 3 14 3 10" xfId="29454"/>
    <cellStyle name="Normal 3 14 3 11" xfId="29455"/>
    <cellStyle name="Normal 3 14 3 12" xfId="29456"/>
    <cellStyle name="Normal 3 14 3 13" xfId="29457"/>
    <cellStyle name="Normal 3 14 3 14" xfId="29458"/>
    <cellStyle name="Normal 3 14 3 15" xfId="29459"/>
    <cellStyle name="Normal 3 14 3 16" xfId="29460"/>
    <cellStyle name="Normal 3 14 3 17" xfId="29461"/>
    <cellStyle name="Normal 3 14 3 18" xfId="29462"/>
    <cellStyle name="Normal 3 14 3 2" xfId="29463"/>
    <cellStyle name="Normal 3 14 3 2 10" xfId="29464"/>
    <cellStyle name="Normal 3 14 3 2 11" xfId="29465"/>
    <cellStyle name="Normal 3 14 3 2 12" xfId="29466"/>
    <cellStyle name="Normal 3 14 3 2 13" xfId="29467"/>
    <cellStyle name="Normal 3 14 3 2 2" xfId="29468"/>
    <cellStyle name="Normal 3 14 3 2 2 2" xfId="29469"/>
    <cellStyle name="Normal 3 14 3 2 2 2 2" xfId="29470"/>
    <cellStyle name="Normal 3 14 3 2 2 3" xfId="29471"/>
    <cellStyle name="Normal 3 14 3 2 2 4" xfId="29472"/>
    <cellStyle name="Normal 3 14 3 2 2 5" xfId="29473"/>
    <cellStyle name="Normal 3 14 3 2 3" xfId="29474"/>
    <cellStyle name="Normal 3 14 3 2 3 2" xfId="29475"/>
    <cellStyle name="Normal 3 14 3 2 4" xfId="29476"/>
    <cellStyle name="Normal 3 14 3 2 4 2" xfId="29477"/>
    <cellStyle name="Normal 3 14 3 2 5" xfId="29478"/>
    <cellStyle name="Normal 3 14 3 2 5 2" xfId="29479"/>
    <cellStyle name="Normal 3 14 3 2 6" xfId="29480"/>
    <cellStyle name="Normal 3 14 3 2 6 2" xfId="29481"/>
    <cellStyle name="Normal 3 14 3 2 7" xfId="29482"/>
    <cellStyle name="Normal 3 14 3 2 8" xfId="29483"/>
    <cellStyle name="Normal 3 14 3 2 9" xfId="29484"/>
    <cellStyle name="Normal 3 14 3 3" xfId="29485"/>
    <cellStyle name="Normal 3 14 3 3 2" xfId="29486"/>
    <cellStyle name="Normal 3 14 3 3 2 2" xfId="29487"/>
    <cellStyle name="Normal 3 14 3 3 3" xfId="29488"/>
    <cellStyle name="Normal 3 14 3 3 4" xfId="29489"/>
    <cellStyle name="Normal 3 14 3 3 5" xfId="29490"/>
    <cellStyle name="Normal 3 14 3 4" xfId="29491"/>
    <cellStyle name="Normal 3 14 3 4 2" xfId="29492"/>
    <cellStyle name="Normal 3 14 3 5" xfId="29493"/>
    <cellStyle name="Normal 3 14 3 5 2" xfId="29494"/>
    <cellStyle name="Normal 3 14 3 6" xfId="29495"/>
    <cellStyle name="Normal 3 14 3 6 2" xfId="29496"/>
    <cellStyle name="Normal 3 14 3 7" xfId="29497"/>
    <cellStyle name="Normal 3 14 3 7 2" xfId="29498"/>
    <cellStyle name="Normal 3 14 3 8" xfId="29499"/>
    <cellStyle name="Normal 3 14 3 9" xfId="29500"/>
    <cellStyle name="Normal 3 14 4" xfId="29501"/>
    <cellStyle name="Normal 3 14 4 10" xfId="29502"/>
    <cellStyle name="Normal 3 14 4 11" xfId="29503"/>
    <cellStyle name="Normal 3 14 4 12" xfId="29504"/>
    <cellStyle name="Normal 3 14 4 13" xfId="29505"/>
    <cellStyle name="Normal 3 14 4 14" xfId="29506"/>
    <cellStyle name="Normal 3 14 4 15" xfId="29507"/>
    <cellStyle name="Normal 3 14 4 16" xfId="29508"/>
    <cellStyle name="Normal 3 14 4 17" xfId="29509"/>
    <cellStyle name="Normal 3 14 4 18" xfId="29510"/>
    <cellStyle name="Normal 3 14 4 2" xfId="29511"/>
    <cellStyle name="Normal 3 14 4 2 10" xfId="29512"/>
    <cellStyle name="Normal 3 14 4 2 11" xfId="29513"/>
    <cellStyle name="Normal 3 14 4 2 12" xfId="29514"/>
    <cellStyle name="Normal 3 14 4 2 13" xfId="29515"/>
    <cellStyle name="Normal 3 14 4 2 2" xfId="29516"/>
    <cellStyle name="Normal 3 14 4 2 2 2" xfId="29517"/>
    <cellStyle name="Normal 3 14 4 2 2 2 2" xfId="29518"/>
    <cellStyle name="Normal 3 14 4 2 2 3" xfId="29519"/>
    <cellStyle name="Normal 3 14 4 2 2 4" xfId="29520"/>
    <cellStyle name="Normal 3 14 4 2 2 5" xfId="29521"/>
    <cellStyle name="Normal 3 14 4 2 3" xfId="29522"/>
    <cellStyle name="Normal 3 14 4 2 3 2" xfId="29523"/>
    <cellStyle name="Normal 3 14 4 2 4" xfId="29524"/>
    <cellStyle name="Normal 3 14 4 2 4 2" xfId="29525"/>
    <cellStyle name="Normal 3 14 4 2 5" xfId="29526"/>
    <cellStyle name="Normal 3 14 4 2 5 2" xfId="29527"/>
    <cellStyle name="Normal 3 14 4 2 6" xfId="29528"/>
    <cellStyle name="Normal 3 14 4 2 6 2" xfId="29529"/>
    <cellStyle name="Normal 3 14 4 2 7" xfId="29530"/>
    <cellStyle name="Normal 3 14 4 2 8" xfId="29531"/>
    <cellStyle name="Normal 3 14 4 2 9" xfId="29532"/>
    <cellStyle name="Normal 3 14 4 3" xfId="29533"/>
    <cellStyle name="Normal 3 14 4 3 2" xfId="29534"/>
    <cellStyle name="Normal 3 14 4 3 2 2" xfId="29535"/>
    <cellStyle name="Normal 3 14 4 3 3" xfId="29536"/>
    <cellStyle name="Normal 3 14 4 3 4" xfId="29537"/>
    <cellStyle name="Normal 3 14 4 3 5" xfId="29538"/>
    <cellStyle name="Normal 3 14 4 4" xfId="29539"/>
    <cellStyle name="Normal 3 14 4 4 2" xfId="29540"/>
    <cellStyle name="Normal 3 14 4 5" xfId="29541"/>
    <cellStyle name="Normal 3 14 4 5 2" xfId="29542"/>
    <cellStyle name="Normal 3 14 4 6" xfId="29543"/>
    <cellStyle name="Normal 3 14 4 6 2" xfId="29544"/>
    <cellStyle name="Normal 3 14 4 7" xfId="29545"/>
    <cellStyle name="Normal 3 14 4 7 2" xfId="29546"/>
    <cellStyle name="Normal 3 14 4 8" xfId="29547"/>
    <cellStyle name="Normal 3 14 4 9" xfId="29548"/>
    <cellStyle name="Normal 3 14 5" xfId="29549"/>
    <cellStyle name="Normal 3 14 5 10" xfId="29550"/>
    <cellStyle name="Normal 3 14 5 11" xfId="29551"/>
    <cellStyle name="Normal 3 14 5 12" xfId="29552"/>
    <cellStyle name="Normal 3 14 5 13" xfId="29553"/>
    <cellStyle name="Normal 3 14 5 14" xfId="29554"/>
    <cellStyle name="Normal 3 14 5 15" xfId="29555"/>
    <cellStyle name="Normal 3 14 5 16" xfId="29556"/>
    <cellStyle name="Normal 3 14 5 17" xfId="29557"/>
    <cellStyle name="Normal 3 14 5 18" xfId="29558"/>
    <cellStyle name="Normal 3 14 5 2" xfId="29559"/>
    <cellStyle name="Normal 3 14 5 2 10" xfId="29560"/>
    <cellStyle name="Normal 3 14 5 2 11" xfId="29561"/>
    <cellStyle name="Normal 3 14 5 2 12" xfId="29562"/>
    <cellStyle name="Normal 3 14 5 2 13" xfId="29563"/>
    <cellStyle name="Normal 3 14 5 2 2" xfId="29564"/>
    <cellStyle name="Normal 3 14 5 2 2 2" xfId="29565"/>
    <cellStyle name="Normal 3 14 5 2 2 2 2" xfId="29566"/>
    <cellStyle name="Normal 3 14 5 2 2 3" xfId="29567"/>
    <cellStyle name="Normal 3 14 5 2 2 4" xfId="29568"/>
    <cellStyle name="Normal 3 14 5 2 2 5" xfId="29569"/>
    <cellStyle name="Normal 3 14 5 2 3" xfId="29570"/>
    <cellStyle name="Normal 3 14 5 2 3 2" xfId="29571"/>
    <cellStyle name="Normal 3 14 5 2 4" xfId="29572"/>
    <cellStyle name="Normal 3 14 5 2 4 2" xfId="29573"/>
    <cellStyle name="Normal 3 14 5 2 5" xfId="29574"/>
    <cellStyle name="Normal 3 14 5 2 5 2" xfId="29575"/>
    <cellStyle name="Normal 3 14 5 2 6" xfId="29576"/>
    <cellStyle name="Normal 3 14 5 2 6 2" xfId="29577"/>
    <cellStyle name="Normal 3 14 5 2 7" xfId="29578"/>
    <cellStyle name="Normal 3 14 5 2 8" xfId="29579"/>
    <cellStyle name="Normal 3 14 5 2 9" xfId="29580"/>
    <cellStyle name="Normal 3 14 5 3" xfId="29581"/>
    <cellStyle name="Normal 3 14 5 3 2" xfId="29582"/>
    <cellStyle name="Normal 3 14 5 3 2 2" xfId="29583"/>
    <cellStyle name="Normal 3 14 5 3 3" xfId="29584"/>
    <cellStyle name="Normal 3 14 5 3 4" xfId="29585"/>
    <cellStyle name="Normal 3 14 5 3 5" xfId="29586"/>
    <cellStyle name="Normal 3 14 5 4" xfId="29587"/>
    <cellStyle name="Normal 3 14 5 4 2" xfId="29588"/>
    <cellStyle name="Normal 3 14 5 5" xfId="29589"/>
    <cellStyle name="Normal 3 14 5 5 2" xfId="29590"/>
    <cellStyle name="Normal 3 14 5 6" xfId="29591"/>
    <cellStyle name="Normal 3 14 5 6 2" xfId="29592"/>
    <cellStyle name="Normal 3 14 5 7" xfId="29593"/>
    <cellStyle name="Normal 3 14 5 7 2" xfId="29594"/>
    <cellStyle name="Normal 3 14 5 8" xfId="29595"/>
    <cellStyle name="Normal 3 14 5 9" xfId="29596"/>
    <cellStyle name="Normal 3 14 6" xfId="29597"/>
    <cellStyle name="Normal 3 14 6 10" xfId="29598"/>
    <cellStyle name="Normal 3 14 6 11" xfId="29599"/>
    <cellStyle name="Normal 3 14 6 12" xfId="29600"/>
    <cellStyle name="Normal 3 14 6 13" xfId="29601"/>
    <cellStyle name="Normal 3 14 6 14" xfId="29602"/>
    <cellStyle name="Normal 3 14 6 15" xfId="29603"/>
    <cellStyle name="Normal 3 14 6 16" xfId="29604"/>
    <cellStyle name="Normal 3 14 6 17" xfId="29605"/>
    <cellStyle name="Normal 3 14 6 18" xfId="29606"/>
    <cellStyle name="Normal 3 14 6 2" xfId="29607"/>
    <cellStyle name="Normal 3 14 6 2 10" xfId="29608"/>
    <cellStyle name="Normal 3 14 6 2 11" xfId="29609"/>
    <cellStyle name="Normal 3 14 6 2 12" xfId="29610"/>
    <cellStyle name="Normal 3 14 6 2 13" xfId="29611"/>
    <cellStyle name="Normal 3 14 6 2 2" xfId="29612"/>
    <cellStyle name="Normal 3 14 6 2 2 2" xfId="29613"/>
    <cellStyle name="Normal 3 14 6 2 2 2 2" xfId="29614"/>
    <cellStyle name="Normal 3 14 6 2 2 3" xfId="29615"/>
    <cellStyle name="Normal 3 14 6 2 2 4" xfId="29616"/>
    <cellStyle name="Normal 3 14 6 2 2 5" xfId="29617"/>
    <cellStyle name="Normal 3 14 6 2 3" xfId="29618"/>
    <cellStyle name="Normal 3 14 6 2 3 2" xfId="29619"/>
    <cellStyle name="Normal 3 14 6 2 4" xfId="29620"/>
    <cellStyle name="Normal 3 14 6 2 4 2" xfId="29621"/>
    <cellStyle name="Normal 3 14 6 2 5" xfId="29622"/>
    <cellStyle name="Normal 3 14 6 2 5 2" xfId="29623"/>
    <cellStyle name="Normal 3 14 6 2 6" xfId="29624"/>
    <cellStyle name="Normal 3 14 6 2 6 2" xfId="29625"/>
    <cellStyle name="Normal 3 14 6 2 7" xfId="29626"/>
    <cellStyle name="Normal 3 14 6 2 8" xfId="29627"/>
    <cellStyle name="Normal 3 14 6 2 9" xfId="29628"/>
    <cellStyle name="Normal 3 14 6 3" xfId="29629"/>
    <cellStyle name="Normal 3 14 6 3 2" xfId="29630"/>
    <cellStyle name="Normal 3 14 6 3 2 2" xfId="29631"/>
    <cellStyle name="Normal 3 14 6 3 3" xfId="29632"/>
    <cellStyle name="Normal 3 14 6 3 4" xfId="29633"/>
    <cellStyle name="Normal 3 14 6 3 5" xfId="29634"/>
    <cellStyle name="Normal 3 14 6 4" xfId="29635"/>
    <cellStyle name="Normal 3 14 6 4 2" xfId="29636"/>
    <cellStyle name="Normal 3 14 6 5" xfId="29637"/>
    <cellStyle name="Normal 3 14 6 5 2" xfId="29638"/>
    <cellStyle name="Normal 3 14 6 6" xfId="29639"/>
    <cellStyle name="Normal 3 14 6 6 2" xfId="29640"/>
    <cellStyle name="Normal 3 14 6 7" xfId="29641"/>
    <cellStyle name="Normal 3 14 6 7 2" xfId="29642"/>
    <cellStyle name="Normal 3 14 6 8" xfId="29643"/>
    <cellStyle name="Normal 3 14 6 9" xfId="29644"/>
    <cellStyle name="Normal 3 14 7" xfId="29645"/>
    <cellStyle name="Normal 3 14 7 10" xfId="29646"/>
    <cellStyle name="Normal 3 14 7 11" xfId="29647"/>
    <cellStyle name="Normal 3 14 7 12" xfId="29648"/>
    <cellStyle name="Normal 3 14 7 13" xfId="29649"/>
    <cellStyle name="Normal 3 14 7 14" xfId="29650"/>
    <cellStyle name="Normal 3 14 7 15" xfId="29651"/>
    <cellStyle name="Normal 3 14 7 16" xfId="29652"/>
    <cellStyle name="Normal 3 14 7 17" xfId="29653"/>
    <cellStyle name="Normal 3 14 7 18" xfId="29654"/>
    <cellStyle name="Normal 3 14 7 2" xfId="29655"/>
    <cellStyle name="Normal 3 14 7 2 10" xfId="29656"/>
    <cellStyle name="Normal 3 14 7 2 11" xfId="29657"/>
    <cellStyle name="Normal 3 14 7 2 12" xfId="29658"/>
    <cellStyle name="Normal 3 14 7 2 13" xfId="29659"/>
    <cellStyle name="Normal 3 14 7 2 2" xfId="29660"/>
    <cellStyle name="Normal 3 14 7 2 2 2" xfId="29661"/>
    <cellStyle name="Normal 3 14 7 2 2 2 2" xfId="29662"/>
    <cellStyle name="Normal 3 14 7 2 2 3" xfId="29663"/>
    <cellStyle name="Normal 3 14 7 2 2 4" xfId="29664"/>
    <cellStyle name="Normal 3 14 7 2 2 5" xfId="29665"/>
    <cellStyle name="Normal 3 14 7 2 3" xfId="29666"/>
    <cellStyle name="Normal 3 14 7 2 3 2" xfId="29667"/>
    <cellStyle name="Normal 3 14 7 2 4" xfId="29668"/>
    <cellStyle name="Normal 3 14 7 2 4 2" xfId="29669"/>
    <cellStyle name="Normal 3 14 7 2 5" xfId="29670"/>
    <cellStyle name="Normal 3 14 7 2 5 2" xfId="29671"/>
    <cellStyle name="Normal 3 14 7 2 6" xfId="29672"/>
    <cellStyle name="Normal 3 14 7 2 6 2" xfId="29673"/>
    <cellStyle name="Normal 3 14 7 2 7" xfId="29674"/>
    <cellStyle name="Normal 3 14 7 2 8" xfId="29675"/>
    <cellStyle name="Normal 3 14 7 2 9" xfId="29676"/>
    <cellStyle name="Normal 3 14 7 3" xfId="29677"/>
    <cellStyle name="Normal 3 14 7 3 2" xfId="29678"/>
    <cellStyle name="Normal 3 14 7 3 2 2" xfId="29679"/>
    <cellStyle name="Normal 3 14 7 3 3" xfId="29680"/>
    <cellStyle name="Normal 3 14 7 3 4" xfId="29681"/>
    <cellStyle name="Normal 3 14 7 3 5" xfId="29682"/>
    <cellStyle name="Normal 3 14 7 4" xfId="29683"/>
    <cellStyle name="Normal 3 14 7 4 2" xfId="29684"/>
    <cellStyle name="Normal 3 14 7 5" xfId="29685"/>
    <cellStyle name="Normal 3 14 7 5 2" xfId="29686"/>
    <cellStyle name="Normal 3 14 7 6" xfId="29687"/>
    <cellStyle name="Normal 3 14 7 6 2" xfId="29688"/>
    <cellStyle name="Normal 3 14 7 7" xfId="29689"/>
    <cellStyle name="Normal 3 14 7 7 2" xfId="29690"/>
    <cellStyle name="Normal 3 14 7 8" xfId="29691"/>
    <cellStyle name="Normal 3 14 7 9" xfId="29692"/>
    <cellStyle name="Normal 3 14 8" xfId="29693"/>
    <cellStyle name="Normal 3 14 8 10" xfId="29694"/>
    <cellStyle name="Normal 3 14 8 11" xfId="29695"/>
    <cellStyle name="Normal 3 14 8 12" xfId="29696"/>
    <cellStyle name="Normal 3 14 8 13" xfId="29697"/>
    <cellStyle name="Normal 3 14 8 14" xfId="29698"/>
    <cellStyle name="Normal 3 14 8 15" xfId="29699"/>
    <cellStyle name="Normal 3 14 8 16" xfId="29700"/>
    <cellStyle name="Normal 3 14 8 2" xfId="29701"/>
    <cellStyle name="Normal 3 14 8 2 2" xfId="29702"/>
    <cellStyle name="Normal 3 14 8 2 2 2" xfId="29703"/>
    <cellStyle name="Normal 3 14 8 2 3" xfId="29704"/>
    <cellStyle name="Normal 3 14 8 2 3 2" xfId="29705"/>
    <cellStyle name="Normal 3 14 8 2 4" xfId="29706"/>
    <cellStyle name="Normal 3 14 8 2 4 2" xfId="29707"/>
    <cellStyle name="Normal 3 14 8 2 5" xfId="29708"/>
    <cellStyle name="Normal 3 14 8 2 5 2" xfId="29709"/>
    <cellStyle name="Normal 3 14 8 2 6" xfId="29710"/>
    <cellStyle name="Normal 3 14 8 2 7" xfId="29711"/>
    <cellStyle name="Normal 3 14 8 2 8" xfId="29712"/>
    <cellStyle name="Normal 3 14 8 2 9" xfId="29713"/>
    <cellStyle name="Normal 3 14 8 3" xfId="29714"/>
    <cellStyle name="Normal 3 14 8 3 2" xfId="29715"/>
    <cellStyle name="Normal 3 14 8 3 2 2" xfId="29716"/>
    <cellStyle name="Normal 3 14 8 3 3" xfId="29717"/>
    <cellStyle name="Normal 3 14 8 3 4" xfId="29718"/>
    <cellStyle name="Normal 3 14 8 3 5" xfId="29719"/>
    <cellStyle name="Normal 3 14 8 4" xfId="29720"/>
    <cellStyle name="Normal 3 14 8 4 2" xfId="29721"/>
    <cellStyle name="Normal 3 14 8 5" xfId="29722"/>
    <cellStyle name="Normal 3 14 8 5 2" xfId="29723"/>
    <cellStyle name="Normal 3 14 8 6" xfId="29724"/>
    <cellStyle name="Normal 3 14 8 6 2" xfId="29725"/>
    <cellStyle name="Normal 3 14 8 7" xfId="29726"/>
    <cellStyle name="Normal 3 14 8 7 2" xfId="29727"/>
    <cellStyle name="Normal 3 14 8 8" xfId="29728"/>
    <cellStyle name="Normal 3 14 8 9" xfId="29729"/>
    <cellStyle name="Normal 3 14 9" xfId="29730"/>
    <cellStyle name="Normal 3 14 9 10" xfId="29731"/>
    <cellStyle name="Normal 3 14 9 11" xfId="29732"/>
    <cellStyle name="Normal 3 14 9 12" xfId="29733"/>
    <cellStyle name="Normal 3 14 9 13" xfId="29734"/>
    <cellStyle name="Normal 3 14 9 14" xfId="29735"/>
    <cellStyle name="Normal 3 14 9 15" xfId="29736"/>
    <cellStyle name="Normal 3 14 9 2" xfId="29737"/>
    <cellStyle name="Normal 3 14 9 2 2" xfId="29738"/>
    <cellStyle name="Normal 3 14 9 2 2 2" xfId="29739"/>
    <cellStyle name="Normal 3 14 9 2 3" xfId="29740"/>
    <cellStyle name="Normal 3 14 9 2 3 2" xfId="29741"/>
    <cellStyle name="Normal 3 14 9 2 4" xfId="29742"/>
    <cellStyle name="Normal 3 14 9 2 4 2" xfId="29743"/>
    <cellStyle name="Normal 3 14 9 2 5" xfId="29744"/>
    <cellStyle name="Normal 3 14 9 2 5 2" xfId="29745"/>
    <cellStyle name="Normal 3 14 9 2 6" xfId="29746"/>
    <cellStyle name="Normal 3 14 9 2 7" xfId="29747"/>
    <cellStyle name="Normal 3 14 9 2 8" xfId="29748"/>
    <cellStyle name="Normal 3 14 9 2 9" xfId="29749"/>
    <cellStyle name="Normal 3 14 9 3" xfId="29750"/>
    <cellStyle name="Normal 3 14 9 3 2" xfId="29751"/>
    <cellStyle name="Normal 3 14 9 3 2 2" xfId="29752"/>
    <cellStyle name="Normal 3 14 9 3 3" xfId="29753"/>
    <cellStyle name="Normal 3 14 9 3 4" xfId="29754"/>
    <cellStyle name="Normal 3 14 9 3 5" xfId="29755"/>
    <cellStyle name="Normal 3 14 9 4" xfId="29756"/>
    <cellStyle name="Normal 3 14 9 4 2" xfId="29757"/>
    <cellStyle name="Normal 3 14 9 5" xfId="29758"/>
    <cellStyle name="Normal 3 14 9 5 2" xfId="29759"/>
    <cellStyle name="Normal 3 14 9 6" xfId="29760"/>
    <cellStyle name="Normal 3 14 9 6 2" xfId="29761"/>
    <cellStyle name="Normal 3 14 9 7" xfId="29762"/>
    <cellStyle name="Normal 3 14 9 7 2" xfId="29763"/>
    <cellStyle name="Normal 3 14 9 8" xfId="29764"/>
    <cellStyle name="Normal 3 14 9 9" xfId="29765"/>
    <cellStyle name="Normal 3 15" xfId="29766"/>
    <cellStyle name="Normal 3 15 10" xfId="29767"/>
    <cellStyle name="Normal 3 15 10 10" xfId="29768"/>
    <cellStyle name="Normal 3 15 10 11" xfId="29769"/>
    <cellStyle name="Normal 3 15 10 12" xfId="29770"/>
    <cellStyle name="Normal 3 15 10 13" xfId="29771"/>
    <cellStyle name="Normal 3 15 10 14" xfId="29772"/>
    <cellStyle name="Normal 3 15 10 2" xfId="29773"/>
    <cellStyle name="Normal 3 15 10 2 2" xfId="29774"/>
    <cellStyle name="Normal 3 15 10 2 2 2" xfId="29775"/>
    <cellStyle name="Normal 3 15 10 2 3" xfId="29776"/>
    <cellStyle name="Normal 3 15 10 2 3 2" xfId="29777"/>
    <cellStyle name="Normal 3 15 10 2 4" xfId="29778"/>
    <cellStyle name="Normal 3 15 10 2 4 2" xfId="29779"/>
    <cellStyle name="Normal 3 15 10 2 5" xfId="29780"/>
    <cellStyle name="Normal 3 15 10 2 5 2" xfId="29781"/>
    <cellStyle name="Normal 3 15 10 2 6" xfId="29782"/>
    <cellStyle name="Normal 3 15 10 2 7" xfId="29783"/>
    <cellStyle name="Normal 3 15 10 2 8" xfId="29784"/>
    <cellStyle name="Normal 3 15 10 2 9" xfId="29785"/>
    <cellStyle name="Normal 3 15 10 3" xfId="29786"/>
    <cellStyle name="Normal 3 15 10 3 2" xfId="29787"/>
    <cellStyle name="Normal 3 15 10 3 2 2" xfId="29788"/>
    <cellStyle name="Normal 3 15 10 3 3" xfId="29789"/>
    <cellStyle name="Normal 3 15 10 3 4" xfId="29790"/>
    <cellStyle name="Normal 3 15 10 3 5" xfId="29791"/>
    <cellStyle name="Normal 3 15 10 4" xfId="29792"/>
    <cellStyle name="Normal 3 15 10 4 2" xfId="29793"/>
    <cellStyle name="Normal 3 15 10 5" xfId="29794"/>
    <cellStyle name="Normal 3 15 10 5 2" xfId="29795"/>
    <cellStyle name="Normal 3 15 10 6" xfId="29796"/>
    <cellStyle name="Normal 3 15 10 6 2" xfId="29797"/>
    <cellStyle name="Normal 3 15 10 7" xfId="29798"/>
    <cellStyle name="Normal 3 15 10 7 2" xfId="29799"/>
    <cellStyle name="Normal 3 15 10 8" xfId="29800"/>
    <cellStyle name="Normal 3 15 10 9" xfId="29801"/>
    <cellStyle name="Normal 3 15 11" xfId="29802"/>
    <cellStyle name="Normal 3 15 11 2" xfId="29803"/>
    <cellStyle name="Normal 3 15 11 2 2" xfId="29804"/>
    <cellStyle name="Normal 3 15 11 3" xfId="29805"/>
    <cellStyle name="Normal 3 15 11 3 2" xfId="29806"/>
    <cellStyle name="Normal 3 15 11 4" xfId="29807"/>
    <cellStyle name="Normal 3 15 11 4 2" xfId="29808"/>
    <cellStyle name="Normal 3 15 11 5" xfId="29809"/>
    <cellStyle name="Normal 3 15 11 5 2" xfId="29810"/>
    <cellStyle name="Normal 3 15 11 6" xfId="29811"/>
    <cellStyle name="Normal 3 15 11 7" xfId="29812"/>
    <cellStyle name="Normal 3 15 11 8" xfId="29813"/>
    <cellStyle name="Normal 3 15 11 9" xfId="29814"/>
    <cellStyle name="Normal 3 15 12" xfId="29815"/>
    <cellStyle name="Normal 3 15 12 2" xfId="29816"/>
    <cellStyle name="Normal 3 15 12 2 2" xfId="29817"/>
    <cellStyle name="Normal 3 15 12 3" xfId="29818"/>
    <cellStyle name="Normal 3 15 12 4" xfId="29819"/>
    <cellStyle name="Normal 3 15 12 5" xfId="29820"/>
    <cellStyle name="Normal 3 15 13" xfId="29821"/>
    <cellStyle name="Normal 3 15 13 2" xfId="29822"/>
    <cellStyle name="Normal 3 15 14" xfId="29823"/>
    <cellStyle name="Normal 3 15 14 2" xfId="29824"/>
    <cellStyle name="Normal 3 15 15" xfId="29825"/>
    <cellStyle name="Normal 3 15 15 2" xfId="29826"/>
    <cellStyle name="Normal 3 15 16" xfId="29827"/>
    <cellStyle name="Normal 3 15 16 2" xfId="29828"/>
    <cellStyle name="Normal 3 15 17" xfId="29829"/>
    <cellStyle name="Normal 3 15 18" xfId="29830"/>
    <cellStyle name="Normal 3 15 19" xfId="29831"/>
    <cellStyle name="Normal 3 15 2" xfId="29832"/>
    <cellStyle name="Normal 3 15 2 10" xfId="29833"/>
    <cellStyle name="Normal 3 15 2 10 2" xfId="29834"/>
    <cellStyle name="Normal 3 15 2 11" xfId="29835"/>
    <cellStyle name="Normal 3 15 2 11 2" xfId="29836"/>
    <cellStyle name="Normal 3 15 2 12" xfId="29837"/>
    <cellStyle name="Normal 3 15 2 13" xfId="29838"/>
    <cellStyle name="Normal 3 15 2 14" xfId="29839"/>
    <cellStyle name="Normal 3 15 2 15" xfId="29840"/>
    <cellStyle name="Normal 3 15 2 16" xfId="29841"/>
    <cellStyle name="Normal 3 15 2 17" xfId="29842"/>
    <cellStyle name="Normal 3 15 2 18" xfId="29843"/>
    <cellStyle name="Normal 3 15 2 19" xfId="29844"/>
    <cellStyle name="Normal 3 15 2 2" xfId="29845"/>
    <cellStyle name="Normal 3 15 2 2 10" xfId="29846"/>
    <cellStyle name="Normal 3 15 2 2 11" xfId="29847"/>
    <cellStyle name="Normal 3 15 2 2 12" xfId="29848"/>
    <cellStyle name="Normal 3 15 2 2 13" xfId="29849"/>
    <cellStyle name="Normal 3 15 2 2 14" xfId="29850"/>
    <cellStyle name="Normal 3 15 2 2 15" xfId="29851"/>
    <cellStyle name="Normal 3 15 2 2 16" xfId="29852"/>
    <cellStyle name="Normal 3 15 2 2 2" xfId="29853"/>
    <cellStyle name="Normal 3 15 2 2 2 2" xfId="29854"/>
    <cellStyle name="Normal 3 15 2 2 2 2 2" xfId="29855"/>
    <cellStyle name="Normal 3 15 2 2 2 3" xfId="29856"/>
    <cellStyle name="Normal 3 15 2 2 2 3 2" xfId="29857"/>
    <cellStyle name="Normal 3 15 2 2 2 4" xfId="29858"/>
    <cellStyle name="Normal 3 15 2 2 2 4 2" xfId="29859"/>
    <cellStyle name="Normal 3 15 2 2 2 5" xfId="29860"/>
    <cellStyle name="Normal 3 15 2 2 2 5 2" xfId="29861"/>
    <cellStyle name="Normal 3 15 2 2 2 6" xfId="29862"/>
    <cellStyle name="Normal 3 15 2 2 2 7" xfId="29863"/>
    <cellStyle name="Normal 3 15 2 2 2 8" xfId="29864"/>
    <cellStyle name="Normal 3 15 2 2 2 9" xfId="29865"/>
    <cellStyle name="Normal 3 15 2 2 3" xfId="29866"/>
    <cellStyle name="Normal 3 15 2 2 3 2" xfId="29867"/>
    <cellStyle name="Normal 3 15 2 2 3 2 2" xfId="29868"/>
    <cellStyle name="Normal 3 15 2 2 3 3" xfId="29869"/>
    <cellStyle name="Normal 3 15 2 2 3 4" xfId="29870"/>
    <cellStyle name="Normal 3 15 2 2 3 5" xfId="29871"/>
    <cellStyle name="Normal 3 15 2 2 4" xfId="29872"/>
    <cellStyle name="Normal 3 15 2 2 4 2" xfId="29873"/>
    <cellStyle name="Normal 3 15 2 2 5" xfId="29874"/>
    <cellStyle name="Normal 3 15 2 2 5 2" xfId="29875"/>
    <cellStyle name="Normal 3 15 2 2 6" xfId="29876"/>
    <cellStyle name="Normal 3 15 2 2 6 2" xfId="29877"/>
    <cellStyle name="Normal 3 15 2 2 7" xfId="29878"/>
    <cellStyle name="Normal 3 15 2 2 7 2" xfId="29879"/>
    <cellStyle name="Normal 3 15 2 2 8" xfId="29880"/>
    <cellStyle name="Normal 3 15 2 2 9" xfId="29881"/>
    <cellStyle name="Normal 3 15 2 20" xfId="29882"/>
    <cellStyle name="Normal 3 15 2 3" xfId="29883"/>
    <cellStyle name="Normal 3 15 2 3 10" xfId="29884"/>
    <cellStyle name="Normal 3 15 2 3 11" xfId="29885"/>
    <cellStyle name="Normal 3 15 2 3 12" xfId="29886"/>
    <cellStyle name="Normal 3 15 2 3 13" xfId="29887"/>
    <cellStyle name="Normal 3 15 2 3 14" xfId="29888"/>
    <cellStyle name="Normal 3 15 2 3 15" xfId="29889"/>
    <cellStyle name="Normal 3 15 2 3 16" xfId="29890"/>
    <cellStyle name="Normal 3 15 2 3 2" xfId="29891"/>
    <cellStyle name="Normal 3 15 2 3 2 2" xfId="29892"/>
    <cellStyle name="Normal 3 15 2 3 2 2 2" xfId="29893"/>
    <cellStyle name="Normal 3 15 2 3 2 3" xfId="29894"/>
    <cellStyle name="Normal 3 15 2 3 2 3 2" xfId="29895"/>
    <cellStyle name="Normal 3 15 2 3 2 4" xfId="29896"/>
    <cellStyle name="Normal 3 15 2 3 2 4 2" xfId="29897"/>
    <cellStyle name="Normal 3 15 2 3 2 5" xfId="29898"/>
    <cellStyle name="Normal 3 15 2 3 2 5 2" xfId="29899"/>
    <cellStyle name="Normal 3 15 2 3 2 6" xfId="29900"/>
    <cellStyle name="Normal 3 15 2 3 2 7" xfId="29901"/>
    <cellStyle name="Normal 3 15 2 3 2 8" xfId="29902"/>
    <cellStyle name="Normal 3 15 2 3 2 9" xfId="29903"/>
    <cellStyle name="Normal 3 15 2 3 3" xfId="29904"/>
    <cellStyle name="Normal 3 15 2 3 3 2" xfId="29905"/>
    <cellStyle name="Normal 3 15 2 3 3 2 2" xfId="29906"/>
    <cellStyle name="Normal 3 15 2 3 3 3" xfId="29907"/>
    <cellStyle name="Normal 3 15 2 3 3 4" xfId="29908"/>
    <cellStyle name="Normal 3 15 2 3 3 5" xfId="29909"/>
    <cellStyle name="Normal 3 15 2 3 4" xfId="29910"/>
    <cellStyle name="Normal 3 15 2 3 4 2" xfId="29911"/>
    <cellStyle name="Normal 3 15 2 3 5" xfId="29912"/>
    <cellStyle name="Normal 3 15 2 3 5 2" xfId="29913"/>
    <cellStyle name="Normal 3 15 2 3 6" xfId="29914"/>
    <cellStyle name="Normal 3 15 2 3 6 2" xfId="29915"/>
    <cellStyle name="Normal 3 15 2 3 7" xfId="29916"/>
    <cellStyle name="Normal 3 15 2 3 7 2" xfId="29917"/>
    <cellStyle name="Normal 3 15 2 3 8" xfId="29918"/>
    <cellStyle name="Normal 3 15 2 3 9" xfId="29919"/>
    <cellStyle name="Normal 3 15 2 4" xfId="29920"/>
    <cellStyle name="Normal 3 15 2 4 10" xfId="29921"/>
    <cellStyle name="Normal 3 15 2 4 11" xfId="29922"/>
    <cellStyle name="Normal 3 15 2 4 12" xfId="29923"/>
    <cellStyle name="Normal 3 15 2 4 13" xfId="29924"/>
    <cellStyle name="Normal 3 15 2 4 14" xfId="29925"/>
    <cellStyle name="Normal 3 15 2 4 15" xfId="29926"/>
    <cellStyle name="Normal 3 15 2 4 2" xfId="29927"/>
    <cellStyle name="Normal 3 15 2 4 2 2" xfId="29928"/>
    <cellStyle name="Normal 3 15 2 4 2 2 2" xfId="29929"/>
    <cellStyle name="Normal 3 15 2 4 2 3" xfId="29930"/>
    <cellStyle name="Normal 3 15 2 4 2 3 2" xfId="29931"/>
    <cellStyle name="Normal 3 15 2 4 2 4" xfId="29932"/>
    <cellStyle name="Normal 3 15 2 4 2 4 2" xfId="29933"/>
    <cellStyle name="Normal 3 15 2 4 2 5" xfId="29934"/>
    <cellStyle name="Normal 3 15 2 4 2 5 2" xfId="29935"/>
    <cellStyle name="Normal 3 15 2 4 2 6" xfId="29936"/>
    <cellStyle name="Normal 3 15 2 4 2 7" xfId="29937"/>
    <cellStyle name="Normal 3 15 2 4 2 8" xfId="29938"/>
    <cellStyle name="Normal 3 15 2 4 2 9" xfId="29939"/>
    <cellStyle name="Normal 3 15 2 4 3" xfId="29940"/>
    <cellStyle name="Normal 3 15 2 4 3 2" xfId="29941"/>
    <cellStyle name="Normal 3 15 2 4 3 2 2" xfId="29942"/>
    <cellStyle name="Normal 3 15 2 4 3 3" xfId="29943"/>
    <cellStyle name="Normal 3 15 2 4 3 4" xfId="29944"/>
    <cellStyle name="Normal 3 15 2 4 3 5" xfId="29945"/>
    <cellStyle name="Normal 3 15 2 4 4" xfId="29946"/>
    <cellStyle name="Normal 3 15 2 4 4 2" xfId="29947"/>
    <cellStyle name="Normal 3 15 2 4 5" xfId="29948"/>
    <cellStyle name="Normal 3 15 2 4 5 2" xfId="29949"/>
    <cellStyle name="Normal 3 15 2 4 6" xfId="29950"/>
    <cellStyle name="Normal 3 15 2 4 6 2" xfId="29951"/>
    <cellStyle name="Normal 3 15 2 4 7" xfId="29952"/>
    <cellStyle name="Normal 3 15 2 4 7 2" xfId="29953"/>
    <cellStyle name="Normal 3 15 2 4 8" xfId="29954"/>
    <cellStyle name="Normal 3 15 2 4 9" xfId="29955"/>
    <cellStyle name="Normal 3 15 2 5" xfId="29956"/>
    <cellStyle name="Normal 3 15 2 5 10" xfId="29957"/>
    <cellStyle name="Normal 3 15 2 5 11" xfId="29958"/>
    <cellStyle name="Normal 3 15 2 5 12" xfId="29959"/>
    <cellStyle name="Normal 3 15 2 5 13" xfId="29960"/>
    <cellStyle name="Normal 3 15 2 5 14" xfId="29961"/>
    <cellStyle name="Normal 3 15 2 5 2" xfId="29962"/>
    <cellStyle name="Normal 3 15 2 5 2 2" xfId="29963"/>
    <cellStyle name="Normal 3 15 2 5 2 2 2" xfId="29964"/>
    <cellStyle name="Normal 3 15 2 5 2 3" xfId="29965"/>
    <cellStyle name="Normal 3 15 2 5 2 3 2" xfId="29966"/>
    <cellStyle name="Normal 3 15 2 5 2 4" xfId="29967"/>
    <cellStyle name="Normal 3 15 2 5 2 4 2" xfId="29968"/>
    <cellStyle name="Normal 3 15 2 5 2 5" xfId="29969"/>
    <cellStyle name="Normal 3 15 2 5 2 5 2" xfId="29970"/>
    <cellStyle name="Normal 3 15 2 5 2 6" xfId="29971"/>
    <cellStyle name="Normal 3 15 2 5 2 7" xfId="29972"/>
    <cellStyle name="Normal 3 15 2 5 2 8" xfId="29973"/>
    <cellStyle name="Normal 3 15 2 5 2 9" xfId="29974"/>
    <cellStyle name="Normal 3 15 2 5 3" xfId="29975"/>
    <cellStyle name="Normal 3 15 2 5 3 2" xfId="29976"/>
    <cellStyle name="Normal 3 15 2 5 3 2 2" xfId="29977"/>
    <cellStyle name="Normal 3 15 2 5 3 3" xfId="29978"/>
    <cellStyle name="Normal 3 15 2 5 3 4" xfId="29979"/>
    <cellStyle name="Normal 3 15 2 5 3 5" xfId="29980"/>
    <cellStyle name="Normal 3 15 2 5 4" xfId="29981"/>
    <cellStyle name="Normal 3 15 2 5 4 2" xfId="29982"/>
    <cellStyle name="Normal 3 15 2 5 5" xfId="29983"/>
    <cellStyle name="Normal 3 15 2 5 5 2" xfId="29984"/>
    <cellStyle name="Normal 3 15 2 5 6" xfId="29985"/>
    <cellStyle name="Normal 3 15 2 5 6 2" xfId="29986"/>
    <cellStyle name="Normal 3 15 2 5 7" xfId="29987"/>
    <cellStyle name="Normal 3 15 2 5 7 2" xfId="29988"/>
    <cellStyle name="Normal 3 15 2 5 8" xfId="29989"/>
    <cellStyle name="Normal 3 15 2 5 9" xfId="29990"/>
    <cellStyle name="Normal 3 15 2 6" xfId="29991"/>
    <cellStyle name="Normal 3 15 2 6 2" xfId="29992"/>
    <cellStyle name="Normal 3 15 2 6 2 2" xfId="29993"/>
    <cellStyle name="Normal 3 15 2 6 3" xfId="29994"/>
    <cellStyle name="Normal 3 15 2 6 3 2" xfId="29995"/>
    <cellStyle name="Normal 3 15 2 6 4" xfId="29996"/>
    <cellStyle name="Normal 3 15 2 6 4 2" xfId="29997"/>
    <cellStyle name="Normal 3 15 2 6 5" xfId="29998"/>
    <cellStyle name="Normal 3 15 2 6 5 2" xfId="29999"/>
    <cellStyle name="Normal 3 15 2 6 6" xfId="30000"/>
    <cellStyle name="Normal 3 15 2 6 7" xfId="30001"/>
    <cellStyle name="Normal 3 15 2 6 8" xfId="30002"/>
    <cellStyle name="Normal 3 15 2 6 9" xfId="30003"/>
    <cellStyle name="Normal 3 15 2 7" xfId="30004"/>
    <cellStyle name="Normal 3 15 2 7 2" xfId="30005"/>
    <cellStyle name="Normal 3 15 2 7 2 2" xfId="30006"/>
    <cellStyle name="Normal 3 15 2 7 3" xfId="30007"/>
    <cellStyle name="Normal 3 15 2 7 4" xfId="30008"/>
    <cellStyle name="Normal 3 15 2 7 5" xfId="30009"/>
    <cellStyle name="Normal 3 15 2 8" xfId="30010"/>
    <cellStyle name="Normal 3 15 2 8 2" xfId="30011"/>
    <cellStyle name="Normal 3 15 2 9" xfId="30012"/>
    <cellStyle name="Normal 3 15 2 9 2" xfId="30013"/>
    <cellStyle name="Normal 3 15 20" xfId="30014"/>
    <cellStyle name="Normal 3 15 21" xfId="30015"/>
    <cellStyle name="Normal 3 15 22" xfId="30016"/>
    <cellStyle name="Normal 3 15 23" xfId="30017"/>
    <cellStyle name="Normal 3 15 24" xfId="30018"/>
    <cellStyle name="Normal 3 15 25" xfId="30019"/>
    <cellStyle name="Normal 3 15 3" xfId="30020"/>
    <cellStyle name="Normal 3 15 3 10" xfId="30021"/>
    <cellStyle name="Normal 3 15 3 11" xfId="30022"/>
    <cellStyle name="Normal 3 15 3 12" xfId="30023"/>
    <cellStyle name="Normal 3 15 3 13" xfId="30024"/>
    <cellStyle name="Normal 3 15 3 14" xfId="30025"/>
    <cellStyle name="Normal 3 15 3 15" xfId="30026"/>
    <cellStyle name="Normal 3 15 3 16" xfId="30027"/>
    <cellStyle name="Normal 3 15 3 17" xfId="30028"/>
    <cellStyle name="Normal 3 15 3 18" xfId="30029"/>
    <cellStyle name="Normal 3 15 3 2" xfId="30030"/>
    <cellStyle name="Normal 3 15 3 2 10" xfId="30031"/>
    <cellStyle name="Normal 3 15 3 2 11" xfId="30032"/>
    <cellStyle name="Normal 3 15 3 2 12" xfId="30033"/>
    <cellStyle name="Normal 3 15 3 2 13" xfId="30034"/>
    <cellStyle name="Normal 3 15 3 2 2" xfId="30035"/>
    <cellStyle name="Normal 3 15 3 2 2 2" xfId="30036"/>
    <cellStyle name="Normal 3 15 3 2 2 2 2" xfId="30037"/>
    <cellStyle name="Normal 3 15 3 2 2 3" xfId="30038"/>
    <cellStyle name="Normal 3 15 3 2 2 4" xfId="30039"/>
    <cellStyle name="Normal 3 15 3 2 2 5" xfId="30040"/>
    <cellStyle name="Normal 3 15 3 2 3" xfId="30041"/>
    <cellStyle name="Normal 3 15 3 2 3 2" xfId="30042"/>
    <cellStyle name="Normal 3 15 3 2 4" xfId="30043"/>
    <cellStyle name="Normal 3 15 3 2 4 2" xfId="30044"/>
    <cellStyle name="Normal 3 15 3 2 5" xfId="30045"/>
    <cellStyle name="Normal 3 15 3 2 5 2" xfId="30046"/>
    <cellStyle name="Normal 3 15 3 2 6" xfId="30047"/>
    <cellStyle name="Normal 3 15 3 2 6 2" xfId="30048"/>
    <cellStyle name="Normal 3 15 3 2 7" xfId="30049"/>
    <cellStyle name="Normal 3 15 3 2 8" xfId="30050"/>
    <cellStyle name="Normal 3 15 3 2 9" xfId="30051"/>
    <cellStyle name="Normal 3 15 3 3" xfId="30052"/>
    <cellStyle name="Normal 3 15 3 3 2" xfId="30053"/>
    <cellStyle name="Normal 3 15 3 3 2 2" xfId="30054"/>
    <cellStyle name="Normal 3 15 3 3 3" xfId="30055"/>
    <cellStyle name="Normal 3 15 3 3 4" xfId="30056"/>
    <cellStyle name="Normal 3 15 3 3 5" xfId="30057"/>
    <cellStyle name="Normal 3 15 3 4" xfId="30058"/>
    <cellStyle name="Normal 3 15 3 4 2" xfId="30059"/>
    <cellStyle name="Normal 3 15 3 5" xfId="30060"/>
    <cellStyle name="Normal 3 15 3 5 2" xfId="30061"/>
    <cellStyle name="Normal 3 15 3 6" xfId="30062"/>
    <cellStyle name="Normal 3 15 3 6 2" xfId="30063"/>
    <cellStyle name="Normal 3 15 3 7" xfId="30064"/>
    <cellStyle name="Normal 3 15 3 7 2" xfId="30065"/>
    <cellStyle name="Normal 3 15 3 8" xfId="30066"/>
    <cellStyle name="Normal 3 15 3 9" xfId="30067"/>
    <cellStyle name="Normal 3 15 4" xfId="30068"/>
    <cellStyle name="Normal 3 15 4 10" xfId="30069"/>
    <cellStyle name="Normal 3 15 4 11" xfId="30070"/>
    <cellStyle name="Normal 3 15 4 12" xfId="30071"/>
    <cellStyle name="Normal 3 15 4 13" xfId="30072"/>
    <cellStyle name="Normal 3 15 4 14" xfId="30073"/>
    <cellStyle name="Normal 3 15 4 15" xfId="30074"/>
    <cellStyle name="Normal 3 15 4 16" xfId="30075"/>
    <cellStyle name="Normal 3 15 4 17" xfId="30076"/>
    <cellStyle name="Normal 3 15 4 18" xfId="30077"/>
    <cellStyle name="Normal 3 15 4 2" xfId="30078"/>
    <cellStyle name="Normal 3 15 4 2 10" xfId="30079"/>
    <cellStyle name="Normal 3 15 4 2 11" xfId="30080"/>
    <cellStyle name="Normal 3 15 4 2 12" xfId="30081"/>
    <cellStyle name="Normal 3 15 4 2 13" xfId="30082"/>
    <cellStyle name="Normal 3 15 4 2 2" xfId="30083"/>
    <cellStyle name="Normal 3 15 4 2 2 2" xfId="30084"/>
    <cellStyle name="Normal 3 15 4 2 2 2 2" xfId="30085"/>
    <cellStyle name="Normal 3 15 4 2 2 3" xfId="30086"/>
    <cellStyle name="Normal 3 15 4 2 2 4" xfId="30087"/>
    <cellStyle name="Normal 3 15 4 2 2 5" xfId="30088"/>
    <cellStyle name="Normal 3 15 4 2 3" xfId="30089"/>
    <cellStyle name="Normal 3 15 4 2 3 2" xfId="30090"/>
    <cellStyle name="Normal 3 15 4 2 4" xfId="30091"/>
    <cellStyle name="Normal 3 15 4 2 4 2" xfId="30092"/>
    <cellStyle name="Normal 3 15 4 2 5" xfId="30093"/>
    <cellStyle name="Normal 3 15 4 2 5 2" xfId="30094"/>
    <cellStyle name="Normal 3 15 4 2 6" xfId="30095"/>
    <cellStyle name="Normal 3 15 4 2 6 2" xfId="30096"/>
    <cellStyle name="Normal 3 15 4 2 7" xfId="30097"/>
    <cellStyle name="Normal 3 15 4 2 8" xfId="30098"/>
    <cellStyle name="Normal 3 15 4 2 9" xfId="30099"/>
    <cellStyle name="Normal 3 15 4 3" xfId="30100"/>
    <cellStyle name="Normal 3 15 4 3 2" xfId="30101"/>
    <cellStyle name="Normal 3 15 4 3 2 2" xfId="30102"/>
    <cellStyle name="Normal 3 15 4 3 3" xfId="30103"/>
    <cellStyle name="Normal 3 15 4 3 4" xfId="30104"/>
    <cellStyle name="Normal 3 15 4 3 5" xfId="30105"/>
    <cellStyle name="Normal 3 15 4 4" xfId="30106"/>
    <cellStyle name="Normal 3 15 4 4 2" xfId="30107"/>
    <cellStyle name="Normal 3 15 4 5" xfId="30108"/>
    <cellStyle name="Normal 3 15 4 5 2" xfId="30109"/>
    <cellStyle name="Normal 3 15 4 6" xfId="30110"/>
    <cellStyle name="Normal 3 15 4 6 2" xfId="30111"/>
    <cellStyle name="Normal 3 15 4 7" xfId="30112"/>
    <cellStyle name="Normal 3 15 4 7 2" xfId="30113"/>
    <cellStyle name="Normal 3 15 4 8" xfId="30114"/>
    <cellStyle name="Normal 3 15 4 9" xfId="30115"/>
    <cellStyle name="Normal 3 15 5" xfId="30116"/>
    <cellStyle name="Normal 3 15 5 10" xfId="30117"/>
    <cellStyle name="Normal 3 15 5 11" xfId="30118"/>
    <cellStyle name="Normal 3 15 5 12" xfId="30119"/>
    <cellStyle name="Normal 3 15 5 13" xfId="30120"/>
    <cellStyle name="Normal 3 15 5 14" xfId="30121"/>
    <cellStyle name="Normal 3 15 5 15" xfId="30122"/>
    <cellStyle name="Normal 3 15 5 16" xfId="30123"/>
    <cellStyle name="Normal 3 15 5 17" xfId="30124"/>
    <cellStyle name="Normal 3 15 5 18" xfId="30125"/>
    <cellStyle name="Normal 3 15 5 2" xfId="30126"/>
    <cellStyle name="Normal 3 15 5 2 10" xfId="30127"/>
    <cellStyle name="Normal 3 15 5 2 11" xfId="30128"/>
    <cellStyle name="Normal 3 15 5 2 12" xfId="30129"/>
    <cellStyle name="Normal 3 15 5 2 13" xfId="30130"/>
    <cellStyle name="Normal 3 15 5 2 2" xfId="30131"/>
    <cellStyle name="Normal 3 15 5 2 2 2" xfId="30132"/>
    <cellStyle name="Normal 3 15 5 2 2 2 2" xfId="30133"/>
    <cellStyle name="Normal 3 15 5 2 2 3" xfId="30134"/>
    <cellStyle name="Normal 3 15 5 2 2 4" xfId="30135"/>
    <cellStyle name="Normal 3 15 5 2 2 5" xfId="30136"/>
    <cellStyle name="Normal 3 15 5 2 3" xfId="30137"/>
    <cellStyle name="Normal 3 15 5 2 3 2" xfId="30138"/>
    <cellStyle name="Normal 3 15 5 2 4" xfId="30139"/>
    <cellStyle name="Normal 3 15 5 2 4 2" xfId="30140"/>
    <cellStyle name="Normal 3 15 5 2 5" xfId="30141"/>
    <cellStyle name="Normal 3 15 5 2 5 2" xfId="30142"/>
    <cellStyle name="Normal 3 15 5 2 6" xfId="30143"/>
    <cellStyle name="Normal 3 15 5 2 6 2" xfId="30144"/>
    <cellStyle name="Normal 3 15 5 2 7" xfId="30145"/>
    <cellStyle name="Normal 3 15 5 2 8" xfId="30146"/>
    <cellStyle name="Normal 3 15 5 2 9" xfId="30147"/>
    <cellStyle name="Normal 3 15 5 3" xfId="30148"/>
    <cellStyle name="Normal 3 15 5 3 2" xfId="30149"/>
    <cellStyle name="Normal 3 15 5 3 2 2" xfId="30150"/>
    <cellStyle name="Normal 3 15 5 3 3" xfId="30151"/>
    <cellStyle name="Normal 3 15 5 3 4" xfId="30152"/>
    <cellStyle name="Normal 3 15 5 3 5" xfId="30153"/>
    <cellStyle name="Normal 3 15 5 4" xfId="30154"/>
    <cellStyle name="Normal 3 15 5 4 2" xfId="30155"/>
    <cellStyle name="Normal 3 15 5 5" xfId="30156"/>
    <cellStyle name="Normal 3 15 5 5 2" xfId="30157"/>
    <cellStyle name="Normal 3 15 5 6" xfId="30158"/>
    <cellStyle name="Normal 3 15 5 6 2" xfId="30159"/>
    <cellStyle name="Normal 3 15 5 7" xfId="30160"/>
    <cellStyle name="Normal 3 15 5 7 2" xfId="30161"/>
    <cellStyle name="Normal 3 15 5 8" xfId="30162"/>
    <cellStyle name="Normal 3 15 5 9" xfId="30163"/>
    <cellStyle name="Normal 3 15 6" xfId="30164"/>
    <cellStyle name="Normal 3 15 6 10" xfId="30165"/>
    <cellStyle name="Normal 3 15 6 11" xfId="30166"/>
    <cellStyle name="Normal 3 15 6 12" xfId="30167"/>
    <cellStyle name="Normal 3 15 6 13" xfId="30168"/>
    <cellStyle name="Normal 3 15 6 14" xfId="30169"/>
    <cellStyle name="Normal 3 15 6 15" xfId="30170"/>
    <cellStyle name="Normal 3 15 6 16" xfId="30171"/>
    <cellStyle name="Normal 3 15 6 17" xfId="30172"/>
    <cellStyle name="Normal 3 15 6 18" xfId="30173"/>
    <cellStyle name="Normal 3 15 6 2" xfId="30174"/>
    <cellStyle name="Normal 3 15 6 2 10" xfId="30175"/>
    <cellStyle name="Normal 3 15 6 2 11" xfId="30176"/>
    <cellStyle name="Normal 3 15 6 2 12" xfId="30177"/>
    <cellStyle name="Normal 3 15 6 2 13" xfId="30178"/>
    <cellStyle name="Normal 3 15 6 2 2" xfId="30179"/>
    <cellStyle name="Normal 3 15 6 2 2 2" xfId="30180"/>
    <cellStyle name="Normal 3 15 6 2 2 2 2" xfId="30181"/>
    <cellStyle name="Normal 3 15 6 2 2 3" xfId="30182"/>
    <cellStyle name="Normal 3 15 6 2 2 4" xfId="30183"/>
    <cellStyle name="Normal 3 15 6 2 2 5" xfId="30184"/>
    <cellStyle name="Normal 3 15 6 2 3" xfId="30185"/>
    <cellStyle name="Normal 3 15 6 2 3 2" xfId="30186"/>
    <cellStyle name="Normal 3 15 6 2 4" xfId="30187"/>
    <cellStyle name="Normal 3 15 6 2 4 2" xfId="30188"/>
    <cellStyle name="Normal 3 15 6 2 5" xfId="30189"/>
    <cellStyle name="Normal 3 15 6 2 5 2" xfId="30190"/>
    <cellStyle name="Normal 3 15 6 2 6" xfId="30191"/>
    <cellStyle name="Normal 3 15 6 2 6 2" xfId="30192"/>
    <cellStyle name="Normal 3 15 6 2 7" xfId="30193"/>
    <cellStyle name="Normal 3 15 6 2 8" xfId="30194"/>
    <cellStyle name="Normal 3 15 6 2 9" xfId="30195"/>
    <cellStyle name="Normal 3 15 6 3" xfId="30196"/>
    <cellStyle name="Normal 3 15 6 3 2" xfId="30197"/>
    <cellStyle name="Normal 3 15 6 3 2 2" xfId="30198"/>
    <cellStyle name="Normal 3 15 6 3 3" xfId="30199"/>
    <cellStyle name="Normal 3 15 6 3 4" xfId="30200"/>
    <cellStyle name="Normal 3 15 6 3 5" xfId="30201"/>
    <cellStyle name="Normal 3 15 6 4" xfId="30202"/>
    <cellStyle name="Normal 3 15 6 4 2" xfId="30203"/>
    <cellStyle name="Normal 3 15 6 5" xfId="30204"/>
    <cellStyle name="Normal 3 15 6 5 2" xfId="30205"/>
    <cellStyle name="Normal 3 15 6 6" xfId="30206"/>
    <cellStyle name="Normal 3 15 6 6 2" xfId="30207"/>
    <cellStyle name="Normal 3 15 6 7" xfId="30208"/>
    <cellStyle name="Normal 3 15 6 7 2" xfId="30209"/>
    <cellStyle name="Normal 3 15 6 8" xfId="30210"/>
    <cellStyle name="Normal 3 15 6 9" xfId="30211"/>
    <cellStyle name="Normal 3 15 7" xfId="30212"/>
    <cellStyle name="Normal 3 15 7 10" xfId="30213"/>
    <cellStyle name="Normal 3 15 7 11" xfId="30214"/>
    <cellStyle name="Normal 3 15 7 12" xfId="30215"/>
    <cellStyle name="Normal 3 15 7 13" xfId="30216"/>
    <cellStyle name="Normal 3 15 7 14" xfId="30217"/>
    <cellStyle name="Normal 3 15 7 15" xfId="30218"/>
    <cellStyle name="Normal 3 15 7 16" xfId="30219"/>
    <cellStyle name="Normal 3 15 7 17" xfId="30220"/>
    <cellStyle name="Normal 3 15 7 18" xfId="30221"/>
    <cellStyle name="Normal 3 15 7 2" xfId="30222"/>
    <cellStyle name="Normal 3 15 7 2 10" xfId="30223"/>
    <cellStyle name="Normal 3 15 7 2 11" xfId="30224"/>
    <cellStyle name="Normal 3 15 7 2 12" xfId="30225"/>
    <cellStyle name="Normal 3 15 7 2 13" xfId="30226"/>
    <cellStyle name="Normal 3 15 7 2 2" xfId="30227"/>
    <cellStyle name="Normal 3 15 7 2 2 2" xfId="30228"/>
    <cellStyle name="Normal 3 15 7 2 2 2 2" xfId="30229"/>
    <cellStyle name="Normal 3 15 7 2 2 3" xfId="30230"/>
    <cellStyle name="Normal 3 15 7 2 2 4" xfId="30231"/>
    <cellStyle name="Normal 3 15 7 2 2 5" xfId="30232"/>
    <cellStyle name="Normal 3 15 7 2 3" xfId="30233"/>
    <cellStyle name="Normal 3 15 7 2 3 2" xfId="30234"/>
    <cellStyle name="Normal 3 15 7 2 4" xfId="30235"/>
    <cellStyle name="Normal 3 15 7 2 4 2" xfId="30236"/>
    <cellStyle name="Normal 3 15 7 2 5" xfId="30237"/>
    <cellStyle name="Normal 3 15 7 2 5 2" xfId="30238"/>
    <cellStyle name="Normal 3 15 7 2 6" xfId="30239"/>
    <cellStyle name="Normal 3 15 7 2 6 2" xfId="30240"/>
    <cellStyle name="Normal 3 15 7 2 7" xfId="30241"/>
    <cellStyle name="Normal 3 15 7 2 8" xfId="30242"/>
    <cellStyle name="Normal 3 15 7 2 9" xfId="30243"/>
    <cellStyle name="Normal 3 15 7 3" xfId="30244"/>
    <cellStyle name="Normal 3 15 7 3 2" xfId="30245"/>
    <cellStyle name="Normal 3 15 7 3 2 2" xfId="30246"/>
    <cellStyle name="Normal 3 15 7 3 3" xfId="30247"/>
    <cellStyle name="Normal 3 15 7 3 4" xfId="30248"/>
    <cellStyle name="Normal 3 15 7 3 5" xfId="30249"/>
    <cellStyle name="Normal 3 15 7 4" xfId="30250"/>
    <cellStyle name="Normal 3 15 7 4 2" xfId="30251"/>
    <cellStyle name="Normal 3 15 7 5" xfId="30252"/>
    <cellStyle name="Normal 3 15 7 5 2" xfId="30253"/>
    <cellStyle name="Normal 3 15 7 6" xfId="30254"/>
    <cellStyle name="Normal 3 15 7 6 2" xfId="30255"/>
    <cellStyle name="Normal 3 15 7 7" xfId="30256"/>
    <cellStyle name="Normal 3 15 7 7 2" xfId="30257"/>
    <cellStyle name="Normal 3 15 7 8" xfId="30258"/>
    <cellStyle name="Normal 3 15 7 9" xfId="30259"/>
    <cellStyle name="Normal 3 15 8" xfId="30260"/>
    <cellStyle name="Normal 3 15 8 10" xfId="30261"/>
    <cellStyle name="Normal 3 15 8 11" xfId="30262"/>
    <cellStyle name="Normal 3 15 8 12" xfId="30263"/>
    <cellStyle name="Normal 3 15 8 13" xfId="30264"/>
    <cellStyle name="Normal 3 15 8 14" xfId="30265"/>
    <cellStyle name="Normal 3 15 8 15" xfId="30266"/>
    <cellStyle name="Normal 3 15 8 16" xfId="30267"/>
    <cellStyle name="Normal 3 15 8 2" xfId="30268"/>
    <cellStyle name="Normal 3 15 8 2 2" xfId="30269"/>
    <cellStyle name="Normal 3 15 8 2 2 2" xfId="30270"/>
    <cellStyle name="Normal 3 15 8 2 3" xfId="30271"/>
    <cellStyle name="Normal 3 15 8 2 3 2" xfId="30272"/>
    <cellStyle name="Normal 3 15 8 2 4" xfId="30273"/>
    <cellStyle name="Normal 3 15 8 2 4 2" xfId="30274"/>
    <cellStyle name="Normal 3 15 8 2 5" xfId="30275"/>
    <cellStyle name="Normal 3 15 8 2 5 2" xfId="30276"/>
    <cellStyle name="Normal 3 15 8 2 6" xfId="30277"/>
    <cellStyle name="Normal 3 15 8 2 7" xfId="30278"/>
    <cellStyle name="Normal 3 15 8 2 8" xfId="30279"/>
    <cellStyle name="Normal 3 15 8 2 9" xfId="30280"/>
    <cellStyle name="Normal 3 15 8 3" xfId="30281"/>
    <cellStyle name="Normal 3 15 8 3 2" xfId="30282"/>
    <cellStyle name="Normal 3 15 8 3 2 2" xfId="30283"/>
    <cellStyle name="Normal 3 15 8 3 3" xfId="30284"/>
    <cellStyle name="Normal 3 15 8 3 4" xfId="30285"/>
    <cellStyle name="Normal 3 15 8 3 5" xfId="30286"/>
    <cellStyle name="Normal 3 15 8 4" xfId="30287"/>
    <cellStyle name="Normal 3 15 8 4 2" xfId="30288"/>
    <cellStyle name="Normal 3 15 8 5" xfId="30289"/>
    <cellStyle name="Normal 3 15 8 5 2" xfId="30290"/>
    <cellStyle name="Normal 3 15 8 6" xfId="30291"/>
    <cellStyle name="Normal 3 15 8 6 2" xfId="30292"/>
    <cellStyle name="Normal 3 15 8 7" xfId="30293"/>
    <cellStyle name="Normal 3 15 8 7 2" xfId="30294"/>
    <cellStyle name="Normal 3 15 8 8" xfId="30295"/>
    <cellStyle name="Normal 3 15 8 9" xfId="30296"/>
    <cellStyle name="Normal 3 15 9" xfId="30297"/>
    <cellStyle name="Normal 3 15 9 10" xfId="30298"/>
    <cellStyle name="Normal 3 15 9 11" xfId="30299"/>
    <cellStyle name="Normal 3 15 9 12" xfId="30300"/>
    <cellStyle name="Normal 3 15 9 13" xfId="30301"/>
    <cellStyle name="Normal 3 15 9 14" xfId="30302"/>
    <cellStyle name="Normal 3 15 9 15" xfId="30303"/>
    <cellStyle name="Normal 3 15 9 2" xfId="30304"/>
    <cellStyle name="Normal 3 15 9 2 2" xfId="30305"/>
    <cellStyle name="Normal 3 15 9 2 2 2" xfId="30306"/>
    <cellStyle name="Normal 3 15 9 2 3" xfId="30307"/>
    <cellStyle name="Normal 3 15 9 2 3 2" xfId="30308"/>
    <cellStyle name="Normal 3 15 9 2 4" xfId="30309"/>
    <cellStyle name="Normal 3 15 9 2 4 2" xfId="30310"/>
    <cellStyle name="Normal 3 15 9 2 5" xfId="30311"/>
    <cellStyle name="Normal 3 15 9 2 5 2" xfId="30312"/>
    <cellStyle name="Normal 3 15 9 2 6" xfId="30313"/>
    <cellStyle name="Normal 3 15 9 2 7" xfId="30314"/>
    <cellStyle name="Normal 3 15 9 2 8" xfId="30315"/>
    <cellStyle name="Normal 3 15 9 2 9" xfId="30316"/>
    <cellStyle name="Normal 3 15 9 3" xfId="30317"/>
    <cellStyle name="Normal 3 15 9 3 2" xfId="30318"/>
    <cellStyle name="Normal 3 15 9 3 2 2" xfId="30319"/>
    <cellStyle name="Normal 3 15 9 3 3" xfId="30320"/>
    <cellStyle name="Normal 3 15 9 3 4" xfId="30321"/>
    <cellStyle name="Normal 3 15 9 3 5" xfId="30322"/>
    <cellStyle name="Normal 3 15 9 4" xfId="30323"/>
    <cellStyle name="Normal 3 15 9 4 2" xfId="30324"/>
    <cellStyle name="Normal 3 15 9 5" xfId="30325"/>
    <cellStyle name="Normal 3 15 9 5 2" xfId="30326"/>
    <cellStyle name="Normal 3 15 9 6" xfId="30327"/>
    <cellStyle name="Normal 3 15 9 6 2" xfId="30328"/>
    <cellStyle name="Normal 3 15 9 7" xfId="30329"/>
    <cellStyle name="Normal 3 15 9 7 2" xfId="30330"/>
    <cellStyle name="Normal 3 15 9 8" xfId="30331"/>
    <cellStyle name="Normal 3 15 9 9" xfId="30332"/>
    <cellStyle name="Normal 3 16" xfId="30333"/>
    <cellStyle name="Normal 3 16 10" xfId="30334"/>
    <cellStyle name="Normal 3 16 10 10" xfId="30335"/>
    <cellStyle name="Normal 3 16 10 11" xfId="30336"/>
    <cellStyle name="Normal 3 16 10 12" xfId="30337"/>
    <cellStyle name="Normal 3 16 10 13" xfId="30338"/>
    <cellStyle name="Normal 3 16 10 14" xfId="30339"/>
    <cellStyle name="Normal 3 16 10 2" xfId="30340"/>
    <cellStyle name="Normal 3 16 10 2 2" xfId="30341"/>
    <cellStyle name="Normal 3 16 10 2 2 2" xfId="30342"/>
    <cellStyle name="Normal 3 16 10 2 3" xfId="30343"/>
    <cellStyle name="Normal 3 16 10 2 3 2" xfId="30344"/>
    <cellStyle name="Normal 3 16 10 2 4" xfId="30345"/>
    <cellStyle name="Normal 3 16 10 2 4 2" xfId="30346"/>
    <cellStyle name="Normal 3 16 10 2 5" xfId="30347"/>
    <cellStyle name="Normal 3 16 10 2 5 2" xfId="30348"/>
    <cellStyle name="Normal 3 16 10 2 6" xfId="30349"/>
    <cellStyle name="Normal 3 16 10 2 7" xfId="30350"/>
    <cellStyle name="Normal 3 16 10 2 8" xfId="30351"/>
    <cellStyle name="Normal 3 16 10 2 9" xfId="30352"/>
    <cellStyle name="Normal 3 16 10 3" xfId="30353"/>
    <cellStyle name="Normal 3 16 10 3 2" xfId="30354"/>
    <cellStyle name="Normal 3 16 10 3 2 2" xfId="30355"/>
    <cellStyle name="Normal 3 16 10 3 3" xfId="30356"/>
    <cellStyle name="Normal 3 16 10 3 4" xfId="30357"/>
    <cellStyle name="Normal 3 16 10 3 5" xfId="30358"/>
    <cellStyle name="Normal 3 16 10 4" xfId="30359"/>
    <cellStyle name="Normal 3 16 10 4 2" xfId="30360"/>
    <cellStyle name="Normal 3 16 10 5" xfId="30361"/>
    <cellStyle name="Normal 3 16 10 5 2" xfId="30362"/>
    <cellStyle name="Normal 3 16 10 6" xfId="30363"/>
    <cellStyle name="Normal 3 16 10 6 2" xfId="30364"/>
    <cellStyle name="Normal 3 16 10 7" xfId="30365"/>
    <cellStyle name="Normal 3 16 10 7 2" xfId="30366"/>
    <cellStyle name="Normal 3 16 10 8" xfId="30367"/>
    <cellStyle name="Normal 3 16 10 9" xfId="30368"/>
    <cellStyle name="Normal 3 16 11" xfId="30369"/>
    <cellStyle name="Normal 3 16 11 2" xfId="30370"/>
    <cellStyle name="Normal 3 16 11 2 2" xfId="30371"/>
    <cellStyle name="Normal 3 16 11 3" xfId="30372"/>
    <cellStyle name="Normal 3 16 11 3 2" xfId="30373"/>
    <cellStyle name="Normal 3 16 11 4" xfId="30374"/>
    <cellStyle name="Normal 3 16 11 4 2" xfId="30375"/>
    <cellStyle name="Normal 3 16 11 5" xfId="30376"/>
    <cellStyle name="Normal 3 16 11 5 2" xfId="30377"/>
    <cellStyle name="Normal 3 16 11 6" xfId="30378"/>
    <cellStyle name="Normal 3 16 11 7" xfId="30379"/>
    <cellStyle name="Normal 3 16 11 8" xfId="30380"/>
    <cellStyle name="Normal 3 16 11 9" xfId="30381"/>
    <cellStyle name="Normal 3 16 12" xfId="30382"/>
    <cellStyle name="Normal 3 16 12 2" xfId="30383"/>
    <cellStyle name="Normal 3 16 12 2 2" xfId="30384"/>
    <cellStyle name="Normal 3 16 12 3" xfId="30385"/>
    <cellStyle name="Normal 3 16 12 4" xfId="30386"/>
    <cellStyle name="Normal 3 16 12 5" xfId="30387"/>
    <cellStyle name="Normal 3 16 13" xfId="30388"/>
    <cellStyle name="Normal 3 16 13 2" xfId="30389"/>
    <cellStyle name="Normal 3 16 14" xfId="30390"/>
    <cellStyle name="Normal 3 16 14 2" xfId="30391"/>
    <cellStyle name="Normal 3 16 15" xfId="30392"/>
    <cellStyle name="Normal 3 16 15 2" xfId="30393"/>
    <cellStyle name="Normal 3 16 16" xfId="30394"/>
    <cellStyle name="Normal 3 16 16 2" xfId="30395"/>
    <cellStyle name="Normal 3 16 17" xfId="30396"/>
    <cellStyle name="Normal 3 16 18" xfId="30397"/>
    <cellStyle name="Normal 3 16 19" xfId="30398"/>
    <cellStyle name="Normal 3 16 2" xfId="30399"/>
    <cellStyle name="Normal 3 16 2 10" xfId="30400"/>
    <cellStyle name="Normal 3 16 2 10 2" xfId="30401"/>
    <cellStyle name="Normal 3 16 2 11" xfId="30402"/>
    <cellStyle name="Normal 3 16 2 11 2" xfId="30403"/>
    <cellStyle name="Normal 3 16 2 12" xfId="30404"/>
    <cellStyle name="Normal 3 16 2 13" xfId="30405"/>
    <cellStyle name="Normal 3 16 2 14" xfId="30406"/>
    <cellStyle name="Normal 3 16 2 15" xfId="30407"/>
    <cellStyle name="Normal 3 16 2 16" xfId="30408"/>
    <cellStyle name="Normal 3 16 2 17" xfId="30409"/>
    <cellStyle name="Normal 3 16 2 18" xfId="30410"/>
    <cellStyle name="Normal 3 16 2 19" xfId="30411"/>
    <cellStyle name="Normal 3 16 2 2" xfId="30412"/>
    <cellStyle name="Normal 3 16 2 2 10" xfId="30413"/>
    <cellStyle name="Normal 3 16 2 2 11" xfId="30414"/>
    <cellStyle name="Normal 3 16 2 2 12" xfId="30415"/>
    <cellStyle name="Normal 3 16 2 2 13" xfId="30416"/>
    <cellStyle name="Normal 3 16 2 2 14" xfId="30417"/>
    <cellStyle name="Normal 3 16 2 2 15" xfId="30418"/>
    <cellStyle name="Normal 3 16 2 2 16" xfId="30419"/>
    <cellStyle name="Normal 3 16 2 2 2" xfId="30420"/>
    <cellStyle name="Normal 3 16 2 2 2 2" xfId="30421"/>
    <cellStyle name="Normal 3 16 2 2 2 2 2" xfId="30422"/>
    <cellStyle name="Normal 3 16 2 2 2 3" xfId="30423"/>
    <cellStyle name="Normal 3 16 2 2 2 3 2" xfId="30424"/>
    <cellStyle name="Normal 3 16 2 2 2 4" xfId="30425"/>
    <cellStyle name="Normal 3 16 2 2 2 4 2" xfId="30426"/>
    <cellStyle name="Normal 3 16 2 2 2 5" xfId="30427"/>
    <cellStyle name="Normal 3 16 2 2 2 5 2" xfId="30428"/>
    <cellStyle name="Normal 3 16 2 2 2 6" xfId="30429"/>
    <cellStyle name="Normal 3 16 2 2 2 7" xfId="30430"/>
    <cellStyle name="Normal 3 16 2 2 2 8" xfId="30431"/>
    <cellStyle name="Normal 3 16 2 2 2 9" xfId="30432"/>
    <cellStyle name="Normal 3 16 2 2 3" xfId="30433"/>
    <cellStyle name="Normal 3 16 2 2 3 2" xfId="30434"/>
    <cellStyle name="Normal 3 16 2 2 3 2 2" xfId="30435"/>
    <cellStyle name="Normal 3 16 2 2 3 3" xfId="30436"/>
    <cellStyle name="Normal 3 16 2 2 3 4" xfId="30437"/>
    <cellStyle name="Normal 3 16 2 2 3 5" xfId="30438"/>
    <cellStyle name="Normal 3 16 2 2 4" xfId="30439"/>
    <cellStyle name="Normal 3 16 2 2 4 2" xfId="30440"/>
    <cellStyle name="Normal 3 16 2 2 5" xfId="30441"/>
    <cellStyle name="Normal 3 16 2 2 5 2" xfId="30442"/>
    <cellStyle name="Normal 3 16 2 2 6" xfId="30443"/>
    <cellStyle name="Normal 3 16 2 2 6 2" xfId="30444"/>
    <cellStyle name="Normal 3 16 2 2 7" xfId="30445"/>
    <cellStyle name="Normal 3 16 2 2 7 2" xfId="30446"/>
    <cellStyle name="Normal 3 16 2 2 8" xfId="30447"/>
    <cellStyle name="Normal 3 16 2 2 9" xfId="30448"/>
    <cellStyle name="Normal 3 16 2 20" xfId="30449"/>
    <cellStyle name="Normal 3 16 2 3" xfId="30450"/>
    <cellStyle name="Normal 3 16 2 3 10" xfId="30451"/>
    <cellStyle name="Normal 3 16 2 3 11" xfId="30452"/>
    <cellStyle name="Normal 3 16 2 3 12" xfId="30453"/>
    <cellStyle name="Normal 3 16 2 3 13" xfId="30454"/>
    <cellStyle name="Normal 3 16 2 3 14" xfId="30455"/>
    <cellStyle name="Normal 3 16 2 3 15" xfId="30456"/>
    <cellStyle name="Normal 3 16 2 3 16" xfId="30457"/>
    <cellStyle name="Normal 3 16 2 3 2" xfId="30458"/>
    <cellStyle name="Normal 3 16 2 3 2 2" xfId="30459"/>
    <cellStyle name="Normal 3 16 2 3 2 2 2" xfId="30460"/>
    <cellStyle name="Normal 3 16 2 3 2 3" xfId="30461"/>
    <cellStyle name="Normal 3 16 2 3 2 3 2" xfId="30462"/>
    <cellStyle name="Normal 3 16 2 3 2 4" xfId="30463"/>
    <cellStyle name="Normal 3 16 2 3 2 4 2" xfId="30464"/>
    <cellStyle name="Normal 3 16 2 3 2 5" xfId="30465"/>
    <cellStyle name="Normal 3 16 2 3 2 5 2" xfId="30466"/>
    <cellStyle name="Normal 3 16 2 3 2 6" xfId="30467"/>
    <cellStyle name="Normal 3 16 2 3 2 7" xfId="30468"/>
    <cellStyle name="Normal 3 16 2 3 2 8" xfId="30469"/>
    <cellStyle name="Normal 3 16 2 3 2 9" xfId="30470"/>
    <cellStyle name="Normal 3 16 2 3 3" xfId="30471"/>
    <cellStyle name="Normal 3 16 2 3 3 2" xfId="30472"/>
    <cellStyle name="Normal 3 16 2 3 3 2 2" xfId="30473"/>
    <cellStyle name="Normal 3 16 2 3 3 3" xfId="30474"/>
    <cellStyle name="Normal 3 16 2 3 3 4" xfId="30475"/>
    <cellStyle name="Normal 3 16 2 3 3 5" xfId="30476"/>
    <cellStyle name="Normal 3 16 2 3 4" xfId="30477"/>
    <cellStyle name="Normal 3 16 2 3 4 2" xfId="30478"/>
    <cellStyle name="Normal 3 16 2 3 5" xfId="30479"/>
    <cellStyle name="Normal 3 16 2 3 5 2" xfId="30480"/>
    <cellStyle name="Normal 3 16 2 3 6" xfId="30481"/>
    <cellStyle name="Normal 3 16 2 3 6 2" xfId="30482"/>
    <cellStyle name="Normal 3 16 2 3 7" xfId="30483"/>
    <cellStyle name="Normal 3 16 2 3 7 2" xfId="30484"/>
    <cellStyle name="Normal 3 16 2 3 8" xfId="30485"/>
    <cellStyle name="Normal 3 16 2 3 9" xfId="30486"/>
    <cellStyle name="Normal 3 16 2 4" xfId="30487"/>
    <cellStyle name="Normal 3 16 2 4 10" xfId="30488"/>
    <cellStyle name="Normal 3 16 2 4 11" xfId="30489"/>
    <cellStyle name="Normal 3 16 2 4 12" xfId="30490"/>
    <cellStyle name="Normal 3 16 2 4 13" xfId="30491"/>
    <cellStyle name="Normal 3 16 2 4 14" xfId="30492"/>
    <cellStyle name="Normal 3 16 2 4 15" xfId="30493"/>
    <cellStyle name="Normal 3 16 2 4 2" xfId="30494"/>
    <cellStyle name="Normal 3 16 2 4 2 2" xfId="30495"/>
    <cellStyle name="Normal 3 16 2 4 2 2 2" xfId="30496"/>
    <cellStyle name="Normal 3 16 2 4 2 3" xfId="30497"/>
    <cellStyle name="Normal 3 16 2 4 2 3 2" xfId="30498"/>
    <cellStyle name="Normal 3 16 2 4 2 4" xfId="30499"/>
    <cellStyle name="Normal 3 16 2 4 2 4 2" xfId="30500"/>
    <cellStyle name="Normal 3 16 2 4 2 5" xfId="30501"/>
    <cellStyle name="Normal 3 16 2 4 2 5 2" xfId="30502"/>
    <cellStyle name="Normal 3 16 2 4 2 6" xfId="30503"/>
    <cellStyle name="Normal 3 16 2 4 2 7" xfId="30504"/>
    <cellStyle name="Normal 3 16 2 4 2 8" xfId="30505"/>
    <cellStyle name="Normal 3 16 2 4 2 9" xfId="30506"/>
    <cellStyle name="Normal 3 16 2 4 3" xfId="30507"/>
    <cellStyle name="Normal 3 16 2 4 3 2" xfId="30508"/>
    <cellStyle name="Normal 3 16 2 4 3 2 2" xfId="30509"/>
    <cellStyle name="Normal 3 16 2 4 3 3" xfId="30510"/>
    <cellStyle name="Normal 3 16 2 4 3 4" xfId="30511"/>
    <cellStyle name="Normal 3 16 2 4 3 5" xfId="30512"/>
    <cellStyle name="Normal 3 16 2 4 4" xfId="30513"/>
    <cellStyle name="Normal 3 16 2 4 4 2" xfId="30514"/>
    <cellStyle name="Normal 3 16 2 4 5" xfId="30515"/>
    <cellStyle name="Normal 3 16 2 4 5 2" xfId="30516"/>
    <cellStyle name="Normal 3 16 2 4 6" xfId="30517"/>
    <cellStyle name="Normal 3 16 2 4 6 2" xfId="30518"/>
    <cellStyle name="Normal 3 16 2 4 7" xfId="30519"/>
    <cellStyle name="Normal 3 16 2 4 7 2" xfId="30520"/>
    <cellStyle name="Normal 3 16 2 4 8" xfId="30521"/>
    <cellStyle name="Normal 3 16 2 4 9" xfId="30522"/>
    <cellStyle name="Normal 3 16 2 5" xfId="30523"/>
    <cellStyle name="Normal 3 16 2 5 10" xfId="30524"/>
    <cellStyle name="Normal 3 16 2 5 11" xfId="30525"/>
    <cellStyle name="Normal 3 16 2 5 12" xfId="30526"/>
    <cellStyle name="Normal 3 16 2 5 13" xfId="30527"/>
    <cellStyle name="Normal 3 16 2 5 14" xfId="30528"/>
    <cellStyle name="Normal 3 16 2 5 2" xfId="30529"/>
    <cellStyle name="Normal 3 16 2 5 2 2" xfId="30530"/>
    <cellStyle name="Normal 3 16 2 5 2 2 2" xfId="30531"/>
    <cellStyle name="Normal 3 16 2 5 2 3" xfId="30532"/>
    <cellStyle name="Normal 3 16 2 5 2 3 2" xfId="30533"/>
    <cellStyle name="Normal 3 16 2 5 2 4" xfId="30534"/>
    <cellStyle name="Normal 3 16 2 5 2 4 2" xfId="30535"/>
    <cellStyle name="Normal 3 16 2 5 2 5" xfId="30536"/>
    <cellStyle name="Normal 3 16 2 5 2 5 2" xfId="30537"/>
    <cellStyle name="Normal 3 16 2 5 2 6" xfId="30538"/>
    <cellStyle name="Normal 3 16 2 5 2 7" xfId="30539"/>
    <cellStyle name="Normal 3 16 2 5 2 8" xfId="30540"/>
    <cellStyle name="Normal 3 16 2 5 2 9" xfId="30541"/>
    <cellStyle name="Normal 3 16 2 5 3" xfId="30542"/>
    <cellStyle name="Normal 3 16 2 5 3 2" xfId="30543"/>
    <cellStyle name="Normal 3 16 2 5 3 2 2" xfId="30544"/>
    <cellStyle name="Normal 3 16 2 5 3 3" xfId="30545"/>
    <cellStyle name="Normal 3 16 2 5 3 4" xfId="30546"/>
    <cellStyle name="Normal 3 16 2 5 3 5" xfId="30547"/>
    <cellStyle name="Normal 3 16 2 5 4" xfId="30548"/>
    <cellStyle name="Normal 3 16 2 5 4 2" xfId="30549"/>
    <cellStyle name="Normal 3 16 2 5 5" xfId="30550"/>
    <cellStyle name="Normal 3 16 2 5 5 2" xfId="30551"/>
    <cellStyle name="Normal 3 16 2 5 6" xfId="30552"/>
    <cellStyle name="Normal 3 16 2 5 6 2" xfId="30553"/>
    <cellStyle name="Normal 3 16 2 5 7" xfId="30554"/>
    <cellStyle name="Normal 3 16 2 5 7 2" xfId="30555"/>
    <cellStyle name="Normal 3 16 2 5 8" xfId="30556"/>
    <cellStyle name="Normal 3 16 2 5 9" xfId="30557"/>
    <cellStyle name="Normal 3 16 2 6" xfId="30558"/>
    <cellStyle name="Normal 3 16 2 6 2" xfId="30559"/>
    <cellStyle name="Normal 3 16 2 6 2 2" xfId="30560"/>
    <cellStyle name="Normal 3 16 2 6 3" xfId="30561"/>
    <cellStyle name="Normal 3 16 2 6 3 2" xfId="30562"/>
    <cellStyle name="Normal 3 16 2 6 4" xfId="30563"/>
    <cellStyle name="Normal 3 16 2 6 4 2" xfId="30564"/>
    <cellStyle name="Normal 3 16 2 6 5" xfId="30565"/>
    <cellStyle name="Normal 3 16 2 6 5 2" xfId="30566"/>
    <cellStyle name="Normal 3 16 2 6 6" xfId="30567"/>
    <cellStyle name="Normal 3 16 2 6 7" xfId="30568"/>
    <cellStyle name="Normal 3 16 2 6 8" xfId="30569"/>
    <cellStyle name="Normal 3 16 2 6 9" xfId="30570"/>
    <cellStyle name="Normal 3 16 2 7" xfId="30571"/>
    <cellStyle name="Normal 3 16 2 7 2" xfId="30572"/>
    <cellStyle name="Normal 3 16 2 7 2 2" xfId="30573"/>
    <cellStyle name="Normal 3 16 2 7 3" xfId="30574"/>
    <cellStyle name="Normal 3 16 2 7 4" xfId="30575"/>
    <cellStyle name="Normal 3 16 2 7 5" xfId="30576"/>
    <cellStyle name="Normal 3 16 2 8" xfId="30577"/>
    <cellStyle name="Normal 3 16 2 8 2" xfId="30578"/>
    <cellStyle name="Normal 3 16 2 9" xfId="30579"/>
    <cellStyle name="Normal 3 16 2 9 2" xfId="30580"/>
    <cellStyle name="Normal 3 16 20" xfId="30581"/>
    <cellStyle name="Normal 3 16 21" xfId="30582"/>
    <cellStyle name="Normal 3 16 22" xfId="30583"/>
    <cellStyle name="Normal 3 16 23" xfId="30584"/>
    <cellStyle name="Normal 3 16 24" xfId="30585"/>
    <cellStyle name="Normal 3 16 25" xfId="30586"/>
    <cellStyle name="Normal 3 16 3" xfId="30587"/>
    <cellStyle name="Normal 3 16 3 10" xfId="30588"/>
    <cellStyle name="Normal 3 16 3 11" xfId="30589"/>
    <cellStyle name="Normal 3 16 3 12" xfId="30590"/>
    <cellStyle name="Normal 3 16 3 13" xfId="30591"/>
    <cellStyle name="Normal 3 16 3 14" xfId="30592"/>
    <cellStyle name="Normal 3 16 3 15" xfId="30593"/>
    <cellStyle name="Normal 3 16 3 16" xfId="30594"/>
    <cellStyle name="Normal 3 16 3 17" xfId="30595"/>
    <cellStyle name="Normal 3 16 3 18" xfId="30596"/>
    <cellStyle name="Normal 3 16 3 2" xfId="30597"/>
    <cellStyle name="Normal 3 16 3 2 10" xfId="30598"/>
    <cellStyle name="Normal 3 16 3 2 11" xfId="30599"/>
    <cellStyle name="Normal 3 16 3 2 12" xfId="30600"/>
    <cellStyle name="Normal 3 16 3 2 13" xfId="30601"/>
    <cellStyle name="Normal 3 16 3 2 2" xfId="30602"/>
    <cellStyle name="Normal 3 16 3 2 2 2" xfId="30603"/>
    <cellStyle name="Normal 3 16 3 2 2 2 2" xfId="30604"/>
    <cellStyle name="Normal 3 16 3 2 2 3" xfId="30605"/>
    <cellStyle name="Normal 3 16 3 2 2 4" xfId="30606"/>
    <cellStyle name="Normal 3 16 3 2 2 5" xfId="30607"/>
    <cellStyle name="Normal 3 16 3 2 3" xfId="30608"/>
    <cellStyle name="Normal 3 16 3 2 3 2" xfId="30609"/>
    <cellStyle name="Normal 3 16 3 2 4" xfId="30610"/>
    <cellStyle name="Normal 3 16 3 2 4 2" xfId="30611"/>
    <cellStyle name="Normal 3 16 3 2 5" xfId="30612"/>
    <cellStyle name="Normal 3 16 3 2 5 2" xfId="30613"/>
    <cellStyle name="Normal 3 16 3 2 6" xfId="30614"/>
    <cellStyle name="Normal 3 16 3 2 6 2" xfId="30615"/>
    <cellStyle name="Normal 3 16 3 2 7" xfId="30616"/>
    <cellStyle name="Normal 3 16 3 2 8" xfId="30617"/>
    <cellStyle name="Normal 3 16 3 2 9" xfId="30618"/>
    <cellStyle name="Normal 3 16 3 3" xfId="30619"/>
    <cellStyle name="Normal 3 16 3 3 2" xfId="30620"/>
    <cellStyle name="Normal 3 16 3 3 2 2" xfId="30621"/>
    <cellStyle name="Normal 3 16 3 3 3" xfId="30622"/>
    <cellStyle name="Normal 3 16 3 3 4" xfId="30623"/>
    <cellStyle name="Normal 3 16 3 3 5" xfId="30624"/>
    <cellStyle name="Normal 3 16 3 4" xfId="30625"/>
    <cellStyle name="Normal 3 16 3 4 2" xfId="30626"/>
    <cellStyle name="Normal 3 16 3 5" xfId="30627"/>
    <cellStyle name="Normal 3 16 3 5 2" xfId="30628"/>
    <cellStyle name="Normal 3 16 3 6" xfId="30629"/>
    <cellStyle name="Normal 3 16 3 6 2" xfId="30630"/>
    <cellStyle name="Normal 3 16 3 7" xfId="30631"/>
    <cellStyle name="Normal 3 16 3 7 2" xfId="30632"/>
    <cellStyle name="Normal 3 16 3 8" xfId="30633"/>
    <cellStyle name="Normal 3 16 3 9" xfId="30634"/>
    <cellStyle name="Normal 3 16 4" xfId="30635"/>
    <cellStyle name="Normal 3 16 4 10" xfId="30636"/>
    <cellStyle name="Normal 3 16 4 11" xfId="30637"/>
    <cellStyle name="Normal 3 16 4 12" xfId="30638"/>
    <cellStyle name="Normal 3 16 4 13" xfId="30639"/>
    <cellStyle name="Normal 3 16 4 14" xfId="30640"/>
    <cellStyle name="Normal 3 16 4 15" xfId="30641"/>
    <cellStyle name="Normal 3 16 4 16" xfId="30642"/>
    <cellStyle name="Normal 3 16 4 17" xfId="30643"/>
    <cellStyle name="Normal 3 16 4 18" xfId="30644"/>
    <cellStyle name="Normal 3 16 4 2" xfId="30645"/>
    <cellStyle name="Normal 3 16 4 2 10" xfId="30646"/>
    <cellStyle name="Normal 3 16 4 2 11" xfId="30647"/>
    <cellStyle name="Normal 3 16 4 2 12" xfId="30648"/>
    <cellStyle name="Normal 3 16 4 2 13" xfId="30649"/>
    <cellStyle name="Normal 3 16 4 2 2" xfId="30650"/>
    <cellStyle name="Normal 3 16 4 2 2 2" xfId="30651"/>
    <cellStyle name="Normal 3 16 4 2 2 2 2" xfId="30652"/>
    <cellStyle name="Normal 3 16 4 2 2 3" xfId="30653"/>
    <cellStyle name="Normal 3 16 4 2 2 4" xfId="30654"/>
    <cellStyle name="Normal 3 16 4 2 2 5" xfId="30655"/>
    <cellStyle name="Normal 3 16 4 2 3" xfId="30656"/>
    <cellStyle name="Normal 3 16 4 2 3 2" xfId="30657"/>
    <cellStyle name="Normal 3 16 4 2 4" xfId="30658"/>
    <cellStyle name="Normal 3 16 4 2 4 2" xfId="30659"/>
    <cellStyle name="Normal 3 16 4 2 5" xfId="30660"/>
    <cellStyle name="Normal 3 16 4 2 5 2" xfId="30661"/>
    <cellStyle name="Normal 3 16 4 2 6" xfId="30662"/>
    <cellStyle name="Normal 3 16 4 2 6 2" xfId="30663"/>
    <cellStyle name="Normal 3 16 4 2 7" xfId="30664"/>
    <cellStyle name="Normal 3 16 4 2 8" xfId="30665"/>
    <cellStyle name="Normal 3 16 4 2 9" xfId="30666"/>
    <cellStyle name="Normal 3 16 4 3" xfId="30667"/>
    <cellStyle name="Normal 3 16 4 3 2" xfId="30668"/>
    <cellStyle name="Normal 3 16 4 3 2 2" xfId="30669"/>
    <cellStyle name="Normal 3 16 4 3 3" xfId="30670"/>
    <cellStyle name="Normal 3 16 4 3 4" xfId="30671"/>
    <cellStyle name="Normal 3 16 4 3 5" xfId="30672"/>
    <cellStyle name="Normal 3 16 4 4" xfId="30673"/>
    <cellStyle name="Normal 3 16 4 4 2" xfId="30674"/>
    <cellStyle name="Normal 3 16 4 5" xfId="30675"/>
    <cellStyle name="Normal 3 16 4 5 2" xfId="30676"/>
    <cellStyle name="Normal 3 16 4 6" xfId="30677"/>
    <cellStyle name="Normal 3 16 4 6 2" xfId="30678"/>
    <cellStyle name="Normal 3 16 4 7" xfId="30679"/>
    <cellStyle name="Normal 3 16 4 7 2" xfId="30680"/>
    <cellStyle name="Normal 3 16 4 8" xfId="30681"/>
    <cellStyle name="Normal 3 16 4 9" xfId="30682"/>
    <cellStyle name="Normal 3 16 5" xfId="30683"/>
    <cellStyle name="Normal 3 16 5 10" xfId="30684"/>
    <cellStyle name="Normal 3 16 5 11" xfId="30685"/>
    <cellStyle name="Normal 3 16 5 12" xfId="30686"/>
    <cellStyle name="Normal 3 16 5 13" xfId="30687"/>
    <cellStyle name="Normal 3 16 5 14" xfId="30688"/>
    <cellStyle name="Normal 3 16 5 15" xfId="30689"/>
    <cellStyle name="Normal 3 16 5 16" xfId="30690"/>
    <cellStyle name="Normal 3 16 5 17" xfId="30691"/>
    <cellStyle name="Normal 3 16 5 18" xfId="30692"/>
    <cellStyle name="Normal 3 16 5 2" xfId="30693"/>
    <cellStyle name="Normal 3 16 5 2 10" xfId="30694"/>
    <cellStyle name="Normal 3 16 5 2 11" xfId="30695"/>
    <cellStyle name="Normal 3 16 5 2 12" xfId="30696"/>
    <cellStyle name="Normal 3 16 5 2 13" xfId="30697"/>
    <cellStyle name="Normal 3 16 5 2 2" xfId="30698"/>
    <cellStyle name="Normal 3 16 5 2 2 2" xfId="30699"/>
    <cellStyle name="Normal 3 16 5 2 2 2 2" xfId="30700"/>
    <cellStyle name="Normal 3 16 5 2 2 3" xfId="30701"/>
    <cellStyle name="Normal 3 16 5 2 2 4" xfId="30702"/>
    <cellStyle name="Normal 3 16 5 2 2 5" xfId="30703"/>
    <cellStyle name="Normal 3 16 5 2 3" xfId="30704"/>
    <cellStyle name="Normal 3 16 5 2 3 2" xfId="30705"/>
    <cellStyle name="Normal 3 16 5 2 4" xfId="30706"/>
    <cellStyle name="Normal 3 16 5 2 4 2" xfId="30707"/>
    <cellStyle name="Normal 3 16 5 2 5" xfId="30708"/>
    <cellStyle name="Normal 3 16 5 2 5 2" xfId="30709"/>
    <cellStyle name="Normal 3 16 5 2 6" xfId="30710"/>
    <cellStyle name="Normal 3 16 5 2 6 2" xfId="30711"/>
    <cellStyle name="Normal 3 16 5 2 7" xfId="30712"/>
    <cellStyle name="Normal 3 16 5 2 8" xfId="30713"/>
    <cellStyle name="Normal 3 16 5 2 9" xfId="30714"/>
    <cellStyle name="Normal 3 16 5 3" xfId="30715"/>
    <cellStyle name="Normal 3 16 5 3 2" xfId="30716"/>
    <cellStyle name="Normal 3 16 5 3 2 2" xfId="30717"/>
    <cellStyle name="Normal 3 16 5 3 3" xfId="30718"/>
    <cellStyle name="Normal 3 16 5 3 4" xfId="30719"/>
    <cellStyle name="Normal 3 16 5 3 5" xfId="30720"/>
    <cellStyle name="Normal 3 16 5 4" xfId="30721"/>
    <cellStyle name="Normal 3 16 5 4 2" xfId="30722"/>
    <cellStyle name="Normal 3 16 5 5" xfId="30723"/>
    <cellStyle name="Normal 3 16 5 5 2" xfId="30724"/>
    <cellStyle name="Normal 3 16 5 6" xfId="30725"/>
    <cellStyle name="Normal 3 16 5 6 2" xfId="30726"/>
    <cellStyle name="Normal 3 16 5 7" xfId="30727"/>
    <cellStyle name="Normal 3 16 5 7 2" xfId="30728"/>
    <cellStyle name="Normal 3 16 5 8" xfId="30729"/>
    <cellStyle name="Normal 3 16 5 9" xfId="30730"/>
    <cellStyle name="Normal 3 16 6" xfId="30731"/>
    <cellStyle name="Normal 3 16 6 10" xfId="30732"/>
    <cellStyle name="Normal 3 16 6 11" xfId="30733"/>
    <cellStyle name="Normal 3 16 6 12" xfId="30734"/>
    <cellStyle name="Normal 3 16 6 13" xfId="30735"/>
    <cellStyle name="Normal 3 16 6 14" xfId="30736"/>
    <cellStyle name="Normal 3 16 6 15" xfId="30737"/>
    <cellStyle name="Normal 3 16 6 16" xfId="30738"/>
    <cellStyle name="Normal 3 16 6 17" xfId="30739"/>
    <cellStyle name="Normal 3 16 6 18" xfId="30740"/>
    <cellStyle name="Normal 3 16 6 2" xfId="30741"/>
    <cellStyle name="Normal 3 16 6 2 10" xfId="30742"/>
    <cellStyle name="Normal 3 16 6 2 11" xfId="30743"/>
    <cellStyle name="Normal 3 16 6 2 12" xfId="30744"/>
    <cellStyle name="Normal 3 16 6 2 13" xfId="30745"/>
    <cellStyle name="Normal 3 16 6 2 2" xfId="30746"/>
    <cellStyle name="Normal 3 16 6 2 2 2" xfId="30747"/>
    <cellStyle name="Normal 3 16 6 2 2 2 2" xfId="30748"/>
    <cellStyle name="Normal 3 16 6 2 2 3" xfId="30749"/>
    <cellStyle name="Normal 3 16 6 2 2 4" xfId="30750"/>
    <cellStyle name="Normal 3 16 6 2 2 5" xfId="30751"/>
    <cellStyle name="Normal 3 16 6 2 3" xfId="30752"/>
    <cellStyle name="Normal 3 16 6 2 3 2" xfId="30753"/>
    <cellStyle name="Normal 3 16 6 2 4" xfId="30754"/>
    <cellStyle name="Normal 3 16 6 2 4 2" xfId="30755"/>
    <cellStyle name="Normal 3 16 6 2 5" xfId="30756"/>
    <cellStyle name="Normal 3 16 6 2 5 2" xfId="30757"/>
    <cellStyle name="Normal 3 16 6 2 6" xfId="30758"/>
    <cellStyle name="Normal 3 16 6 2 6 2" xfId="30759"/>
    <cellStyle name="Normal 3 16 6 2 7" xfId="30760"/>
    <cellStyle name="Normal 3 16 6 2 8" xfId="30761"/>
    <cellStyle name="Normal 3 16 6 2 9" xfId="30762"/>
    <cellStyle name="Normal 3 16 6 3" xfId="30763"/>
    <cellStyle name="Normal 3 16 6 3 2" xfId="30764"/>
    <cellStyle name="Normal 3 16 6 3 2 2" xfId="30765"/>
    <cellStyle name="Normal 3 16 6 3 3" xfId="30766"/>
    <cellStyle name="Normal 3 16 6 3 4" xfId="30767"/>
    <cellStyle name="Normal 3 16 6 3 5" xfId="30768"/>
    <cellStyle name="Normal 3 16 6 4" xfId="30769"/>
    <cellStyle name="Normal 3 16 6 4 2" xfId="30770"/>
    <cellStyle name="Normal 3 16 6 5" xfId="30771"/>
    <cellStyle name="Normal 3 16 6 5 2" xfId="30772"/>
    <cellStyle name="Normal 3 16 6 6" xfId="30773"/>
    <cellStyle name="Normal 3 16 6 6 2" xfId="30774"/>
    <cellStyle name="Normal 3 16 6 7" xfId="30775"/>
    <cellStyle name="Normal 3 16 6 7 2" xfId="30776"/>
    <cellStyle name="Normal 3 16 6 8" xfId="30777"/>
    <cellStyle name="Normal 3 16 6 9" xfId="30778"/>
    <cellStyle name="Normal 3 16 7" xfId="30779"/>
    <cellStyle name="Normal 3 16 7 10" xfId="30780"/>
    <cellStyle name="Normal 3 16 7 11" xfId="30781"/>
    <cellStyle name="Normal 3 16 7 12" xfId="30782"/>
    <cellStyle name="Normal 3 16 7 13" xfId="30783"/>
    <cellStyle name="Normal 3 16 7 14" xfId="30784"/>
    <cellStyle name="Normal 3 16 7 15" xfId="30785"/>
    <cellStyle name="Normal 3 16 7 16" xfId="30786"/>
    <cellStyle name="Normal 3 16 7 17" xfId="30787"/>
    <cellStyle name="Normal 3 16 7 2" xfId="30788"/>
    <cellStyle name="Normal 3 16 7 2 10" xfId="30789"/>
    <cellStyle name="Normal 3 16 7 2 11" xfId="30790"/>
    <cellStyle name="Normal 3 16 7 2 12" xfId="30791"/>
    <cellStyle name="Normal 3 16 7 2 13" xfId="30792"/>
    <cellStyle name="Normal 3 16 7 2 2" xfId="30793"/>
    <cellStyle name="Normal 3 16 7 2 2 2" xfId="30794"/>
    <cellStyle name="Normal 3 16 7 2 2 2 2" xfId="30795"/>
    <cellStyle name="Normal 3 16 7 2 2 3" xfId="30796"/>
    <cellStyle name="Normal 3 16 7 2 2 4" xfId="30797"/>
    <cellStyle name="Normal 3 16 7 2 2 5" xfId="30798"/>
    <cellStyle name="Normal 3 16 7 2 3" xfId="30799"/>
    <cellStyle name="Normal 3 16 7 2 3 2" xfId="30800"/>
    <cellStyle name="Normal 3 16 7 2 4" xfId="30801"/>
    <cellStyle name="Normal 3 16 7 2 4 2" xfId="30802"/>
    <cellStyle name="Normal 3 16 7 2 5" xfId="30803"/>
    <cellStyle name="Normal 3 16 7 2 5 2" xfId="30804"/>
    <cellStyle name="Normal 3 16 7 2 6" xfId="30805"/>
    <cellStyle name="Normal 3 16 7 2 6 2" xfId="30806"/>
    <cellStyle name="Normal 3 16 7 2 7" xfId="30807"/>
    <cellStyle name="Normal 3 16 7 2 8" xfId="30808"/>
    <cellStyle name="Normal 3 16 7 2 9" xfId="30809"/>
    <cellStyle name="Normal 3 16 7 3" xfId="30810"/>
    <cellStyle name="Normal 3 16 7 3 2" xfId="30811"/>
    <cellStyle name="Normal 3 16 7 3 2 2" xfId="30812"/>
    <cellStyle name="Normal 3 16 7 3 3" xfId="30813"/>
    <cellStyle name="Normal 3 16 7 3 4" xfId="30814"/>
    <cellStyle name="Normal 3 16 7 3 5" xfId="30815"/>
    <cellStyle name="Normal 3 16 7 4" xfId="30816"/>
    <cellStyle name="Normal 3 16 7 4 2" xfId="30817"/>
    <cellStyle name="Normal 3 16 7 5" xfId="30818"/>
    <cellStyle name="Normal 3 16 7 5 2" xfId="30819"/>
    <cellStyle name="Normal 3 16 7 6" xfId="30820"/>
    <cellStyle name="Normal 3 16 7 6 2" xfId="30821"/>
    <cellStyle name="Normal 3 16 7 7" xfId="30822"/>
    <cellStyle name="Normal 3 16 7 7 2" xfId="30823"/>
    <cellStyle name="Normal 3 16 7 8" xfId="30824"/>
    <cellStyle name="Normal 3 16 7 9" xfId="30825"/>
    <cellStyle name="Normal 3 16 8" xfId="30826"/>
    <cellStyle name="Normal 3 16 8 10" xfId="30827"/>
    <cellStyle name="Normal 3 16 8 11" xfId="30828"/>
    <cellStyle name="Normal 3 16 8 12" xfId="30829"/>
    <cellStyle name="Normal 3 16 8 13" xfId="30830"/>
    <cellStyle name="Normal 3 16 8 14" xfId="30831"/>
    <cellStyle name="Normal 3 16 8 15" xfId="30832"/>
    <cellStyle name="Normal 3 16 8 2" xfId="30833"/>
    <cellStyle name="Normal 3 16 8 2 2" xfId="30834"/>
    <cellStyle name="Normal 3 16 8 2 2 2" xfId="30835"/>
    <cellStyle name="Normal 3 16 8 2 3" xfId="30836"/>
    <cellStyle name="Normal 3 16 8 2 3 2" xfId="30837"/>
    <cellStyle name="Normal 3 16 8 2 4" xfId="30838"/>
    <cellStyle name="Normal 3 16 8 2 4 2" xfId="30839"/>
    <cellStyle name="Normal 3 16 8 2 5" xfId="30840"/>
    <cellStyle name="Normal 3 16 8 2 5 2" xfId="30841"/>
    <cellStyle name="Normal 3 16 8 2 6" xfId="30842"/>
    <cellStyle name="Normal 3 16 8 2 7" xfId="30843"/>
    <cellStyle name="Normal 3 16 8 2 8" xfId="30844"/>
    <cellStyle name="Normal 3 16 8 2 9" xfId="30845"/>
    <cellStyle name="Normal 3 16 8 3" xfId="30846"/>
    <cellStyle name="Normal 3 16 8 3 2" xfId="30847"/>
    <cellStyle name="Normal 3 16 8 3 2 2" xfId="30848"/>
    <cellStyle name="Normal 3 16 8 3 3" xfId="30849"/>
    <cellStyle name="Normal 3 16 8 3 4" xfId="30850"/>
    <cellStyle name="Normal 3 16 8 3 5" xfId="30851"/>
    <cellStyle name="Normal 3 16 8 4" xfId="30852"/>
    <cellStyle name="Normal 3 16 8 4 2" xfId="30853"/>
    <cellStyle name="Normal 3 16 8 5" xfId="30854"/>
    <cellStyle name="Normal 3 16 8 5 2" xfId="30855"/>
    <cellStyle name="Normal 3 16 8 6" xfId="30856"/>
    <cellStyle name="Normal 3 16 8 6 2" xfId="30857"/>
    <cellStyle name="Normal 3 16 8 7" xfId="30858"/>
    <cellStyle name="Normal 3 16 8 7 2" xfId="30859"/>
    <cellStyle name="Normal 3 16 8 8" xfId="30860"/>
    <cellStyle name="Normal 3 16 8 9" xfId="30861"/>
    <cellStyle name="Normal 3 16 9" xfId="30862"/>
    <cellStyle name="Normal 3 16 9 10" xfId="30863"/>
    <cellStyle name="Normal 3 16 9 11" xfId="30864"/>
    <cellStyle name="Normal 3 16 9 12" xfId="30865"/>
    <cellStyle name="Normal 3 16 9 13" xfId="30866"/>
    <cellStyle name="Normal 3 16 9 14" xfId="30867"/>
    <cellStyle name="Normal 3 16 9 15" xfId="30868"/>
    <cellStyle name="Normal 3 16 9 2" xfId="30869"/>
    <cellStyle name="Normal 3 16 9 2 2" xfId="30870"/>
    <cellStyle name="Normal 3 16 9 2 2 2" xfId="30871"/>
    <cellStyle name="Normal 3 16 9 2 3" xfId="30872"/>
    <cellStyle name="Normal 3 16 9 2 3 2" xfId="30873"/>
    <cellStyle name="Normal 3 16 9 2 4" xfId="30874"/>
    <cellStyle name="Normal 3 16 9 2 4 2" xfId="30875"/>
    <cellStyle name="Normal 3 16 9 2 5" xfId="30876"/>
    <cellStyle name="Normal 3 16 9 2 5 2" xfId="30877"/>
    <cellStyle name="Normal 3 16 9 2 6" xfId="30878"/>
    <cellStyle name="Normal 3 16 9 2 7" xfId="30879"/>
    <cellStyle name="Normal 3 16 9 2 8" xfId="30880"/>
    <cellStyle name="Normal 3 16 9 2 9" xfId="30881"/>
    <cellStyle name="Normal 3 16 9 3" xfId="30882"/>
    <cellStyle name="Normal 3 16 9 3 2" xfId="30883"/>
    <cellStyle name="Normal 3 16 9 3 2 2" xfId="30884"/>
    <cellStyle name="Normal 3 16 9 3 3" xfId="30885"/>
    <cellStyle name="Normal 3 16 9 3 4" xfId="30886"/>
    <cellStyle name="Normal 3 16 9 3 5" xfId="30887"/>
    <cellStyle name="Normal 3 16 9 4" xfId="30888"/>
    <cellStyle name="Normal 3 16 9 4 2" xfId="30889"/>
    <cellStyle name="Normal 3 16 9 5" xfId="30890"/>
    <cellStyle name="Normal 3 16 9 5 2" xfId="30891"/>
    <cellStyle name="Normal 3 16 9 6" xfId="30892"/>
    <cellStyle name="Normal 3 16 9 6 2" xfId="30893"/>
    <cellStyle name="Normal 3 16 9 7" xfId="30894"/>
    <cellStyle name="Normal 3 16 9 7 2" xfId="30895"/>
    <cellStyle name="Normal 3 16 9 8" xfId="30896"/>
    <cellStyle name="Normal 3 16 9 9" xfId="30897"/>
    <cellStyle name="Normal 3 17" xfId="30898"/>
    <cellStyle name="Normal 3 17 10" xfId="30899"/>
    <cellStyle name="Normal 3 17 10 10" xfId="30900"/>
    <cellStyle name="Normal 3 17 10 11" xfId="30901"/>
    <cellStyle name="Normal 3 17 10 12" xfId="30902"/>
    <cellStyle name="Normal 3 17 10 13" xfId="30903"/>
    <cellStyle name="Normal 3 17 10 14" xfId="30904"/>
    <cellStyle name="Normal 3 17 10 2" xfId="30905"/>
    <cellStyle name="Normal 3 17 10 2 2" xfId="30906"/>
    <cellStyle name="Normal 3 17 10 2 2 2" xfId="30907"/>
    <cellStyle name="Normal 3 17 10 2 3" xfId="30908"/>
    <cellStyle name="Normal 3 17 10 2 3 2" xfId="30909"/>
    <cellStyle name="Normal 3 17 10 2 4" xfId="30910"/>
    <cellStyle name="Normal 3 17 10 2 4 2" xfId="30911"/>
    <cellStyle name="Normal 3 17 10 2 5" xfId="30912"/>
    <cellStyle name="Normal 3 17 10 2 5 2" xfId="30913"/>
    <cellStyle name="Normal 3 17 10 2 6" xfId="30914"/>
    <cellStyle name="Normal 3 17 10 2 7" xfId="30915"/>
    <cellStyle name="Normal 3 17 10 2 8" xfId="30916"/>
    <cellStyle name="Normal 3 17 10 2 9" xfId="30917"/>
    <cellStyle name="Normal 3 17 10 3" xfId="30918"/>
    <cellStyle name="Normal 3 17 10 3 2" xfId="30919"/>
    <cellStyle name="Normal 3 17 10 3 2 2" xfId="30920"/>
    <cellStyle name="Normal 3 17 10 3 3" xfId="30921"/>
    <cellStyle name="Normal 3 17 10 3 4" xfId="30922"/>
    <cellStyle name="Normal 3 17 10 3 5" xfId="30923"/>
    <cellStyle name="Normal 3 17 10 4" xfId="30924"/>
    <cellStyle name="Normal 3 17 10 4 2" xfId="30925"/>
    <cellStyle name="Normal 3 17 10 5" xfId="30926"/>
    <cellStyle name="Normal 3 17 10 5 2" xfId="30927"/>
    <cellStyle name="Normal 3 17 10 6" xfId="30928"/>
    <cellStyle name="Normal 3 17 10 6 2" xfId="30929"/>
    <cellStyle name="Normal 3 17 10 7" xfId="30930"/>
    <cellStyle name="Normal 3 17 10 7 2" xfId="30931"/>
    <cellStyle name="Normal 3 17 10 8" xfId="30932"/>
    <cellStyle name="Normal 3 17 10 9" xfId="30933"/>
    <cellStyle name="Normal 3 17 11" xfId="30934"/>
    <cellStyle name="Normal 3 17 11 2" xfId="30935"/>
    <cellStyle name="Normal 3 17 11 2 2" xfId="30936"/>
    <cellStyle name="Normal 3 17 11 3" xfId="30937"/>
    <cellStyle name="Normal 3 17 11 3 2" xfId="30938"/>
    <cellStyle name="Normal 3 17 11 4" xfId="30939"/>
    <cellStyle name="Normal 3 17 11 4 2" xfId="30940"/>
    <cellStyle name="Normal 3 17 11 5" xfId="30941"/>
    <cellStyle name="Normal 3 17 11 5 2" xfId="30942"/>
    <cellStyle name="Normal 3 17 11 6" xfId="30943"/>
    <cellStyle name="Normal 3 17 11 7" xfId="30944"/>
    <cellStyle name="Normal 3 17 11 8" xfId="30945"/>
    <cellStyle name="Normal 3 17 11 9" xfId="30946"/>
    <cellStyle name="Normal 3 17 12" xfId="30947"/>
    <cellStyle name="Normal 3 17 12 2" xfId="30948"/>
    <cellStyle name="Normal 3 17 12 2 2" xfId="30949"/>
    <cellStyle name="Normal 3 17 12 3" xfId="30950"/>
    <cellStyle name="Normal 3 17 12 4" xfId="30951"/>
    <cellStyle name="Normal 3 17 12 5" xfId="30952"/>
    <cellStyle name="Normal 3 17 13" xfId="30953"/>
    <cellStyle name="Normal 3 17 13 2" xfId="30954"/>
    <cellStyle name="Normal 3 17 14" xfId="30955"/>
    <cellStyle name="Normal 3 17 14 2" xfId="30956"/>
    <cellStyle name="Normal 3 17 15" xfId="30957"/>
    <cellStyle name="Normal 3 17 15 2" xfId="30958"/>
    <cellStyle name="Normal 3 17 16" xfId="30959"/>
    <cellStyle name="Normal 3 17 16 2" xfId="30960"/>
    <cellStyle name="Normal 3 17 17" xfId="30961"/>
    <cellStyle name="Normal 3 17 18" xfId="30962"/>
    <cellStyle name="Normal 3 17 19" xfId="30963"/>
    <cellStyle name="Normal 3 17 2" xfId="30964"/>
    <cellStyle name="Normal 3 17 2 10" xfId="30965"/>
    <cellStyle name="Normal 3 17 2 11" xfId="30966"/>
    <cellStyle name="Normal 3 17 2 12" xfId="30967"/>
    <cellStyle name="Normal 3 17 2 13" xfId="30968"/>
    <cellStyle name="Normal 3 17 2 14" xfId="30969"/>
    <cellStyle name="Normal 3 17 2 15" xfId="30970"/>
    <cellStyle name="Normal 3 17 2 16" xfId="30971"/>
    <cellStyle name="Normal 3 17 2 17" xfId="30972"/>
    <cellStyle name="Normal 3 17 2 18" xfId="30973"/>
    <cellStyle name="Normal 3 17 2 2" xfId="30974"/>
    <cellStyle name="Normal 3 17 2 2 10" xfId="30975"/>
    <cellStyle name="Normal 3 17 2 2 11" xfId="30976"/>
    <cellStyle name="Normal 3 17 2 2 12" xfId="30977"/>
    <cellStyle name="Normal 3 17 2 2 13" xfId="30978"/>
    <cellStyle name="Normal 3 17 2 2 2" xfId="30979"/>
    <cellStyle name="Normal 3 17 2 2 2 2" xfId="30980"/>
    <cellStyle name="Normal 3 17 2 2 2 2 2" xfId="30981"/>
    <cellStyle name="Normal 3 17 2 2 2 3" xfId="30982"/>
    <cellStyle name="Normal 3 17 2 2 2 4" xfId="30983"/>
    <cellStyle name="Normal 3 17 2 2 2 5" xfId="30984"/>
    <cellStyle name="Normal 3 17 2 2 3" xfId="30985"/>
    <cellStyle name="Normal 3 17 2 2 3 2" xfId="30986"/>
    <cellStyle name="Normal 3 17 2 2 4" xfId="30987"/>
    <cellStyle name="Normal 3 17 2 2 4 2" xfId="30988"/>
    <cellStyle name="Normal 3 17 2 2 5" xfId="30989"/>
    <cellStyle name="Normal 3 17 2 2 5 2" xfId="30990"/>
    <cellStyle name="Normal 3 17 2 2 6" xfId="30991"/>
    <cellStyle name="Normal 3 17 2 2 6 2" xfId="30992"/>
    <cellStyle name="Normal 3 17 2 2 7" xfId="30993"/>
    <cellStyle name="Normal 3 17 2 2 8" xfId="30994"/>
    <cellStyle name="Normal 3 17 2 2 9" xfId="30995"/>
    <cellStyle name="Normal 3 17 2 3" xfId="30996"/>
    <cellStyle name="Normal 3 17 2 3 2" xfId="30997"/>
    <cellStyle name="Normal 3 17 2 3 2 2" xfId="30998"/>
    <cellStyle name="Normal 3 17 2 3 3" xfId="30999"/>
    <cellStyle name="Normal 3 17 2 3 4" xfId="31000"/>
    <cellStyle name="Normal 3 17 2 3 5" xfId="31001"/>
    <cellStyle name="Normal 3 17 2 4" xfId="31002"/>
    <cellStyle name="Normal 3 17 2 4 2" xfId="31003"/>
    <cellStyle name="Normal 3 17 2 5" xfId="31004"/>
    <cellStyle name="Normal 3 17 2 5 2" xfId="31005"/>
    <cellStyle name="Normal 3 17 2 6" xfId="31006"/>
    <cellStyle name="Normal 3 17 2 6 2" xfId="31007"/>
    <cellStyle name="Normal 3 17 2 7" xfId="31008"/>
    <cellStyle name="Normal 3 17 2 7 2" xfId="31009"/>
    <cellStyle name="Normal 3 17 2 8" xfId="31010"/>
    <cellStyle name="Normal 3 17 2 9" xfId="31011"/>
    <cellStyle name="Normal 3 17 20" xfId="31012"/>
    <cellStyle name="Normal 3 17 21" xfId="31013"/>
    <cellStyle name="Normal 3 17 22" xfId="31014"/>
    <cellStyle name="Normal 3 17 23" xfId="31015"/>
    <cellStyle name="Normal 3 17 24" xfId="31016"/>
    <cellStyle name="Normal 3 17 25" xfId="31017"/>
    <cellStyle name="Normal 3 17 3" xfId="31018"/>
    <cellStyle name="Normal 3 17 3 10" xfId="31019"/>
    <cellStyle name="Normal 3 17 3 11" xfId="31020"/>
    <cellStyle name="Normal 3 17 3 12" xfId="31021"/>
    <cellStyle name="Normal 3 17 3 13" xfId="31022"/>
    <cellStyle name="Normal 3 17 3 14" xfId="31023"/>
    <cellStyle name="Normal 3 17 3 15" xfId="31024"/>
    <cellStyle name="Normal 3 17 3 16" xfId="31025"/>
    <cellStyle name="Normal 3 17 3 17" xfId="31026"/>
    <cellStyle name="Normal 3 17 3 18" xfId="31027"/>
    <cellStyle name="Normal 3 17 3 2" xfId="31028"/>
    <cellStyle name="Normal 3 17 3 2 10" xfId="31029"/>
    <cellStyle name="Normal 3 17 3 2 11" xfId="31030"/>
    <cellStyle name="Normal 3 17 3 2 12" xfId="31031"/>
    <cellStyle name="Normal 3 17 3 2 13" xfId="31032"/>
    <cellStyle name="Normal 3 17 3 2 2" xfId="31033"/>
    <cellStyle name="Normal 3 17 3 2 2 2" xfId="31034"/>
    <cellStyle name="Normal 3 17 3 2 2 2 2" xfId="31035"/>
    <cellStyle name="Normal 3 17 3 2 2 3" xfId="31036"/>
    <cellStyle name="Normal 3 17 3 2 2 4" xfId="31037"/>
    <cellStyle name="Normal 3 17 3 2 2 5" xfId="31038"/>
    <cellStyle name="Normal 3 17 3 2 3" xfId="31039"/>
    <cellStyle name="Normal 3 17 3 2 3 2" xfId="31040"/>
    <cellStyle name="Normal 3 17 3 2 4" xfId="31041"/>
    <cellStyle name="Normal 3 17 3 2 4 2" xfId="31042"/>
    <cellStyle name="Normal 3 17 3 2 5" xfId="31043"/>
    <cellStyle name="Normal 3 17 3 2 5 2" xfId="31044"/>
    <cellStyle name="Normal 3 17 3 2 6" xfId="31045"/>
    <cellStyle name="Normal 3 17 3 2 6 2" xfId="31046"/>
    <cellStyle name="Normal 3 17 3 2 7" xfId="31047"/>
    <cellStyle name="Normal 3 17 3 2 8" xfId="31048"/>
    <cellStyle name="Normal 3 17 3 2 9" xfId="31049"/>
    <cellStyle name="Normal 3 17 3 3" xfId="31050"/>
    <cellStyle name="Normal 3 17 3 3 2" xfId="31051"/>
    <cellStyle name="Normal 3 17 3 3 2 2" xfId="31052"/>
    <cellStyle name="Normal 3 17 3 3 3" xfId="31053"/>
    <cellStyle name="Normal 3 17 3 3 4" xfId="31054"/>
    <cellStyle name="Normal 3 17 3 3 5" xfId="31055"/>
    <cellStyle name="Normal 3 17 3 4" xfId="31056"/>
    <cellStyle name="Normal 3 17 3 4 2" xfId="31057"/>
    <cellStyle name="Normal 3 17 3 5" xfId="31058"/>
    <cellStyle name="Normal 3 17 3 5 2" xfId="31059"/>
    <cellStyle name="Normal 3 17 3 6" xfId="31060"/>
    <cellStyle name="Normal 3 17 3 6 2" xfId="31061"/>
    <cellStyle name="Normal 3 17 3 7" xfId="31062"/>
    <cellStyle name="Normal 3 17 3 7 2" xfId="31063"/>
    <cellStyle name="Normal 3 17 3 8" xfId="31064"/>
    <cellStyle name="Normal 3 17 3 9" xfId="31065"/>
    <cellStyle name="Normal 3 17 4" xfId="31066"/>
    <cellStyle name="Normal 3 17 4 10" xfId="31067"/>
    <cellStyle name="Normal 3 17 4 11" xfId="31068"/>
    <cellStyle name="Normal 3 17 4 12" xfId="31069"/>
    <cellStyle name="Normal 3 17 4 13" xfId="31070"/>
    <cellStyle name="Normal 3 17 4 14" xfId="31071"/>
    <cellStyle name="Normal 3 17 4 15" xfId="31072"/>
    <cellStyle name="Normal 3 17 4 16" xfId="31073"/>
    <cellStyle name="Normal 3 17 4 17" xfId="31074"/>
    <cellStyle name="Normal 3 17 4 18" xfId="31075"/>
    <cellStyle name="Normal 3 17 4 2" xfId="31076"/>
    <cellStyle name="Normal 3 17 4 2 10" xfId="31077"/>
    <cellStyle name="Normal 3 17 4 2 11" xfId="31078"/>
    <cellStyle name="Normal 3 17 4 2 12" xfId="31079"/>
    <cellStyle name="Normal 3 17 4 2 13" xfId="31080"/>
    <cellStyle name="Normal 3 17 4 2 2" xfId="31081"/>
    <cellStyle name="Normal 3 17 4 2 2 2" xfId="31082"/>
    <cellStyle name="Normal 3 17 4 2 2 2 2" xfId="31083"/>
    <cellStyle name="Normal 3 17 4 2 2 3" xfId="31084"/>
    <cellStyle name="Normal 3 17 4 2 2 4" xfId="31085"/>
    <cellStyle name="Normal 3 17 4 2 2 5" xfId="31086"/>
    <cellStyle name="Normal 3 17 4 2 3" xfId="31087"/>
    <cellStyle name="Normal 3 17 4 2 3 2" xfId="31088"/>
    <cellStyle name="Normal 3 17 4 2 4" xfId="31089"/>
    <cellStyle name="Normal 3 17 4 2 4 2" xfId="31090"/>
    <cellStyle name="Normal 3 17 4 2 5" xfId="31091"/>
    <cellStyle name="Normal 3 17 4 2 5 2" xfId="31092"/>
    <cellStyle name="Normal 3 17 4 2 6" xfId="31093"/>
    <cellStyle name="Normal 3 17 4 2 6 2" xfId="31094"/>
    <cellStyle name="Normal 3 17 4 2 7" xfId="31095"/>
    <cellStyle name="Normal 3 17 4 2 8" xfId="31096"/>
    <cellStyle name="Normal 3 17 4 2 9" xfId="31097"/>
    <cellStyle name="Normal 3 17 4 3" xfId="31098"/>
    <cellStyle name="Normal 3 17 4 3 2" xfId="31099"/>
    <cellStyle name="Normal 3 17 4 3 2 2" xfId="31100"/>
    <cellStyle name="Normal 3 17 4 3 3" xfId="31101"/>
    <cellStyle name="Normal 3 17 4 3 4" xfId="31102"/>
    <cellStyle name="Normal 3 17 4 3 5" xfId="31103"/>
    <cellStyle name="Normal 3 17 4 4" xfId="31104"/>
    <cellStyle name="Normal 3 17 4 4 2" xfId="31105"/>
    <cellStyle name="Normal 3 17 4 5" xfId="31106"/>
    <cellStyle name="Normal 3 17 4 5 2" xfId="31107"/>
    <cellStyle name="Normal 3 17 4 6" xfId="31108"/>
    <cellStyle name="Normal 3 17 4 6 2" xfId="31109"/>
    <cellStyle name="Normal 3 17 4 7" xfId="31110"/>
    <cellStyle name="Normal 3 17 4 7 2" xfId="31111"/>
    <cellStyle name="Normal 3 17 4 8" xfId="31112"/>
    <cellStyle name="Normal 3 17 4 9" xfId="31113"/>
    <cellStyle name="Normal 3 17 5" xfId="31114"/>
    <cellStyle name="Normal 3 17 5 10" xfId="31115"/>
    <cellStyle name="Normal 3 17 5 11" xfId="31116"/>
    <cellStyle name="Normal 3 17 5 12" xfId="31117"/>
    <cellStyle name="Normal 3 17 5 13" xfId="31118"/>
    <cellStyle name="Normal 3 17 5 14" xfId="31119"/>
    <cellStyle name="Normal 3 17 5 15" xfId="31120"/>
    <cellStyle name="Normal 3 17 5 16" xfId="31121"/>
    <cellStyle name="Normal 3 17 5 17" xfId="31122"/>
    <cellStyle name="Normal 3 17 5 2" xfId="31123"/>
    <cellStyle name="Normal 3 17 5 2 10" xfId="31124"/>
    <cellStyle name="Normal 3 17 5 2 11" xfId="31125"/>
    <cellStyle name="Normal 3 17 5 2 12" xfId="31126"/>
    <cellStyle name="Normal 3 17 5 2 13" xfId="31127"/>
    <cellStyle name="Normal 3 17 5 2 2" xfId="31128"/>
    <cellStyle name="Normal 3 17 5 2 2 2" xfId="31129"/>
    <cellStyle name="Normal 3 17 5 2 2 2 2" xfId="31130"/>
    <cellStyle name="Normal 3 17 5 2 2 3" xfId="31131"/>
    <cellStyle name="Normal 3 17 5 2 2 4" xfId="31132"/>
    <cellStyle name="Normal 3 17 5 2 2 5" xfId="31133"/>
    <cellStyle name="Normal 3 17 5 2 3" xfId="31134"/>
    <cellStyle name="Normal 3 17 5 2 3 2" xfId="31135"/>
    <cellStyle name="Normal 3 17 5 2 4" xfId="31136"/>
    <cellStyle name="Normal 3 17 5 2 4 2" xfId="31137"/>
    <cellStyle name="Normal 3 17 5 2 5" xfId="31138"/>
    <cellStyle name="Normal 3 17 5 2 5 2" xfId="31139"/>
    <cellStyle name="Normal 3 17 5 2 6" xfId="31140"/>
    <cellStyle name="Normal 3 17 5 2 6 2" xfId="31141"/>
    <cellStyle name="Normal 3 17 5 2 7" xfId="31142"/>
    <cellStyle name="Normal 3 17 5 2 8" xfId="31143"/>
    <cellStyle name="Normal 3 17 5 2 9" xfId="31144"/>
    <cellStyle name="Normal 3 17 5 3" xfId="31145"/>
    <cellStyle name="Normal 3 17 5 3 2" xfId="31146"/>
    <cellStyle name="Normal 3 17 5 3 2 2" xfId="31147"/>
    <cellStyle name="Normal 3 17 5 3 3" xfId="31148"/>
    <cellStyle name="Normal 3 17 5 3 4" xfId="31149"/>
    <cellStyle name="Normal 3 17 5 3 5" xfId="31150"/>
    <cellStyle name="Normal 3 17 5 4" xfId="31151"/>
    <cellStyle name="Normal 3 17 5 4 2" xfId="31152"/>
    <cellStyle name="Normal 3 17 5 5" xfId="31153"/>
    <cellStyle name="Normal 3 17 5 5 2" xfId="31154"/>
    <cellStyle name="Normal 3 17 5 6" xfId="31155"/>
    <cellStyle name="Normal 3 17 5 6 2" xfId="31156"/>
    <cellStyle name="Normal 3 17 5 7" xfId="31157"/>
    <cellStyle name="Normal 3 17 5 7 2" xfId="31158"/>
    <cellStyle name="Normal 3 17 5 8" xfId="31159"/>
    <cellStyle name="Normal 3 17 5 9" xfId="31160"/>
    <cellStyle name="Normal 3 17 6" xfId="31161"/>
    <cellStyle name="Normal 3 17 6 10" xfId="31162"/>
    <cellStyle name="Normal 3 17 6 11" xfId="31163"/>
    <cellStyle name="Normal 3 17 6 12" xfId="31164"/>
    <cellStyle name="Normal 3 17 6 13" xfId="31165"/>
    <cellStyle name="Normal 3 17 6 14" xfId="31166"/>
    <cellStyle name="Normal 3 17 6 15" xfId="31167"/>
    <cellStyle name="Normal 3 17 6 16" xfId="31168"/>
    <cellStyle name="Normal 3 17 6 17" xfId="31169"/>
    <cellStyle name="Normal 3 17 6 2" xfId="31170"/>
    <cellStyle name="Normal 3 17 6 2 10" xfId="31171"/>
    <cellStyle name="Normal 3 17 6 2 11" xfId="31172"/>
    <cellStyle name="Normal 3 17 6 2 12" xfId="31173"/>
    <cellStyle name="Normal 3 17 6 2 13" xfId="31174"/>
    <cellStyle name="Normal 3 17 6 2 2" xfId="31175"/>
    <cellStyle name="Normal 3 17 6 2 2 2" xfId="31176"/>
    <cellStyle name="Normal 3 17 6 2 2 2 2" xfId="31177"/>
    <cellStyle name="Normal 3 17 6 2 2 3" xfId="31178"/>
    <cellStyle name="Normal 3 17 6 2 2 4" xfId="31179"/>
    <cellStyle name="Normal 3 17 6 2 2 5" xfId="31180"/>
    <cellStyle name="Normal 3 17 6 2 3" xfId="31181"/>
    <cellStyle name="Normal 3 17 6 2 3 2" xfId="31182"/>
    <cellStyle name="Normal 3 17 6 2 4" xfId="31183"/>
    <cellStyle name="Normal 3 17 6 2 4 2" xfId="31184"/>
    <cellStyle name="Normal 3 17 6 2 5" xfId="31185"/>
    <cellStyle name="Normal 3 17 6 2 5 2" xfId="31186"/>
    <cellStyle name="Normal 3 17 6 2 6" xfId="31187"/>
    <cellStyle name="Normal 3 17 6 2 6 2" xfId="31188"/>
    <cellStyle name="Normal 3 17 6 2 7" xfId="31189"/>
    <cellStyle name="Normal 3 17 6 2 8" xfId="31190"/>
    <cellStyle name="Normal 3 17 6 2 9" xfId="31191"/>
    <cellStyle name="Normal 3 17 6 3" xfId="31192"/>
    <cellStyle name="Normal 3 17 6 3 2" xfId="31193"/>
    <cellStyle name="Normal 3 17 6 3 2 2" xfId="31194"/>
    <cellStyle name="Normal 3 17 6 3 3" xfId="31195"/>
    <cellStyle name="Normal 3 17 6 3 4" xfId="31196"/>
    <cellStyle name="Normal 3 17 6 3 5" xfId="31197"/>
    <cellStyle name="Normal 3 17 6 4" xfId="31198"/>
    <cellStyle name="Normal 3 17 6 4 2" xfId="31199"/>
    <cellStyle name="Normal 3 17 6 5" xfId="31200"/>
    <cellStyle name="Normal 3 17 6 5 2" xfId="31201"/>
    <cellStyle name="Normal 3 17 6 6" xfId="31202"/>
    <cellStyle name="Normal 3 17 6 6 2" xfId="31203"/>
    <cellStyle name="Normal 3 17 6 7" xfId="31204"/>
    <cellStyle name="Normal 3 17 6 7 2" xfId="31205"/>
    <cellStyle name="Normal 3 17 6 8" xfId="31206"/>
    <cellStyle name="Normal 3 17 6 9" xfId="31207"/>
    <cellStyle name="Normal 3 17 7" xfId="31208"/>
    <cellStyle name="Normal 3 17 7 10" xfId="31209"/>
    <cellStyle name="Normal 3 17 7 11" xfId="31210"/>
    <cellStyle name="Normal 3 17 7 12" xfId="31211"/>
    <cellStyle name="Normal 3 17 7 13" xfId="31212"/>
    <cellStyle name="Normal 3 17 7 14" xfId="31213"/>
    <cellStyle name="Normal 3 17 7 15" xfId="31214"/>
    <cellStyle name="Normal 3 17 7 16" xfId="31215"/>
    <cellStyle name="Normal 3 17 7 17" xfId="31216"/>
    <cellStyle name="Normal 3 17 7 2" xfId="31217"/>
    <cellStyle name="Normal 3 17 7 2 10" xfId="31218"/>
    <cellStyle name="Normal 3 17 7 2 11" xfId="31219"/>
    <cellStyle name="Normal 3 17 7 2 12" xfId="31220"/>
    <cellStyle name="Normal 3 17 7 2 13" xfId="31221"/>
    <cellStyle name="Normal 3 17 7 2 2" xfId="31222"/>
    <cellStyle name="Normal 3 17 7 2 2 2" xfId="31223"/>
    <cellStyle name="Normal 3 17 7 2 2 2 2" xfId="31224"/>
    <cellStyle name="Normal 3 17 7 2 2 3" xfId="31225"/>
    <cellStyle name="Normal 3 17 7 2 2 4" xfId="31226"/>
    <cellStyle name="Normal 3 17 7 2 2 5" xfId="31227"/>
    <cellStyle name="Normal 3 17 7 2 3" xfId="31228"/>
    <cellStyle name="Normal 3 17 7 2 3 2" xfId="31229"/>
    <cellStyle name="Normal 3 17 7 2 4" xfId="31230"/>
    <cellStyle name="Normal 3 17 7 2 4 2" xfId="31231"/>
    <cellStyle name="Normal 3 17 7 2 5" xfId="31232"/>
    <cellStyle name="Normal 3 17 7 2 5 2" xfId="31233"/>
    <cellStyle name="Normal 3 17 7 2 6" xfId="31234"/>
    <cellStyle name="Normal 3 17 7 2 6 2" xfId="31235"/>
    <cellStyle name="Normal 3 17 7 2 7" xfId="31236"/>
    <cellStyle name="Normal 3 17 7 2 8" xfId="31237"/>
    <cellStyle name="Normal 3 17 7 2 9" xfId="31238"/>
    <cellStyle name="Normal 3 17 7 3" xfId="31239"/>
    <cellStyle name="Normal 3 17 7 3 2" xfId="31240"/>
    <cellStyle name="Normal 3 17 7 3 2 2" xfId="31241"/>
    <cellStyle name="Normal 3 17 7 3 3" xfId="31242"/>
    <cellStyle name="Normal 3 17 7 3 4" xfId="31243"/>
    <cellStyle name="Normal 3 17 7 3 5" xfId="31244"/>
    <cellStyle name="Normal 3 17 7 4" xfId="31245"/>
    <cellStyle name="Normal 3 17 7 4 2" xfId="31246"/>
    <cellStyle name="Normal 3 17 7 5" xfId="31247"/>
    <cellStyle name="Normal 3 17 7 5 2" xfId="31248"/>
    <cellStyle name="Normal 3 17 7 6" xfId="31249"/>
    <cellStyle name="Normal 3 17 7 6 2" xfId="31250"/>
    <cellStyle name="Normal 3 17 7 7" xfId="31251"/>
    <cellStyle name="Normal 3 17 7 7 2" xfId="31252"/>
    <cellStyle name="Normal 3 17 7 8" xfId="31253"/>
    <cellStyle name="Normal 3 17 7 9" xfId="31254"/>
    <cellStyle name="Normal 3 17 8" xfId="31255"/>
    <cellStyle name="Normal 3 17 8 10" xfId="31256"/>
    <cellStyle name="Normal 3 17 8 11" xfId="31257"/>
    <cellStyle name="Normal 3 17 8 12" xfId="31258"/>
    <cellStyle name="Normal 3 17 8 13" xfId="31259"/>
    <cellStyle name="Normal 3 17 8 14" xfId="31260"/>
    <cellStyle name="Normal 3 17 8 15" xfId="31261"/>
    <cellStyle name="Normal 3 17 8 2" xfId="31262"/>
    <cellStyle name="Normal 3 17 8 2 2" xfId="31263"/>
    <cellStyle name="Normal 3 17 8 2 2 2" xfId="31264"/>
    <cellStyle name="Normal 3 17 8 2 3" xfId="31265"/>
    <cellStyle name="Normal 3 17 8 2 3 2" xfId="31266"/>
    <cellStyle name="Normal 3 17 8 2 4" xfId="31267"/>
    <cellStyle name="Normal 3 17 8 2 4 2" xfId="31268"/>
    <cellStyle name="Normal 3 17 8 2 5" xfId="31269"/>
    <cellStyle name="Normal 3 17 8 2 5 2" xfId="31270"/>
    <cellStyle name="Normal 3 17 8 2 6" xfId="31271"/>
    <cellStyle name="Normal 3 17 8 2 7" xfId="31272"/>
    <cellStyle name="Normal 3 17 8 2 8" xfId="31273"/>
    <cellStyle name="Normal 3 17 8 2 9" xfId="31274"/>
    <cellStyle name="Normal 3 17 8 3" xfId="31275"/>
    <cellStyle name="Normal 3 17 8 3 2" xfId="31276"/>
    <cellStyle name="Normal 3 17 8 3 2 2" xfId="31277"/>
    <cellStyle name="Normal 3 17 8 3 3" xfId="31278"/>
    <cellStyle name="Normal 3 17 8 3 4" xfId="31279"/>
    <cellStyle name="Normal 3 17 8 3 5" xfId="31280"/>
    <cellStyle name="Normal 3 17 8 4" xfId="31281"/>
    <cellStyle name="Normal 3 17 8 4 2" xfId="31282"/>
    <cellStyle name="Normal 3 17 8 5" xfId="31283"/>
    <cellStyle name="Normal 3 17 8 5 2" xfId="31284"/>
    <cellStyle name="Normal 3 17 8 6" xfId="31285"/>
    <cellStyle name="Normal 3 17 8 6 2" xfId="31286"/>
    <cellStyle name="Normal 3 17 8 7" xfId="31287"/>
    <cellStyle name="Normal 3 17 8 7 2" xfId="31288"/>
    <cellStyle name="Normal 3 17 8 8" xfId="31289"/>
    <cellStyle name="Normal 3 17 8 9" xfId="31290"/>
    <cellStyle name="Normal 3 17 9" xfId="31291"/>
    <cellStyle name="Normal 3 17 9 10" xfId="31292"/>
    <cellStyle name="Normal 3 17 9 11" xfId="31293"/>
    <cellStyle name="Normal 3 17 9 12" xfId="31294"/>
    <cellStyle name="Normal 3 17 9 13" xfId="31295"/>
    <cellStyle name="Normal 3 17 9 14" xfId="31296"/>
    <cellStyle name="Normal 3 17 9 15" xfId="31297"/>
    <cellStyle name="Normal 3 17 9 2" xfId="31298"/>
    <cellStyle name="Normal 3 17 9 2 2" xfId="31299"/>
    <cellStyle name="Normal 3 17 9 2 2 2" xfId="31300"/>
    <cellStyle name="Normal 3 17 9 2 3" xfId="31301"/>
    <cellStyle name="Normal 3 17 9 2 3 2" xfId="31302"/>
    <cellStyle name="Normal 3 17 9 2 4" xfId="31303"/>
    <cellStyle name="Normal 3 17 9 2 4 2" xfId="31304"/>
    <cellStyle name="Normal 3 17 9 2 5" xfId="31305"/>
    <cellStyle name="Normal 3 17 9 2 5 2" xfId="31306"/>
    <cellStyle name="Normal 3 17 9 2 6" xfId="31307"/>
    <cellStyle name="Normal 3 17 9 2 7" xfId="31308"/>
    <cellStyle name="Normal 3 17 9 2 8" xfId="31309"/>
    <cellStyle name="Normal 3 17 9 2 9" xfId="31310"/>
    <cellStyle name="Normal 3 17 9 3" xfId="31311"/>
    <cellStyle name="Normal 3 17 9 3 2" xfId="31312"/>
    <cellStyle name="Normal 3 17 9 3 2 2" xfId="31313"/>
    <cellStyle name="Normal 3 17 9 3 3" xfId="31314"/>
    <cellStyle name="Normal 3 17 9 3 4" xfId="31315"/>
    <cellStyle name="Normal 3 17 9 3 5" xfId="31316"/>
    <cellStyle name="Normal 3 17 9 4" xfId="31317"/>
    <cellStyle name="Normal 3 17 9 4 2" xfId="31318"/>
    <cellStyle name="Normal 3 17 9 5" xfId="31319"/>
    <cellStyle name="Normal 3 17 9 5 2" xfId="31320"/>
    <cellStyle name="Normal 3 17 9 6" xfId="31321"/>
    <cellStyle name="Normal 3 17 9 6 2" xfId="31322"/>
    <cellStyle name="Normal 3 17 9 7" xfId="31323"/>
    <cellStyle name="Normal 3 17 9 7 2" xfId="31324"/>
    <cellStyle name="Normal 3 17 9 8" xfId="31325"/>
    <cellStyle name="Normal 3 17 9 9" xfId="31326"/>
    <cellStyle name="Normal 3 18" xfId="31327"/>
    <cellStyle name="Normal 3 18 10" xfId="31328"/>
    <cellStyle name="Normal 3 18 10 10" xfId="31329"/>
    <cellStyle name="Normal 3 18 10 11" xfId="31330"/>
    <cellStyle name="Normal 3 18 10 12" xfId="31331"/>
    <cellStyle name="Normal 3 18 10 13" xfId="31332"/>
    <cellStyle name="Normal 3 18 10 14" xfId="31333"/>
    <cellStyle name="Normal 3 18 10 2" xfId="31334"/>
    <cellStyle name="Normal 3 18 10 2 2" xfId="31335"/>
    <cellStyle name="Normal 3 18 10 2 2 2" xfId="31336"/>
    <cellStyle name="Normal 3 18 10 2 3" xfId="31337"/>
    <cellStyle name="Normal 3 18 10 2 3 2" xfId="31338"/>
    <cellStyle name="Normal 3 18 10 2 4" xfId="31339"/>
    <cellStyle name="Normal 3 18 10 2 4 2" xfId="31340"/>
    <cellStyle name="Normal 3 18 10 2 5" xfId="31341"/>
    <cellStyle name="Normal 3 18 10 2 5 2" xfId="31342"/>
    <cellStyle name="Normal 3 18 10 2 6" xfId="31343"/>
    <cellStyle name="Normal 3 18 10 2 7" xfId="31344"/>
    <cellStyle name="Normal 3 18 10 2 8" xfId="31345"/>
    <cellStyle name="Normal 3 18 10 2 9" xfId="31346"/>
    <cellStyle name="Normal 3 18 10 3" xfId="31347"/>
    <cellStyle name="Normal 3 18 10 3 2" xfId="31348"/>
    <cellStyle name="Normal 3 18 10 3 2 2" xfId="31349"/>
    <cellStyle name="Normal 3 18 10 3 3" xfId="31350"/>
    <cellStyle name="Normal 3 18 10 3 4" xfId="31351"/>
    <cellStyle name="Normal 3 18 10 3 5" xfId="31352"/>
    <cellStyle name="Normal 3 18 10 4" xfId="31353"/>
    <cellStyle name="Normal 3 18 10 4 2" xfId="31354"/>
    <cellStyle name="Normal 3 18 10 5" xfId="31355"/>
    <cellStyle name="Normal 3 18 10 5 2" xfId="31356"/>
    <cellStyle name="Normal 3 18 10 6" xfId="31357"/>
    <cellStyle name="Normal 3 18 10 6 2" xfId="31358"/>
    <cellStyle name="Normal 3 18 10 7" xfId="31359"/>
    <cellStyle name="Normal 3 18 10 7 2" xfId="31360"/>
    <cellStyle name="Normal 3 18 10 8" xfId="31361"/>
    <cellStyle name="Normal 3 18 10 9" xfId="31362"/>
    <cellStyle name="Normal 3 18 11" xfId="31363"/>
    <cellStyle name="Normal 3 18 11 2" xfId="31364"/>
    <cellStyle name="Normal 3 18 11 2 2" xfId="31365"/>
    <cellStyle name="Normal 3 18 11 3" xfId="31366"/>
    <cellStyle name="Normal 3 18 11 3 2" xfId="31367"/>
    <cellStyle name="Normal 3 18 11 4" xfId="31368"/>
    <cellStyle name="Normal 3 18 11 4 2" xfId="31369"/>
    <cellStyle name="Normal 3 18 11 5" xfId="31370"/>
    <cellStyle name="Normal 3 18 11 5 2" xfId="31371"/>
    <cellStyle name="Normal 3 18 11 6" xfId="31372"/>
    <cellStyle name="Normal 3 18 11 7" xfId="31373"/>
    <cellStyle name="Normal 3 18 11 8" xfId="31374"/>
    <cellStyle name="Normal 3 18 11 9" xfId="31375"/>
    <cellStyle name="Normal 3 18 12" xfId="31376"/>
    <cellStyle name="Normal 3 18 12 2" xfId="31377"/>
    <cellStyle name="Normal 3 18 12 2 2" xfId="31378"/>
    <cellStyle name="Normal 3 18 12 3" xfId="31379"/>
    <cellStyle name="Normal 3 18 12 4" xfId="31380"/>
    <cellStyle name="Normal 3 18 12 5" xfId="31381"/>
    <cellStyle name="Normal 3 18 13" xfId="31382"/>
    <cellStyle name="Normal 3 18 13 2" xfId="31383"/>
    <cellStyle name="Normal 3 18 14" xfId="31384"/>
    <cellStyle name="Normal 3 18 14 2" xfId="31385"/>
    <cellStyle name="Normal 3 18 15" xfId="31386"/>
    <cellStyle name="Normal 3 18 15 2" xfId="31387"/>
    <cellStyle name="Normal 3 18 16" xfId="31388"/>
    <cellStyle name="Normal 3 18 16 2" xfId="31389"/>
    <cellStyle name="Normal 3 18 17" xfId="31390"/>
    <cellStyle name="Normal 3 18 18" xfId="31391"/>
    <cellStyle name="Normal 3 18 19" xfId="31392"/>
    <cellStyle name="Normal 3 18 2" xfId="31393"/>
    <cellStyle name="Normal 3 18 2 10" xfId="31394"/>
    <cellStyle name="Normal 3 18 2 11" xfId="31395"/>
    <cellStyle name="Normal 3 18 2 12" xfId="31396"/>
    <cellStyle name="Normal 3 18 2 13" xfId="31397"/>
    <cellStyle name="Normal 3 18 2 14" xfId="31398"/>
    <cellStyle name="Normal 3 18 2 15" xfId="31399"/>
    <cellStyle name="Normal 3 18 2 16" xfId="31400"/>
    <cellStyle name="Normal 3 18 2 17" xfId="31401"/>
    <cellStyle name="Normal 3 18 2 18" xfId="31402"/>
    <cellStyle name="Normal 3 18 2 2" xfId="31403"/>
    <cellStyle name="Normal 3 18 2 2 10" xfId="31404"/>
    <cellStyle name="Normal 3 18 2 2 11" xfId="31405"/>
    <cellStyle name="Normal 3 18 2 2 12" xfId="31406"/>
    <cellStyle name="Normal 3 18 2 2 13" xfId="31407"/>
    <cellStyle name="Normal 3 18 2 2 2" xfId="31408"/>
    <cellStyle name="Normal 3 18 2 2 2 2" xfId="31409"/>
    <cellStyle name="Normal 3 18 2 2 2 2 2" xfId="31410"/>
    <cellStyle name="Normal 3 18 2 2 2 3" xfId="31411"/>
    <cellStyle name="Normal 3 18 2 2 2 4" xfId="31412"/>
    <cellStyle name="Normal 3 18 2 2 2 5" xfId="31413"/>
    <cellStyle name="Normal 3 18 2 2 3" xfId="31414"/>
    <cellStyle name="Normal 3 18 2 2 3 2" xfId="31415"/>
    <cellStyle name="Normal 3 18 2 2 4" xfId="31416"/>
    <cellStyle name="Normal 3 18 2 2 4 2" xfId="31417"/>
    <cellStyle name="Normal 3 18 2 2 5" xfId="31418"/>
    <cellStyle name="Normal 3 18 2 2 5 2" xfId="31419"/>
    <cellStyle name="Normal 3 18 2 2 6" xfId="31420"/>
    <cellStyle name="Normal 3 18 2 2 6 2" xfId="31421"/>
    <cellStyle name="Normal 3 18 2 2 7" xfId="31422"/>
    <cellStyle name="Normal 3 18 2 2 8" xfId="31423"/>
    <cellStyle name="Normal 3 18 2 2 9" xfId="31424"/>
    <cellStyle name="Normal 3 18 2 3" xfId="31425"/>
    <cellStyle name="Normal 3 18 2 3 2" xfId="31426"/>
    <cellStyle name="Normal 3 18 2 3 2 2" xfId="31427"/>
    <cellStyle name="Normal 3 18 2 3 3" xfId="31428"/>
    <cellStyle name="Normal 3 18 2 3 4" xfId="31429"/>
    <cellStyle name="Normal 3 18 2 3 5" xfId="31430"/>
    <cellStyle name="Normal 3 18 2 4" xfId="31431"/>
    <cellStyle name="Normal 3 18 2 4 2" xfId="31432"/>
    <cellStyle name="Normal 3 18 2 5" xfId="31433"/>
    <cellStyle name="Normal 3 18 2 5 2" xfId="31434"/>
    <cellStyle name="Normal 3 18 2 6" xfId="31435"/>
    <cellStyle name="Normal 3 18 2 6 2" xfId="31436"/>
    <cellStyle name="Normal 3 18 2 7" xfId="31437"/>
    <cellStyle name="Normal 3 18 2 7 2" xfId="31438"/>
    <cellStyle name="Normal 3 18 2 8" xfId="31439"/>
    <cellStyle name="Normal 3 18 2 9" xfId="31440"/>
    <cellStyle name="Normal 3 18 20" xfId="31441"/>
    <cellStyle name="Normal 3 18 21" xfId="31442"/>
    <cellStyle name="Normal 3 18 22" xfId="31443"/>
    <cellStyle name="Normal 3 18 23" xfId="31444"/>
    <cellStyle name="Normal 3 18 24" xfId="31445"/>
    <cellStyle name="Normal 3 18 25" xfId="31446"/>
    <cellStyle name="Normal 3 18 3" xfId="31447"/>
    <cellStyle name="Normal 3 18 3 10" xfId="31448"/>
    <cellStyle name="Normal 3 18 3 11" xfId="31449"/>
    <cellStyle name="Normal 3 18 3 12" xfId="31450"/>
    <cellStyle name="Normal 3 18 3 13" xfId="31451"/>
    <cellStyle name="Normal 3 18 3 14" xfId="31452"/>
    <cellStyle name="Normal 3 18 3 15" xfId="31453"/>
    <cellStyle name="Normal 3 18 3 16" xfId="31454"/>
    <cellStyle name="Normal 3 18 3 17" xfId="31455"/>
    <cellStyle name="Normal 3 18 3 18" xfId="31456"/>
    <cellStyle name="Normal 3 18 3 2" xfId="31457"/>
    <cellStyle name="Normal 3 18 3 2 10" xfId="31458"/>
    <cellStyle name="Normal 3 18 3 2 11" xfId="31459"/>
    <cellStyle name="Normal 3 18 3 2 12" xfId="31460"/>
    <cellStyle name="Normal 3 18 3 2 13" xfId="31461"/>
    <cellStyle name="Normal 3 18 3 2 2" xfId="31462"/>
    <cellStyle name="Normal 3 18 3 2 2 2" xfId="31463"/>
    <cellStyle name="Normal 3 18 3 2 2 2 2" xfId="31464"/>
    <cellStyle name="Normal 3 18 3 2 2 3" xfId="31465"/>
    <cellStyle name="Normal 3 18 3 2 2 4" xfId="31466"/>
    <cellStyle name="Normal 3 18 3 2 2 5" xfId="31467"/>
    <cellStyle name="Normal 3 18 3 2 3" xfId="31468"/>
    <cellStyle name="Normal 3 18 3 2 3 2" xfId="31469"/>
    <cellStyle name="Normal 3 18 3 2 4" xfId="31470"/>
    <cellStyle name="Normal 3 18 3 2 4 2" xfId="31471"/>
    <cellStyle name="Normal 3 18 3 2 5" xfId="31472"/>
    <cellStyle name="Normal 3 18 3 2 5 2" xfId="31473"/>
    <cellStyle name="Normal 3 18 3 2 6" xfId="31474"/>
    <cellStyle name="Normal 3 18 3 2 6 2" xfId="31475"/>
    <cellStyle name="Normal 3 18 3 2 7" xfId="31476"/>
    <cellStyle name="Normal 3 18 3 2 8" xfId="31477"/>
    <cellStyle name="Normal 3 18 3 2 9" xfId="31478"/>
    <cellStyle name="Normal 3 18 3 3" xfId="31479"/>
    <cellStyle name="Normal 3 18 3 3 2" xfId="31480"/>
    <cellStyle name="Normal 3 18 3 3 2 2" xfId="31481"/>
    <cellStyle name="Normal 3 18 3 3 3" xfId="31482"/>
    <cellStyle name="Normal 3 18 3 3 4" xfId="31483"/>
    <cellStyle name="Normal 3 18 3 3 5" xfId="31484"/>
    <cellStyle name="Normal 3 18 3 4" xfId="31485"/>
    <cellStyle name="Normal 3 18 3 4 2" xfId="31486"/>
    <cellStyle name="Normal 3 18 3 5" xfId="31487"/>
    <cellStyle name="Normal 3 18 3 5 2" xfId="31488"/>
    <cellStyle name="Normal 3 18 3 6" xfId="31489"/>
    <cellStyle name="Normal 3 18 3 6 2" xfId="31490"/>
    <cellStyle name="Normal 3 18 3 7" xfId="31491"/>
    <cellStyle name="Normal 3 18 3 7 2" xfId="31492"/>
    <cellStyle name="Normal 3 18 3 8" xfId="31493"/>
    <cellStyle name="Normal 3 18 3 9" xfId="31494"/>
    <cellStyle name="Normal 3 18 4" xfId="31495"/>
    <cellStyle name="Normal 3 18 4 10" xfId="31496"/>
    <cellStyle name="Normal 3 18 4 11" xfId="31497"/>
    <cellStyle name="Normal 3 18 4 12" xfId="31498"/>
    <cellStyle name="Normal 3 18 4 13" xfId="31499"/>
    <cellStyle name="Normal 3 18 4 14" xfId="31500"/>
    <cellStyle name="Normal 3 18 4 15" xfId="31501"/>
    <cellStyle name="Normal 3 18 4 16" xfId="31502"/>
    <cellStyle name="Normal 3 18 4 17" xfId="31503"/>
    <cellStyle name="Normal 3 18 4 18" xfId="31504"/>
    <cellStyle name="Normal 3 18 4 2" xfId="31505"/>
    <cellStyle name="Normal 3 18 4 2 10" xfId="31506"/>
    <cellStyle name="Normal 3 18 4 2 11" xfId="31507"/>
    <cellStyle name="Normal 3 18 4 2 12" xfId="31508"/>
    <cellStyle name="Normal 3 18 4 2 13" xfId="31509"/>
    <cellStyle name="Normal 3 18 4 2 2" xfId="31510"/>
    <cellStyle name="Normal 3 18 4 2 2 2" xfId="31511"/>
    <cellStyle name="Normal 3 18 4 2 2 2 2" xfId="31512"/>
    <cellStyle name="Normal 3 18 4 2 2 3" xfId="31513"/>
    <cellStyle name="Normal 3 18 4 2 2 4" xfId="31514"/>
    <cellStyle name="Normal 3 18 4 2 2 5" xfId="31515"/>
    <cellStyle name="Normal 3 18 4 2 3" xfId="31516"/>
    <cellStyle name="Normal 3 18 4 2 3 2" xfId="31517"/>
    <cellStyle name="Normal 3 18 4 2 4" xfId="31518"/>
    <cellStyle name="Normal 3 18 4 2 4 2" xfId="31519"/>
    <cellStyle name="Normal 3 18 4 2 5" xfId="31520"/>
    <cellStyle name="Normal 3 18 4 2 5 2" xfId="31521"/>
    <cellStyle name="Normal 3 18 4 2 6" xfId="31522"/>
    <cellStyle name="Normal 3 18 4 2 6 2" xfId="31523"/>
    <cellStyle name="Normal 3 18 4 2 7" xfId="31524"/>
    <cellStyle name="Normal 3 18 4 2 8" xfId="31525"/>
    <cellStyle name="Normal 3 18 4 2 9" xfId="31526"/>
    <cellStyle name="Normal 3 18 4 3" xfId="31527"/>
    <cellStyle name="Normal 3 18 4 3 2" xfId="31528"/>
    <cellStyle name="Normal 3 18 4 3 2 2" xfId="31529"/>
    <cellStyle name="Normal 3 18 4 3 3" xfId="31530"/>
    <cellStyle name="Normal 3 18 4 3 4" xfId="31531"/>
    <cellStyle name="Normal 3 18 4 3 5" xfId="31532"/>
    <cellStyle name="Normal 3 18 4 4" xfId="31533"/>
    <cellStyle name="Normal 3 18 4 4 2" xfId="31534"/>
    <cellStyle name="Normal 3 18 4 5" xfId="31535"/>
    <cellStyle name="Normal 3 18 4 5 2" xfId="31536"/>
    <cellStyle name="Normal 3 18 4 6" xfId="31537"/>
    <cellStyle name="Normal 3 18 4 6 2" xfId="31538"/>
    <cellStyle name="Normal 3 18 4 7" xfId="31539"/>
    <cellStyle name="Normal 3 18 4 7 2" xfId="31540"/>
    <cellStyle name="Normal 3 18 4 8" xfId="31541"/>
    <cellStyle name="Normal 3 18 4 9" xfId="31542"/>
    <cellStyle name="Normal 3 18 5" xfId="31543"/>
    <cellStyle name="Normal 3 18 5 10" xfId="31544"/>
    <cellStyle name="Normal 3 18 5 11" xfId="31545"/>
    <cellStyle name="Normal 3 18 5 12" xfId="31546"/>
    <cellStyle name="Normal 3 18 5 13" xfId="31547"/>
    <cellStyle name="Normal 3 18 5 14" xfId="31548"/>
    <cellStyle name="Normal 3 18 5 15" xfId="31549"/>
    <cellStyle name="Normal 3 18 5 16" xfId="31550"/>
    <cellStyle name="Normal 3 18 5 17" xfId="31551"/>
    <cellStyle name="Normal 3 18 5 2" xfId="31552"/>
    <cellStyle name="Normal 3 18 5 2 10" xfId="31553"/>
    <cellStyle name="Normal 3 18 5 2 11" xfId="31554"/>
    <cellStyle name="Normal 3 18 5 2 12" xfId="31555"/>
    <cellStyle name="Normal 3 18 5 2 13" xfId="31556"/>
    <cellStyle name="Normal 3 18 5 2 2" xfId="31557"/>
    <cellStyle name="Normal 3 18 5 2 2 2" xfId="31558"/>
    <cellStyle name="Normal 3 18 5 2 2 2 2" xfId="31559"/>
    <cellStyle name="Normal 3 18 5 2 2 3" xfId="31560"/>
    <cellStyle name="Normal 3 18 5 2 2 4" xfId="31561"/>
    <cellStyle name="Normal 3 18 5 2 2 5" xfId="31562"/>
    <cellStyle name="Normal 3 18 5 2 3" xfId="31563"/>
    <cellStyle name="Normal 3 18 5 2 3 2" xfId="31564"/>
    <cellStyle name="Normal 3 18 5 2 4" xfId="31565"/>
    <cellStyle name="Normal 3 18 5 2 4 2" xfId="31566"/>
    <cellStyle name="Normal 3 18 5 2 5" xfId="31567"/>
    <cellStyle name="Normal 3 18 5 2 5 2" xfId="31568"/>
    <cellStyle name="Normal 3 18 5 2 6" xfId="31569"/>
    <cellStyle name="Normal 3 18 5 2 6 2" xfId="31570"/>
    <cellStyle name="Normal 3 18 5 2 7" xfId="31571"/>
    <cellStyle name="Normal 3 18 5 2 8" xfId="31572"/>
    <cellStyle name="Normal 3 18 5 2 9" xfId="31573"/>
    <cellStyle name="Normal 3 18 5 3" xfId="31574"/>
    <cellStyle name="Normal 3 18 5 3 2" xfId="31575"/>
    <cellStyle name="Normal 3 18 5 3 2 2" xfId="31576"/>
    <cellStyle name="Normal 3 18 5 3 3" xfId="31577"/>
    <cellStyle name="Normal 3 18 5 3 4" xfId="31578"/>
    <cellStyle name="Normal 3 18 5 3 5" xfId="31579"/>
    <cellStyle name="Normal 3 18 5 4" xfId="31580"/>
    <cellStyle name="Normal 3 18 5 4 2" xfId="31581"/>
    <cellStyle name="Normal 3 18 5 5" xfId="31582"/>
    <cellStyle name="Normal 3 18 5 5 2" xfId="31583"/>
    <cellStyle name="Normal 3 18 5 6" xfId="31584"/>
    <cellStyle name="Normal 3 18 5 6 2" xfId="31585"/>
    <cellStyle name="Normal 3 18 5 7" xfId="31586"/>
    <cellStyle name="Normal 3 18 5 7 2" xfId="31587"/>
    <cellStyle name="Normal 3 18 5 8" xfId="31588"/>
    <cellStyle name="Normal 3 18 5 9" xfId="31589"/>
    <cellStyle name="Normal 3 18 6" xfId="31590"/>
    <cellStyle name="Normal 3 18 6 10" xfId="31591"/>
    <cellStyle name="Normal 3 18 6 11" xfId="31592"/>
    <cellStyle name="Normal 3 18 6 12" xfId="31593"/>
    <cellStyle name="Normal 3 18 6 13" xfId="31594"/>
    <cellStyle name="Normal 3 18 6 14" xfId="31595"/>
    <cellStyle name="Normal 3 18 6 15" xfId="31596"/>
    <cellStyle name="Normal 3 18 6 16" xfId="31597"/>
    <cellStyle name="Normal 3 18 6 17" xfId="31598"/>
    <cellStyle name="Normal 3 18 6 2" xfId="31599"/>
    <cellStyle name="Normal 3 18 6 2 10" xfId="31600"/>
    <cellStyle name="Normal 3 18 6 2 11" xfId="31601"/>
    <cellStyle name="Normal 3 18 6 2 12" xfId="31602"/>
    <cellStyle name="Normal 3 18 6 2 13" xfId="31603"/>
    <cellStyle name="Normal 3 18 6 2 2" xfId="31604"/>
    <cellStyle name="Normal 3 18 6 2 2 2" xfId="31605"/>
    <cellStyle name="Normal 3 18 6 2 2 2 2" xfId="31606"/>
    <cellStyle name="Normal 3 18 6 2 2 3" xfId="31607"/>
    <cellStyle name="Normal 3 18 6 2 2 4" xfId="31608"/>
    <cellStyle name="Normal 3 18 6 2 2 5" xfId="31609"/>
    <cellStyle name="Normal 3 18 6 2 3" xfId="31610"/>
    <cellStyle name="Normal 3 18 6 2 3 2" xfId="31611"/>
    <cellStyle name="Normal 3 18 6 2 4" xfId="31612"/>
    <cellStyle name="Normal 3 18 6 2 4 2" xfId="31613"/>
    <cellStyle name="Normal 3 18 6 2 5" xfId="31614"/>
    <cellStyle name="Normal 3 18 6 2 5 2" xfId="31615"/>
    <cellStyle name="Normal 3 18 6 2 6" xfId="31616"/>
    <cellStyle name="Normal 3 18 6 2 6 2" xfId="31617"/>
    <cellStyle name="Normal 3 18 6 2 7" xfId="31618"/>
    <cellStyle name="Normal 3 18 6 2 8" xfId="31619"/>
    <cellStyle name="Normal 3 18 6 2 9" xfId="31620"/>
    <cellStyle name="Normal 3 18 6 3" xfId="31621"/>
    <cellStyle name="Normal 3 18 6 3 2" xfId="31622"/>
    <cellStyle name="Normal 3 18 6 3 2 2" xfId="31623"/>
    <cellStyle name="Normal 3 18 6 3 3" xfId="31624"/>
    <cellStyle name="Normal 3 18 6 3 4" xfId="31625"/>
    <cellStyle name="Normal 3 18 6 3 5" xfId="31626"/>
    <cellStyle name="Normal 3 18 6 4" xfId="31627"/>
    <cellStyle name="Normal 3 18 6 4 2" xfId="31628"/>
    <cellStyle name="Normal 3 18 6 5" xfId="31629"/>
    <cellStyle name="Normal 3 18 6 5 2" xfId="31630"/>
    <cellStyle name="Normal 3 18 6 6" xfId="31631"/>
    <cellStyle name="Normal 3 18 6 6 2" xfId="31632"/>
    <cellStyle name="Normal 3 18 6 7" xfId="31633"/>
    <cellStyle name="Normal 3 18 6 7 2" xfId="31634"/>
    <cellStyle name="Normal 3 18 6 8" xfId="31635"/>
    <cellStyle name="Normal 3 18 6 9" xfId="31636"/>
    <cellStyle name="Normal 3 18 7" xfId="31637"/>
    <cellStyle name="Normal 3 18 7 10" xfId="31638"/>
    <cellStyle name="Normal 3 18 7 11" xfId="31639"/>
    <cellStyle name="Normal 3 18 7 12" xfId="31640"/>
    <cellStyle name="Normal 3 18 7 13" xfId="31641"/>
    <cellStyle name="Normal 3 18 7 14" xfId="31642"/>
    <cellStyle name="Normal 3 18 7 15" xfId="31643"/>
    <cellStyle name="Normal 3 18 7 16" xfId="31644"/>
    <cellStyle name="Normal 3 18 7 17" xfId="31645"/>
    <cellStyle name="Normal 3 18 7 2" xfId="31646"/>
    <cellStyle name="Normal 3 18 7 2 10" xfId="31647"/>
    <cellStyle name="Normal 3 18 7 2 11" xfId="31648"/>
    <cellStyle name="Normal 3 18 7 2 12" xfId="31649"/>
    <cellStyle name="Normal 3 18 7 2 13" xfId="31650"/>
    <cellStyle name="Normal 3 18 7 2 2" xfId="31651"/>
    <cellStyle name="Normal 3 18 7 2 2 2" xfId="31652"/>
    <cellStyle name="Normal 3 18 7 2 2 2 2" xfId="31653"/>
    <cellStyle name="Normal 3 18 7 2 2 3" xfId="31654"/>
    <cellStyle name="Normal 3 18 7 2 2 4" xfId="31655"/>
    <cellStyle name="Normal 3 18 7 2 2 5" xfId="31656"/>
    <cellStyle name="Normal 3 18 7 2 3" xfId="31657"/>
    <cellStyle name="Normal 3 18 7 2 3 2" xfId="31658"/>
    <cellStyle name="Normal 3 18 7 2 4" xfId="31659"/>
    <cellStyle name="Normal 3 18 7 2 4 2" xfId="31660"/>
    <cellStyle name="Normal 3 18 7 2 5" xfId="31661"/>
    <cellStyle name="Normal 3 18 7 2 5 2" xfId="31662"/>
    <cellStyle name="Normal 3 18 7 2 6" xfId="31663"/>
    <cellStyle name="Normal 3 18 7 2 6 2" xfId="31664"/>
    <cellStyle name="Normal 3 18 7 2 7" xfId="31665"/>
    <cellStyle name="Normal 3 18 7 2 8" xfId="31666"/>
    <cellStyle name="Normal 3 18 7 2 9" xfId="31667"/>
    <cellStyle name="Normal 3 18 7 3" xfId="31668"/>
    <cellStyle name="Normal 3 18 7 3 2" xfId="31669"/>
    <cellStyle name="Normal 3 18 7 3 2 2" xfId="31670"/>
    <cellStyle name="Normal 3 18 7 3 3" xfId="31671"/>
    <cellStyle name="Normal 3 18 7 3 4" xfId="31672"/>
    <cellStyle name="Normal 3 18 7 3 5" xfId="31673"/>
    <cellStyle name="Normal 3 18 7 4" xfId="31674"/>
    <cellStyle name="Normal 3 18 7 4 2" xfId="31675"/>
    <cellStyle name="Normal 3 18 7 5" xfId="31676"/>
    <cellStyle name="Normal 3 18 7 5 2" xfId="31677"/>
    <cellStyle name="Normal 3 18 7 6" xfId="31678"/>
    <cellStyle name="Normal 3 18 7 6 2" xfId="31679"/>
    <cellStyle name="Normal 3 18 7 7" xfId="31680"/>
    <cellStyle name="Normal 3 18 7 7 2" xfId="31681"/>
    <cellStyle name="Normal 3 18 7 8" xfId="31682"/>
    <cellStyle name="Normal 3 18 7 9" xfId="31683"/>
    <cellStyle name="Normal 3 18 8" xfId="31684"/>
    <cellStyle name="Normal 3 18 8 10" xfId="31685"/>
    <cellStyle name="Normal 3 18 8 11" xfId="31686"/>
    <cellStyle name="Normal 3 18 8 12" xfId="31687"/>
    <cellStyle name="Normal 3 18 8 13" xfId="31688"/>
    <cellStyle name="Normal 3 18 8 14" xfId="31689"/>
    <cellStyle name="Normal 3 18 8 15" xfId="31690"/>
    <cellStyle name="Normal 3 18 8 2" xfId="31691"/>
    <cellStyle name="Normal 3 18 8 2 2" xfId="31692"/>
    <cellStyle name="Normal 3 18 8 2 2 2" xfId="31693"/>
    <cellStyle name="Normal 3 18 8 2 3" xfId="31694"/>
    <cellStyle name="Normal 3 18 8 2 3 2" xfId="31695"/>
    <cellStyle name="Normal 3 18 8 2 4" xfId="31696"/>
    <cellStyle name="Normal 3 18 8 2 4 2" xfId="31697"/>
    <cellStyle name="Normal 3 18 8 2 5" xfId="31698"/>
    <cellStyle name="Normal 3 18 8 2 5 2" xfId="31699"/>
    <cellStyle name="Normal 3 18 8 2 6" xfId="31700"/>
    <cellStyle name="Normal 3 18 8 2 7" xfId="31701"/>
    <cellStyle name="Normal 3 18 8 2 8" xfId="31702"/>
    <cellStyle name="Normal 3 18 8 2 9" xfId="31703"/>
    <cellStyle name="Normal 3 18 8 3" xfId="31704"/>
    <cellStyle name="Normal 3 18 8 3 2" xfId="31705"/>
    <cellStyle name="Normal 3 18 8 3 2 2" xfId="31706"/>
    <cellStyle name="Normal 3 18 8 3 3" xfId="31707"/>
    <cellStyle name="Normal 3 18 8 3 4" xfId="31708"/>
    <cellStyle name="Normal 3 18 8 3 5" xfId="31709"/>
    <cellStyle name="Normal 3 18 8 4" xfId="31710"/>
    <cellStyle name="Normal 3 18 8 4 2" xfId="31711"/>
    <cellStyle name="Normal 3 18 8 5" xfId="31712"/>
    <cellStyle name="Normal 3 18 8 5 2" xfId="31713"/>
    <cellStyle name="Normal 3 18 8 6" xfId="31714"/>
    <cellStyle name="Normal 3 18 8 6 2" xfId="31715"/>
    <cellStyle name="Normal 3 18 8 7" xfId="31716"/>
    <cellStyle name="Normal 3 18 8 7 2" xfId="31717"/>
    <cellStyle name="Normal 3 18 8 8" xfId="31718"/>
    <cellStyle name="Normal 3 18 8 9" xfId="31719"/>
    <cellStyle name="Normal 3 18 9" xfId="31720"/>
    <cellStyle name="Normal 3 18 9 10" xfId="31721"/>
    <cellStyle name="Normal 3 18 9 11" xfId="31722"/>
    <cellStyle name="Normal 3 18 9 12" xfId="31723"/>
    <cellStyle name="Normal 3 18 9 13" xfId="31724"/>
    <cellStyle name="Normal 3 18 9 14" xfId="31725"/>
    <cellStyle name="Normal 3 18 9 15" xfId="31726"/>
    <cellStyle name="Normal 3 18 9 2" xfId="31727"/>
    <cellStyle name="Normal 3 18 9 2 2" xfId="31728"/>
    <cellStyle name="Normal 3 18 9 2 2 2" xfId="31729"/>
    <cellStyle name="Normal 3 18 9 2 3" xfId="31730"/>
    <cellStyle name="Normal 3 18 9 2 3 2" xfId="31731"/>
    <cellStyle name="Normal 3 18 9 2 4" xfId="31732"/>
    <cellStyle name="Normal 3 18 9 2 4 2" xfId="31733"/>
    <cellStyle name="Normal 3 18 9 2 5" xfId="31734"/>
    <cellStyle name="Normal 3 18 9 2 5 2" xfId="31735"/>
    <cellStyle name="Normal 3 18 9 2 6" xfId="31736"/>
    <cellStyle name="Normal 3 18 9 2 7" xfId="31737"/>
    <cellStyle name="Normal 3 18 9 2 8" xfId="31738"/>
    <cellStyle name="Normal 3 18 9 2 9" xfId="31739"/>
    <cellStyle name="Normal 3 18 9 3" xfId="31740"/>
    <cellStyle name="Normal 3 18 9 3 2" xfId="31741"/>
    <cellStyle name="Normal 3 18 9 3 2 2" xfId="31742"/>
    <cellStyle name="Normal 3 18 9 3 3" xfId="31743"/>
    <cellStyle name="Normal 3 18 9 3 4" xfId="31744"/>
    <cellStyle name="Normal 3 18 9 3 5" xfId="31745"/>
    <cellStyle name="Normal 3 18 9 4" xfId="31746"/>
    <cellStyle name="Normal 3 18 9 4 2" xfId="31747"/>
    <cellStyle name="Normal 3 18 9 5" xfId="31748"/>
    <cellStyle name="Normal 3 18 9 5 2" xfId="31749"/>
    <cellStyle name="Normal 3 18 9 6" xfId="31750"/>
    <cellStyle name="Normal 3 18 9 6 2" xfId="31751"/>
    <cellStyle name="Normal 3 18 9 7" xfId="31752"/>
    <cellStyle name="Normal 3 18 9 7 2" xfId="31753"/>
    <cellStyle name="Normal 3 18 9 8" xfId="31754"/>
    <cellStyle name="Normal 3 18 9 9" xfId="31755"/>
    <cellStyle name="Normal 3 19" xfId="31756"/>
    <cellStyle name="Normal 3 19 10" xfId="31757"/>
    <cellStyle name="Normal 3 19 10 10" xfId="31758"/>
    <cellStyle name="Normal 3 19 10 11" xfId="31759"/>
    <cellStyle name="Normal 3 19 10 12" xfId="31760"/>
    <cellStyle name="Normal 3 19 10 13" xfId="31761"/>
    <cellStyle name="Normal 3 19 10 14" xfId="31762"/>
    <cellStyle name="Normal 3 19 10 2" xfId="31763"/>
    <cellStyle name="Normal 3 19 10 2 2" xfId="31764"/>
    <cellStyle name="Normal 3 19 10 2 2 2" xfId="31765"/>
    <cellStyle name="Normal 3 19 10 2 3" xfId="31766"/>
    <cellStyle name="Normal 3 19 10 2 3 2" xfId="31767"/>
    <cellStyle name="Normal 3 19 10 2 4" xfId="31768"/>
    <cellStyle name="Normal 3 19 10 2 4 2" xfId="31769"/>
    <cellStyle name="Normal 3 19 10 2 5" xfId="31770"/>
    <cellStyle name="Normal 3 19 10 2 5 2" xfId="31771"/>
    <cellStyle name="Normal 3 19 10 2 6" xfId="31772"/>
    <cellStyle name="Normal 3 19 10 2 7" xfId="31773"/>
    <cellStyle name="Normal 3 19 10 2 8" xfId="31774"/>
    <cellStyle name="Normal 3 19 10 2 9" xfId="31775"/>
    <cellStyle name="Normal 3 19 10 3" xfId="31776"/>
    <cellStyle name="Normal 3 19 10 3 2" xfId="31777"/>
    <cellStyle name="Normal 3 19 10 3 2 2" xfId="31778"/>
    <cellStyle name="Normal 3 19 10 3 3" xfId="31779"/>
    <cellStyle name="Normal 3 19 10 3 4" xfId="31780"/>
    <cellStyle name="Normal 3 19 10 3 5" xfId="31781"/>
    <cellStyle name="Normal 3 19 10 4" xfId="31782"/>
    <cellStyle name="Normal 3 19 10 4 2" xfId="31783"/>
    <cellStyle name="Normal 3 19 10 5" xfId="31784"/>
    <cellStyle name="Normal 3 19 10 5 2" xfId="31785"/>
    <cellStyle name="Normal 3 19 10 6" xfId="31786"/>
    <cellStyle name="Normal 3 19 10 6 2" xfId="31787"/>
    <cellStyle name="Normal 3 19 10 7" xfId="31788"/>
    <cellStyle name="Normal 3 19 10 7 2" xfId="31789"/>
    <cellStyle name="Normal 3 19 10 8" xfId="31790"/>
    <cellStyle name="Normal 3 19 10 9" xfId="31791"/>
    <cellStyle name="Normal 3 19 11" xfId="31792"/>
    <cellStyle name="Normal 3 19 11 2" xfId="31793"/>
    <cellStyle name="Normal 3 19 11 2 2" xfId="31794"/>
    <cellStyle name="Normal 3 19 11 3" xfId="31795"/>
    <cellStyle name="Normal 3 19 11 3 2" xfId="31796"/>
    <cellStyle name="Normal 3 19 11 4" xfId="31797"/>
    <cellStyle name="Normal 3 19 11 4 2" xfId="31798"/>
    <cellStyle name="Normal 3 19 11 5" xfId="31799"/>
    <cellStyle name="Normal 3 19 11 5 2" xfId="31800"/>
    <cellStyle name="Normal 3 19 11 6" xfId="31801"/>
    <cellStyle name="Normal 3 19 11 7" xfId="31802"/>
    <cellStyle name="Normal 3 19 11 8" xfId="31803"/>
    <cellStyle name="Normal 3 19 11 9" xfId="31804"/>
    <cellStyle name="Normal 3 19 12" xfId="31805"/>
    <cellStyle name="Normal 3 19 12 2" xfId="31806"/>
    <cellStyle name="Normal 3 19 12 2 2" xfId="31807"/>
    <cellStyle name="Normal 3 19 12 3" xfId="31808"/>
    <cellStyle name="Normal 3 19 12 4" xfId="31809"/>
    <cellStyle name="Normal 3 19 12 5" xfId="31810"/>
    <cellStyle name="Normal 3 19 13" xfId="31811"/>
    <cellStyle name="Normal 3 19 13 2" xfId="31812"/>
    <cellStyle name="Normal 3 19 14" xfId="31813"/>
    <cellStyle name="Normal 3 19 14 2" xfId="31814"/>
    <cellStyle name="Normal 3 19 15" xfId="31815"/>
    <cellStyle name="Normal 3 19 15 2" xfId="31816"/>
    <cellStyle name="Normal 3 19 16" xfId="31817"/>
    <cellStyle name="Normal 3 19 16 2" xfId="31818"/>
    <cellStyle name="Normal 3 19 17" xfId="31819"/>
    <cellStyle name="Normal 3 19 18" xfId="31820"/>
    <cellStyle name="Normal 3 19 19" xfId="31821"/>
    <cellStyle name="Normal 3 19 2" xfId="31822"/>
    <cellStyle name="Normal 3 19 2 10" xfId="31823"/>
    <cellStyle name="Normal 3 19 2 11" xfId="31824"/>
    <cellStyle name="Normal 3 19 2 12" xfId="31825"/>
    <cellStyle name="Normal 3 19 2 13" xfId="31826"/>
    <cellStyle name="Normal 3 19 2 14" xfId="31827"/>
    <cellStyle name="Normal 3 19 2 15" xfId="31828"/>
    <cellStyle name="Normal 3 19 2 16" xfId="31829"/>
    <cellStyle name="Normal 3 19 2 17" xfId="31830"/>
    <cellStyle name="Normal 3 19 2 18" xfId="31831"/>
    <cellStyle name="Normal 3 19 2 2" xfId="31832"/>
    <cellStyle name="Normal 3 19 2 2 10" xfId="31833"/>
    <cellStyle name="Normal 3 19 2 2 11" xfId="31834"/>
    <cellStyle name="Normal 3 19 2 2 12" xfId="31835"/>
    <cellStyle name="Normal 3 19 2 2 13" xfId="31836"/>
    <cellStyle name="Normal 3 19 2 2 2" xfId="31837"/>
    <cellStyle name="Normal 3 19 2 2 2 2" xfId="31838"/>
    <cellStyle name="Normal 3 19 2 2 2 2 2" xfId="31839"/>
    <cellStyle name="Normal 3 19 2 2 2 3" xfId="31840"/>
    <cellStyle name="Normal 3 19 2 2 2 4" xfId="31841"/>
    <cellStyle name="Normal 3 19 2 2 2 5" xfId="31842"/>
    <cellStyle name="Normal 3 19 2 2 3" xfId="31843"/>
    <cellStyle name="Normal 3 19 2 2 3 2" xfId="31844"/>
    <cellStyle name="Normal 3 19 2 2 4" xfId="31845"/>
    <cellStyle name="Normal 3 19 2 2 4 2" xfId="31846"/>
    <cellStyle name="Normal 3 19 2 2 5" xfId="31847"/>
    <cellStyle name="Normal 3 19 2 2 5 2" xfId="31848"/>
    <cellStyle name="Normal 3 19 2 2 6" xfId="31849"/>
    <cellStyle name="Normal 3 19 2 2 6 2" xfId="31850"/>
    <cellStyle name="Normal 3 19 2 2 7" xfId="31851"/>
    <cellStyle name="Normal 3 19 2 2 8" xfId="31852"/>
    <cellStyle name="Normal 3 19 2 2 9" xfId="31853"/>
    <cellStyle name="Normal 3 19 2 3" xfId="31854"/>
    <cellStyle name="Normal 3 19 2 3 2" xfId="31855"/>
    <cellStyle name="Normal 3 19 2 3 2 2" xfId="31856"/>
    <cellStyle name="Normal 3 19 2 3 3" xfId="31857"/>
    <cellStyle name="Normal 3 19 2 3 4" xfId="31858"/>
    <cellStyle name="Normal 3 19 2 3 5" xfId="31859"/>
    <cellStyle name="Normal 3 19 2 4" xfId="31860"/>
    <cellStyle name="Normal 3 19 2 4 2" xfId="31861"/>
    <cellStyle name="Normal 3 19 2 5" xfId="31862"/>
    <cellStyle name="Normal 3 19 2 5 2" xfId="31863"/>
    <cellStyle name="Normal 3 19 2 6" xfId="31864"/>
    <cellStyle name="Normal 3 19 2 6 2" xfId="31865"/>
    <cellStyle name="Normal 3 19 2 7" xfId="31866"/>
    <cellStyle name="Normal 3 19 2 7 2" xfId="31867"/>
    <cellStyle name="Normal 3 19 2 8" xfId="31868"/>
    <cellStyle name="Normal 3 19 2 9" xfId="31869"/>
    <cellStyle name="Normal 3 19 20" xfId="31870"/>
    <cellStyle name="Normal 3 19 21" xfId="31871"/>
    <cellStyle name="Normal 3 19 22" xfId="31872"/>
    <cellStyle name="Normal 3 19 23" xfId="31873"/>
    <cellStyle name="Normal 3 19 24" xfId="31874"/>
    <cellStyle name="Normal 3 19 25" xfId="31875"/>
    <cellStyle name="Normal 3 19 3" xfId="31876"/>
    <cellStyle name="Normal 3 19 3 10" xfId="31877"/>
    <cellStyle name="Normal 3 19 3 11" xfId="31878"/>
    <cellStyle name="Normal 3 19 3 12" xfId="31879"/>
    <cellStyle name="Normal 3 19 3 13" xfId="31880"/>
    <cellStyle name="Normal 3 19 3 14" xfId="31881"/>
    <cellStyle name="Normal 3 19 3 15" xfId="31882"/>
    <cellStyle name="Normal 3 19 3 16" xfId="31883"/>
    <cellStyle name="Normal 3 19 3 17" xfId="31884"/>
    <cellStyle name="Normal 3 19 3 18" xfId="31885"/>
    <cellStyle name="Normal 3 19 3 2" xfId="31886"/>
    <cellStyle name="Normal 3 19 3 2 10" xfId="31887"/>
    <cellStyle name="Normal 3 19 3 2 11" xfId="31888"/>
    <cellStyle name="Normal 3 19 3 2 12" xfId="31889"/>
    <cellStyle name="Normal 3 19 3 2 13" xfId="31890"/>
    <cellStyle name="Normal 3 19 3 2 2" xfId="31891"/>
    <cellStyle name="Normal 3 19 3 2 2 2" xfId="31892"/>
    <cellStyle name="Normal 3 19 3 2 2 2 2" xfId="31893"/>
    <cellStyle name="Normal 3 19 3 2 2 3" xfId="31894"/>
    <cellStyle name="Normal 3 19 3 2 2 4" xfId="31895"/>
    <cellStyle name="Normal 3 19 3 2 2 5" xfId="31896"/>
    <cellStyle name="Normal 3 19 3 2 3" xfId="31897"/>
    <cellStyle name="Normal 3 19 3 2 3 2" xfId="31898"/>
    <cellStyle name="Normal 3 19 3 2 4" xfId="31899"/>
    <cellStyle name="Normal 3 19 3 2 4 2" xfId="31900"/>
    <cellStyle name="Normal 3 19 3 2 5" xfId="31901"/>
    <cellStyle name="Normal 3 19 3 2 5 2" xfId="31902"/>
    <cellStyle name="Normal 3 19 3 2 6" xfId="31903"/>
    <cellStyle name="Normal 3 19 3 2 6 2" xfId="31904"/>
    <cellStyle name="Normal 3 19 3 2 7" xfId="31905"/>
    <cellStyle name="Normal 3 19 3 2 8" xfId="31906"/>
    <cellStyle name="Normal 3 19 3 2 9" xfId="31907"/>
    <cellStyle name="Normal 3 19 3 3" xfId="31908"/>
    <cellStyle name="Normal 3 19 3 3 2" xfId="31909"/>
    <cellStyle name="Normal 3 19 3 3 2 2" xfId="31910"/>
    <cellStyle name="Normal 3 19 3 3 3" xfId="31911"/>
    <cellStyle name="Normal 3 19 3 3 4" xfId="31912"/>
    <cellStyle name="Normal 3 19 3 3 5" xfId="31913"/>
    <cellStyle name="Normal 3 19 3 4" xfId="31914"/>
    <cellStyle name="Normal 3 19 3 4 2" xfId="31915"/>
    <cellStyle name="Normal 3 19 3 5" xfId="31916"/>
    <cellStyle name="Normal 3 19 3 5 2" xfId="31917"/>
    <cellStyle name="Normal 3 19 3 6" xfId="31918"/>
    <cellStyle name="Normal 3 19 3 6 2" xfId="31919"/>
    <cellStyle name="Normal 3 19 3 7" xfId="31920"/>
    <cellStyle name="Normal 3 19 3 7 2" xfId="31921"/>
    <cellStyle name="Normal 3 19 3 8" xfId="31922"/>
    <cellStyle name="Normal 3 19 3 9" xfId="31923"/>
    <cellStyle name="Normal 3 19 4" xfId="31924"/>
    <cellStyle name="Normal 3 19 4 10" xfId="31925"/>
    <cellStyle name="Normal 3 19 4 11" xfId="31926"/>
    <cellStyle name="Normal 3 19 4 12" xfId="31927"/>
    <cellStyle name="Normal 3 19 4 13" xfId="31928"/>
    <cellStyle name="Normal 3 19 4 14" xfId="31929"/>
    <cellStyle name="Normal 3 19 4 15" xfId="31930"/>
    <cellStyle name="Normal 3 19 4 16" xfId="31931"/>
    <cellStyle name="Normal 3 19 4 17" xfId="31932"/>
    <cellStyle name="Normal 3 19 4 18" xfId="31933"/>
    <cellStyle name="Normal 3 19 4 2" xfId="31934"/>
    <cellStyle name="Normal 3 19 4 2 10" xfId="31935"/>
    <cellStyle name="Normal 3 19 4 2 11" xfId="31936"/>
    <cellStyle name="Normal 3 19 4 2 12" xfId="31937"/>
    <cellStyle name="Normal 3 19 4 2 13" xfId="31938"/>
    <cellStyle name="Normal 3 19 4 2 2" xfId="31939"/>
    <cellStyle name="Normal 3 19 4 2 2 2" xfId="31940"/>
    <cellStyle name="Normal 3 19 4 2 2 2 2" xfId="31941"/>
    <cellStyle name="Normal 3 19 4 2 2 3" xfId="31942"/>
    <cellStyle name="Normal 3 19 4 2 2 4" xfId="31943"/>
    <cellStyle name="Normal 3 19 4 2 2 5" xfId="31944"/>
    <cellStyle name="Normal 3 19 4 2 3" xfId="31945"/>
    <cellStyle name="Normal 3 19 4 2 3 2" xfId="31946"/>
    <cellStyle name="Normal 3 19 4 2 4" xfId="31947"/>
    <cellStyle name="Normal 3 19 4 2 4 2" xfId="31948"/>
    <cellStyle name="Normal 3 19 4 2 5" xfId="31949"/>
    <cellStyle name="Normal 3 19 4 2 5 2" xfId="31950"/>
    <cellStyle name="Normal 3 19 4 2 6" xfId="31951"/>
    <cellStyle name="Normal 3 19 4 2 6 2" xfId="31952"/>
    <cellStyle name="Normal 3 19 4 2 7" xfId="31953"/>
    <cellStyle name="Normal 3 19 4 2 8" xfId="31954"/>
    <cellStyle name="Normal 3 19 4 2 9" xfId="31955"/>
    <cellStyle name="Normal 3 19 4 3" xfId="31956"/>
    <cellStyle name="Normal 3 19 4 3 2" xfId="31957"/>
    <cellStyle name="Normal 3 19 4 3 2 2" xfId="31958"/>
    <cellStyle name="Normal 3 19 4 3 3" xfId="31959"/>
    <cellStyle name="Normal 3 19 4 3 4" xfId="31960"/>
    <cellStyle name="Normal 3 19 4 3 5" xfId="31961"/>
    <cellStyle name="Normal 3 19 4 4" xfId="31962"/>
    <cellStyle name="Normal 3 19 4 4 2" xfId="31963"/>
    <cellStyle name="Normal 3 19 4 5" xfId="31964"/>
    <cellStyle name="Normal 3 19 4 5 2" xfId="31965"/>
    <cellStyle name="Normal 3 19 4 6" xfId="31966"/>
    <cellStyle name="Normal 3 19 4 6 2" xfId="31967"/>
    <cellStyle name="Normal 3 19 4 7" xfId="31968"/>
    <cellStyle name="Normal 3 19 4 7 2" xfId="31969"/>
    <cellStyle name="Normal 3 19 4 8" xfId="31970"/>
    <cellStyle name="Normal 3 19 4 9" xfId="31971"/>
    <cellStyle name="Normal 3 19 5" xfId="31972"/>
    <cellStyle name="Normal 3 19 5 10" xfId="31973"/>
    <cellStyle name="Normal 3 19 5 11" xfId="31974"/>
    <cellStyle name="Normal 3 19 5 12" xfId="31975"/>
    <cellStyle name="Normal 3 19 5 13" xfId="31976"/>
    <cellStyle name="Normal 3 19 5 14" xfId="31977"/>
    <cellStyle name="Normal 3 19 5 15" xfId="31978"/>
    <cellStyle name="Normal 3 19 5 16" xfId="31979"/>
    <cellStyle name="Normal 3 19 5 17" xfId="31980"/>
    <cellStyle name="Normal 3 19 5 2" xfId="31981"/>
    <cellStyle name="Normal 3 19 5 2 10" xfId="31982"/>
    <cellStyle name="Normal 3 19 5 2 11" xfId="31983"/>
    <cellStyle name="Normal 3 19 5 2 12" xfId="31984"/>
    <cellStyle name="Normal 3 19 5 2 13" xfId="31985"/>
    <cellStyle name="Normal 3 19 5 2 2" xfId="31986"/>
    <cellStyle name="Normal 3 19 5 2 2 2" xfId="31987"/>
    <cellStyle name="Normal 3 19 5 2 2 2 2" xfId="31988"/>
    <cellStyle name="Normal 3 19 5 2 2 3" xfId="31989"/>
    <cellStyle name="Normal 3 19 5 2 2 4" xfId="31990"/>
    <cellStyle name="Normal 3 19 5 2 2 5" xfId="31991"/>
    <cellStyle name="Normal 3 19 5 2 3" xfId="31992"/>
    <cellStyle name="Normal 3 19 5 2 3 2" xfId="31993"/>
    <cellStyle name="Normal 3 19 5 2 4" xfId="31994"/>
    <cellStyle name="Normal 3 19 5 2 4 2" xfId="31995"/>
    <cellStyle name="Normal 3 19 5 2 5" xfId="31996"/>
    <cellStyle name="Normal 3 19 5 2 5 2" xfId="31997"/>
    <cellStyle name="Normal 3 19 5 2 6" xfId="31998"/>
    <cellStyle name="Normal 3 19 5 2 6 2" xfId="31999"/>
    <cellStyle name="Normal 3 19 5 2 7" xfId="32000"/>
    <cellStyle name="Normal 3 19 5 2 8" xfId="32001"/>
    <cellStyle name="Normal 3 19 5 2 9" xfId="32002"/>
    <cellStyle name="Normal 3 19 5 3" xfId="32003"/>
    <cellStyle name="Normal 3 19 5 3 2" xfId="32004"/>
    <cellStyle name="Normal 3 19 5 3 2 2" xfId="32005"/>
    <cellStyle name="Normal 3 19 5 3 3" xfId="32006"/>
    <cellStyle name="Normal 3 19 5 3 4" xfId="32007"/>
    <cellStyle name="Normal 3 19 5 3 5" xfId="32008"/>
    <cellStyle name="Normal 3 19 5 4" xfId="32009"/>
    <cellStyle name="Normal 3 19 5 4 2" xfId="32010"/>
    <cellStyle name="Normal 3 19 5 5" xfId="32011"/>
    <cellStyle name="Normal 3 19 5 5 2" xfId="32012"/>
    <cellStyle name="Normal 3 19 5 6" xfId="32013"/>
    <cellStyle name="Normal 3 19 5 6 2" xfId="32014"/>
    <cellStyle name="Normal 3 19 5 7" xfId="32015"/>
    <cellStyle name="Normal 3 19 5 7 2" xfId="32016"/>
    <cellStyle name="Normal 3 19 5 8" xfId="32017"/>
    <cellStyle name="Normal 3 19 5 9" xfId="32018"/>
    <cellStyle name="Normal 3 19 6" xfId="32019"/>
    <cellStyle name="Normal 3 19 6 10" xfId="32020"/>
    <cellStyle name="Normal 3 19 6 11" xfId="32021"/>
    <cellStyle name="Normal 3 19 6 12" xfId="32022"/>
    <cellStyle name="Normal 3 19 6 13" xfId="32023"/>
    <cellStyle name="Normal 3 19 6 14" xfId="32024"/>
    <cellStyle name="Normal 3 19 6 15" xfId="32025"/>
    <cellStyle name="Normal 3 19 6 16" xfId="32026"/>
    <cellStyle name="Normal 3 19 6 17" xfId="32027"/>
    <cellStyle name="Normal 3 19 6 2" xfId="32028"/>
    <cellStyle name="Normal 3 19 6 2 10" xfId="32029"/>
    <cellStyle name="Normal 3 19 6 2 11" xfId="32030"/>
    <cellStyle name="Normal 3 19 6 2 12" xfId="32031"/>
    <cellStyle name="Normal 3 19 6 2 13" xfId="32032"/>
    <cellStyle name="Normal 3 19 6 2 2" xfId="32033"/>
    <cellStyle name="Normal 3 19 6 2 2 2" xfId="32034"/>
    <cellStyle name="Normal 3 19 6 2 2 2 2" xfId="32035"/>
    <cellStyle name="Normal 3 19 6 2 2 3" xfId="32036"/>
    <cellStyle name="Normal 3 19 6 2 2 4" xfId="32037"/>
    <cellStyle name="Normal 3 19 6 2 2 5" xfId="32038"/>
    <cellStyle name="Normal 3 19 6 2 3" xfId="32039"/>
    <cellStyle name="Normal 3 19 6 2 3 2" xfId="32040"/>
    <cellStyle name="Normal 3 19 6 2 4" xfId="32041"/>
    <cellStyle name="Normal 3 19 6 2 4 2" xfId="32042"/>
    <cellStyle name="Normal 3 19 6 2 5" xfId="32043"/>
    <cellStyle name="Normal 3 19 6 2 5 2" xfId="32044"/>
    <cellStyle name="Normal 3 19 6 2 6" xfId="32045"/>
    <cellStyle name="Normal 3 19 6 2 6 2" xfId="32046"/>
    <cellStyle name="Normal 3 19 6 2 7" xfId="32047"/>
    <cellStyle name="Normal 3 19 6 2 8" xfId="32048"/>
    <cellStyle name="Normal 3 19 6 2 9" xfId="32049"/>
    <cellStyle name="Normal 3 19 6 3" xfId="32050"/>
    <cellStyle name="Normal 3 19 6 3 2" xfId="32051"/>
    <cellStyle name="Normal 3 19 6 3 2 2" xfId="32052"/>
    <cellStyle name="Normal 3 19 6 3 3" xfId="32053"/>
    <cellStyle name="Normal 3 19 6 3 4" xfId="32054"/>
    <cellStyle name="Normal 3 19 6 3 5" xfId="32055"/>
    <cellStyle name="Normal 3 19 6 4" xfId="32056"/>
    <cellStyle name="Normal 3 19 6 4 2" xfId="32057"/>
    <cellStyle name="Normal 3 19 6 5" xfId="32058"/>
    <cellStyle name="Normal 3 19 6 5 2" xfId="32059"/>
    <cellStyle name="Normal 3 19 6 6" xfId="32060"/>
    <cellStyle name="Normal 3 19 6 6 2" xfId="32061"/>
    <cellStyle name="Normal 3 19 6 7" xfId="32062"/>
    <cellStyle name="Normal 3 19 6 7 2" xfId="32063"/>
    <cellStyle name="Normal 3 19 6 8" xfId="32064"/>
    <cellStyle name="Normal 3 19 6 9" xfId="32065"/>
    <cellStyle name="Normal 3 19 7" xfId="32066"/>
    <cellStyle name="Normal 3 19 7 10" xfId="32067"/>
    <cellStyle name="Normal 3 19 7 11" xfId="32068"/>
    <cellStyle name="Normal 3 19 7 12" xfId="32069"/>
    <cellStyle name="Normal 3 19 7 13" xfId="32070"/>
    <cellStyle name="Normal 3 19 7 14" xfId="32071"/>
    <cellStyle name="Normal 3 19 7 15" xfId="32072"/>
    <cellStyle name="Normal 3 19 7 16" xfId="32073"/>
    <cellStyle name="Normal 3 19 7 17" xfId="32074"/>
    <cellStyle name="Normal 3 19 7 2" xfId="32075"/>
    <cellStyle name="Normal 3 19 7 2 10" xfId="32076"/>
    <cellStyle name="Normal 3 19 7 2 11" xfId="32077"/>
    <cellStyle name="Normal 3 19 7 2 12" xfId="32078"/>
    <cellStyle name="Normal 3 19 7 2 13" xfId="32079"/>
    <cellStyle name="Normal 3 19 7 2 2" xfId="32080"/>
    <cellStyle name="Normal 3 19 7 2 2 2" xfId="32081"/>
    <cellStyle name="Normal 3 19 7 2 2 2 2" xfId="32082"/>
    <cellStyle name="Normal 3 19 7 2 2 3" xfId="32083"/>
    <cellStyle name="Normal 3 19 7 2 2 4" xfId="32084"/>
    <cellStyle name="Normal 3 19 7 2 2 5" xfId="32085"/>
    <cellStyle name="Normal 3 19 7 2 3" xfId="32086"/>
    <cellStyle name="Normal 3 19 7 2 3 2" xfId="32087"/>
    <cellStyle name="Normal 3 19 7 2 4" xfId="32088"/>
    <cellStyle name="Normal 3 19 7 2 4 2" xfId="32089"/>
    <cellStyle name="Normal 3 19 7 2 5" xfId="32090"/>
    <cellStyle name="Normal 3 19 7 2 5 2" xfId="32091"/>
    <cellStyle name="Normal 3 19 7 2 6" xfId="32092"/>
    <cellStyle name="Normal 3 19 7 2 6 2" xfId="32093"/>
    <cellStyle name="Normal 3 19 7 2 7" xfId="32094"/>
    <cellStyle name="Normal 3 19 7 2 8" xfId="32095"/>
    <cellStyle name="Normal 3 19 7 2 9" xfId="32096"/>
    <cellStyle name="Normal 3 19 7 3" xfId="32097"/>
    <cellStyle name="Normal 3 19 7 3 2" xfId="32098"/>
    <cellStyle name="Normal 3 19 7 3 2 2" xfId="32099"/>
    <cellStyle name="Normal 3 19 7 3 3" xfId="32100"/>
    <cellStyle name="Normal 3 19 7 3 4" xfId="32101"/>
    <cellStyle name="Normal 3 19 7 3 5" xfId="32102"/>
    <cellStyle name="Normal 3 19 7 4" xfId="32103"/>
    <cellStyle name="Normal 3 19 7 4 2" xfId="32104"/>
    <cellStyle name="Normal 3 19 7 5" xfId="32105"/>
    <cellStyle name="Normal 3 19 7 5 2" xfId="32106"/>
    <cellStyle name="Normal 3 19 7 6" xfId="32107"/>
    <cellStyle name="Normal 3 19 7 6 2" xfId="32108"/>
    <cellStyle name="Normal 3 19 7 7" xfId="32109"/>
    <cellStyle name="Normal 3 19 7 7 2" xfId="32110"/>
    <cellStyle name="Normal 3 19 7 8" xfId="32111"/>
    <cellStyle name="Normal 3 19 7 9" xfId="32112"/>
    <cellStyle name="Normal 3 19 8" xfId="32113"/>
    <cellStyle name="Normal 3 19 8 10" xfId="32114"/>
    <cellStyle name="Normal 3 19 8 11" xfId="32115"/>
    <cellStyle name="Normal 3 19 8 12" xfId="32116"/>
    <cellStyle name="Normal 3 19 8 13" xfId="32117"/>
    <cellStyle name="Normal 3 19 8 14" xfId="32118"/>
    <cellStyle name="Normal 3 19 8 15" xfId="32119"/>
    <cellStyle name="Normal 3 19 8 2" xfId="32120"/>
    <cellStyle name="Normal 3 19 8 2 2" xfId="32121"/>
    <cellStyle name="Normal 3 19 8 2 2 2" xfId="32122"/>
    <cellStyle name="Normal 3 19 8 2 3" xfId="32123"/>
    <cellStyle name="Normal 3 19 8 2 3 2" xfId="32124"/>
    <cellStyle name="Normal 3 19 8 2 4" xfId="32125"/>
    <cellStyle name="Normal 3 19 8 2 4 2" xfId="32126"/>
    <cellStyle name="Normal 3 19 8 2 5" xfId="32127"/>
    <cellStyle name="Normal 3 19 8 2 5 2" xfId="32128"/>
    <cellStyle name="Normal 3 19 8 2 6" xfId="32129"/>
    <cellStyle name="Normal 3 19 8 2 7" xfId="32130"/>
    <cellStyle name="Normal 3 19 8 2 8" xfId="32131"/>
    <cellStyle name="Normal 3 19 8 2 9" xfId="32132"/>
    <cellStyle name="Normal 3 19 8 3" xfId="32133"/>
    <cellStyle name="Normal 3 19 8 3 2" xfId="32134"/>
    <cellStyle name="Normal 3 19 8 3 2 2" xfId="32135"/>
    <cellStyle name="Normal 3 19 8 3 3" xfId="32136"/>
    <cellStyle name="Normal 3 19 8 3 4" xfId="32137"/>
    <cellStyle name="Normal 3 19 8 3 5" xfId="32138"/>
    <cellStyle name="Normal 3 19 8 4" xfId="32139"/>
    <cellStyle name="Normal 3 19 8 4 2" xfId="32140"/>
    <cellStyle name="Normal 3 19 8 5" xfId="32141"/>
    <cellStyle name="Normal 3 19 8 5 2" xfId="32142"/>
    <cellStyle name="Normal 3 19 8 6" xfId="32143"/>
    <cellStyle name="Normal 3 19 8 6 2" xfId="32144"/>
    <cellStyle name="Normal 3 19 8 7" xfId="32145"/>
    <cellStyle name="Normal 3 19 8 7 2" xfId="32146"/>
    <cellStyle name="Normal 3 19 8 8" xfId="32147"/>
    <cellStyle name="Normal 3 19 8 9" xfId="32148"/>
    <cellStyle name="Normal 3 19 9" xfId="32149"/>
    <cellStyle name="Normal 3 19 9 10" xfId="32150"/>
    <cellStyle name="Normal 3 19 9 11" xfId="32151"/>
    <cellStyle name="Normal 3 19 9 12" xfId="32152"/>
    <cellStyle name="Normal 3 19 9 13" xfId="32153"/>
    <cellStyle name="Normal 3 19 9 14" xfId="32154"/>
    <cellStyle name="Normal 3 19 9 15" xfId="32155"/>
    <cellStyle name="Normal 3 19 9 2" xfId="32156"/>
    <cellStyle name="Normal 3 19 9 2 2" xfId="32157"/>
    <cellStyle name="Normal 3 19 9 2 2 2" xfId="32158"/>
    <cellStyle name="Normal 3 19 9 2 3" xfId="32159"/>
    <cellStyle name="Normal 3 19 9 2 3 2" xfId="32160"/>
    <cellStyle name="Normal 3 19 9 2 4" xfId="32161"/>
    <cellStyle name="Normal 3 19 9 2 4 2" xfId="32162"/>
    <cellStyle name="Normal 3 19 9 2 5" xfId="32163"/>
    <cellStyle name="Normal 3 19 9 2 5 2" xfId="32164"/>
    <cellStyle name="Normal 3 19 9 2 6" xfId="32165"/>
    <cellStyle name="Normal 3 19 9 2 7" xfId="32166"/>
    <cellStyle name="Normal 3 19 9 2 8" xfId="32167"/>
    <cellStyle name="Normal 3 19 9 2 9" xfId="32168"/>
    <cellStyle name="Normal 3 19 9 3" xfId="32169"/>
    <cellStyle name="Normal 3 19 9 3 2" xfId="32170"/>
    <cellStyle name="Normal 3 19 9 3 2 2" xfId="32171"/>
    <cellStyle name="Normal 3 19 9 3 3" xfId="32172"/>
    <cellStyle name="Normal 3 19 9 3 4" xfId="32173"/>
    <cellStyle name="Normal 3 19 9 3 5" xfId="32174"/>
    <cellStyle name="Normal 3 19 9 4" xfId="32175"/>
    <cellStyle name="Normal 3 19 9 4 2" xfId="32176"/>
    <cellStyle name="Normal 3 19 9 5" xfId="32177"/>
    <cellStyle name="Normal 3 19 9 5 2" xfId="32178"/>
    <cellStyle name="Normal 3 19 9 6" xfId="32179"/>
    <cellStyle name="Normal 3 19 9 6 2" xfId="32180"/>
    <cellStyle name="Normal 3 19 9 7" xfId="32181"/>
    <cellStyle name="Normal 3 19 9 7 2" xfId="32182"/>
    <cellStyle name="Normal 3 19 9 8" xfId="32183"/>
    <cellStyle name="Normal 3 19 9 9" xfId="32184"/>
    <cellStyle name="Normal 3 2" xfId="994"/>
    <cellStyle name="Normal 3 2 10" xfId="32186"/>
    <cellStyle name="Normal 3 2 11" xfId="32187"/>
    <cellStyle name="Normal 3 2 12" xfId="32188"/>
    <cellStyle name="Normal 3 2 13" xfId="32189"/>
    <cellStyle name="Normal 3 2 14" xfId="32190"/>
    <cellStyle name="Normal 3 2 15" xfId="32191"/>
    <cellStyle name="Normal 3 2 16" xfId="32192"/>
    <cellStyle name="Normal 3 2 17" xfId="32193"/>
    <cellStyle name="Normal 3 2 18" xfId="32194"/>
    <cellStyle name="Normal 3 2 19" xfId="32195"/>
    <cellStyle name="Normal 3 2 2" xfId="32185"/>
    <cellStyle name="Normal 3 2 2 2" xfId="32196"/>
    <cellStyle name="Normal 3 2 20" xfId="32197"/>
    <cellStyle name="Normal 3 2 21" xfId="32198"/>
    <cellStyle name="Normal 3 2 22" xfId="32199"/>
    <cellStyle name="Normal 3 2 23" xfId="32200"/>
    <cellStyle name="Normal 3 2 24" xfId="32201"/>
    <cellStyle name="Normal 3 2 25" xfId="32202"/>
    <cellStyle name="Normal 3 2 26" xfId="32203"/>
    <cellStyle name="Normal 3 2 27" xfId="32204"/>
    <cellStyle name="Normal 3 2 28" xfId="32205"/>
    <cellStyle name="Normal 3 2 29" xfId="32206"/>
    <cellStyle name="Normal 3 2 3" xfId="32207"/>
    <cellStyle name="Normal 3 2 30" xfId="32208"/>
    <cellStyle name="Normal 3 2 31" xfId="32209"/>
    <cellStyle name="Normal 3 2 32" xfId="32210"/>
    <cellStyle name="Normal 3 2 33" xfId="32211"/>
    <cellStyle name="Normal 3 2 34" xfId="32212"/>
    <cellStyle name="Normal 3 2 35" xfId="32213"/>
    <cellStyle name="Normal 3 2 36" xfId="32214"/>
    <cellStyle name="Normal 3 2 37" xfId="32215"/>
    <cellStyle name="Normal 3 2 38" xfId="32216"/>
    <cellStyle name="Normal 3 2 39" xfId="32217"/>
    <cellStyle name="Normal 3 2 4" xfId="32218"/>
    <cellStyle name="Normal 3 2 40" xfId="32219"/>
    <cellStyle name="Normal 3 2 41" xfId="32220"/>
    <cellStyle name="Normal 3 2 42" xfId="32221"/>
    <cellStyle name="Normal 3 2 43" xfId="32222"/>
    <cellStyle name="Normal 3 2 44" xfId="32223"/>
    <cellStyle name="Normal 3 2 45" xfId="32224"/>
    <cellStyle name="Normal 3 2 5" xfId="32225"/>
    <cellStyle name="Normal 3 2 6" xfId="32226"/>
    <cellStyle name="Normal 3 2 7" xfId="32227"/>
    <cellStyle name="Normal 3 2 8" xfId="32228"/>
    <cellStyle name="Normal 3 2 9" xfId="32229"/>
    <cellStyle name="Normal 3 20" xfId="32230"/>
    <cellStyle name="Normal 3 20 10" xfId="32231"/>
    <cellStyle name="Normal 3 20 10 10" xfId="32232"/>
    <cellStyle name="Normal 3 20 10 11" xfId="32233"/>
    <cellStyle name="Normal 3 20 10 12" xfId="32234"/>
    <cellStyle name="Normal 3 20 10 13" xfId="32235"/>
    <cellStyle name="Normal 3 20 10 14" xfId="32236"/>
    <cellStyle name="Normal 3 20 10 2" xfId="32237"/>
    <cellStyle name="Normal 3 20 10 2 2" xfId="32238"/>
    <cellStyle name="Normal 3 20 10 2 2 2" xfId="32239"/>
    <cellStyle name="Normal 3 20 10 2 3" xfId="32240"/>
    <cellStyle name="Normal 3 20 10 2 3 2" xfId="32241"/>
    <cellStyle name="Normal 3 20 10 2 4" xfId="32242"/>
    <cellStyle name="Normal 3 20 10 2 4 2" xfId="32243"/>
    <cellStyle name="Normal 3 20 10 2 5" xfId="32244"/>
    <cellStyle name="Normal 3 20 10 2 5 2" xfId="32245"/>
    <cellStyle name="Normal 3 20 10 2 6" xfId="32246"/>
    <cellStyle name="Normal 3 20 10 2 7" xfId="32247"/>
    <cellStyle name="Normal 3 20 10 2 8" xfId="32248"/>
    <cellStyle name="Normal 3 20 10 2 9" xfId="32249"/>
    <cellStyle name="Normal 3 20 10 3" xfId="32250"/>
    <cellStyle name="Normal 3 20 10 3 2" xfId="32251"/>
    <cellStyle name="Normal 3 20 10 3 2 2" xfId="32252"/>
    <cellStyle name="Normal 3 20 10 3 3" xfId="32253"/>
    <cellStyle name="Normal 3 20 10 3 4" xfId="32254"/>
    <cellStyle name="Normal 3 20 10 3 5" xfId="32255"/>
    <cellStyle name="Normal 3 20 10 4" xfId="32256"/>
    <cellStyle name="Normal 3 20 10 4 2" xfId="32257"/>
    <cellStyle name="Normal 3 20 10 5" xfId="32258"/>
    <cellStyle name="Normal 3 20 10 5 2" xfId="32259"/>
    <cellStyle name="Normal 3 20 10 6" xfId="32260"/>
    <cellStyle name="Normal 3 20 10 6 2" xfId="32261"/>
    <cellStyle name="Normal 3 20 10 7" xfId="32262"/>
    <cellStyle name="Normal 3 20 10 7 2" xfId="32263"/>
    <cellStyle name="Normal 3 20 10 8" xfId="32264"/>
    <cellStyle name="Normal 3 20 10 9" xfId="32265"/>
    <cellStyle name="Normal 3 20 11" xfId="32266"/>
    <cellStyle name="Normal 3 20 11 2" xfId="32267"/>
    <cellStyle name="Normal 3 20 11 2 2" xfId="32268"/>
    <cellStyle name="Normal 3 20 11 3" xfId="32269"/>
    <cellStyle name="Normal 3 20 11 3 2" xfId="32270"/>
    <cellStyle name="Normal 3 20 11 4" xfId="32271"/>
    <cellStyle name="Normal 3 20 11 4 2" xfId="32272"/>
    <cellStyle name="Normal 3 20 11 5" xfId="32273"/>
    <cellStyle name="Normal 3 20 11 5 2" xfId="32274"/>
    <cellStyle name="Normal 3 20 11 6" xfId="32275"/>
    <cellStyle name="Normal 3 20 11 7" xfId="32276"/>
    <cellStyle name="Normal 3 20 11 8" xfId="32277"/>
    <cellStyle name="Normal 3 20 11 9" xfId="32278"/>
    <cellStyle name="Normal 3 20 12" xfId="32279"/>
    <cellStyle name="Normal 3 20 12 2" xfId="32280"/>
    <cellStyle name="Normal 3 20 12 2 2" xfId="32281"/>
    <cellStyle name="Normal 3 20 12 3" xfId="32282"/>
    <cellStyle name="Normal 3 20 12 4" xfId="32283"/>
    <cellStyle name="Normal 3 20 12 5" xfId="32284"/>
    <cellStyle name="Normal 3 20 13" xfId="32285"/>
    <cellStyle name="Normal 3 20 13 2" xfId="32286"/>
    <cellStyle name="Normal 3 20 14" xfId="32287"/>
    <cellStyle name="Normal 3 20 14 2" xfId="32288"/>
    <cellStyle name="Normal 3 20 15" xfId="32289"/>
    <cellStyle name="Normal 3 20 15 2" xfId="32290"/>
    <cellStyle name="Normal 3 20 16" xfId="32291"/>
    <cellStyle name="Normal 3 20 16 2" xfId="32292"/>
    <cellStyle name="Normal 3 20 17" xfId="32293"/>
    <cellStyle name="Normal 3 20 18" xfId="32294"/>
    <cellStyle name="Normal 3 20 19" xfId="32295"/>
    <cellStyle name="Normal 3 20 2" xfId="32296"/>
    <cellStyle name="Normal 3 20 2 10" xfId="32297"/>
    <cellStyle name="Normal 3 20 2 11" xfId="32298"/>
    <cellStyle name="Normal 3 20 2 12" xfId="32299"/>
    <cellStyle name="Normal 3 20 2 13" xfId="32300"/>
    <cellStyle name="Normal 3 20 2 14" xfId="32301"/>
    <cellStyle name="Normal 3 20 2 15" xfId="32302"/>
    <cellStyle name="Normal 3 20 2 16" xfId="32303"/>
    <cellStyle name="Normal 3 20 2 17" xfId="32304"/>
    <cellStyle name="Normal 3 20 2 18" xfId="32305"/>
    <cellStyle name="Normal 3 20 2 2" xfId="32306"/>
    <cellStyle name="Normal 3 20 2 2 10" xfId="32307"/>
    <cellStyle name="Normal 3 20 2 2 11" xfId="32308"/>
    <cellStyle name="Normal 3 20 2 2 12" xfId="32309"/>
    <cellStyle name="Normal 3 20 2 2 13" xfId="32310"/>
    <cellStyle name="Normal 3 20 2 2 2" xfId="32311"/>
    <cellStyle name="Normal 3 20 2 2 2 2" xfId="32312"/>
    <cellStyle name="Normal 3 20 2 2 2 2 2" xfId="32313"/>
    <cellStyle name="Normal 3 20 2 2 2 3" xfId="32314"/>
    <cellStyle name="Normal 3 20 2 2 2 4" xfId="32315"/>
    <cellStyle name="Normal 3 20 2 2 2 5" xfId="32316"/>
    <cellStyle name="Normal 3 20 2 2 3" xfId="32317"/>
    <cellStyle name="Normal 3 20 2 2 3 2" xfId="32318"/>
    <cellStyle name="Normal 3 20 2 2 4" xfId="32319"/>
    <cellStyle name="Normal 3 20 2 2 4 2" xfId="32320"/>
    <cellStyle name="Normal 3 20 2 2 5" xfId="32321"/>
    <cellStyle name="Normal 3 20 2 2 5 2" xfId="32322"/>
    <cellStyle name="Normal 3 20 2 2 6" xfId="32323"/>
    <cellStyle name="Normal 3 20 2 2 6 2" xfId="32324"/>
    <cellStyle name="Normal 3 20 2 2 7" xfId="32325"/>
    <cellStyle name="Normal 3 20 2 2 8" xfId="32326"/>
    <cellStyle name="Normal 3 20 2 2 9" xfId="32327"/>
    <cellStyle name="Normal 3 20 2 3" xfId="32328"/>
    <cellStyle name="Normal 3 20 2 3 2" xfId="32329"/>
    <cellStyle name="Normal 3 20 2 3 2 2" xfId="32330"/>
    <cellStyle name="Normal 3 20 2 3 3" xfId="32331"/>
    <cellStyle name="Normal 3 20 2 3 4" xfId="32332"/>
    <cellStyle name="Normal 3 20 2 3 5" xfId="32333"/>
    <cellStyle name="Normal 3 20 2 4" xfId="32334"/>
    <cellStyle name="Normal 3 20 2 4 2" xfId="32335"/>
    <cellStyle name="Normal 3 20 2 5" xfId="32336"/>
    <cellStyle name="Normal 3 20 2 5 2" xfId="32337"/>
    <cellStyle name="Normal 3 20 2 6" xfId="32338"/>
    <cellStyle name="Normal 3 20 2 6 2" xfId="32339"/>
    <cellStyle name="Normal 3 20 2 7" xfId="32340"/>
    <cellStyle name="Normal 3 20 2 7 2" xfId="32341"/>
    <cellStyle name="Normal 3 20 2 8" xfId="32342"/>
    <cellStyle name="Normal 3 20 2 9" xfId="32343"/>
    <cellStyle name="Normal 3 20 20" xfId="32344"/>
    <cellStyle name="Normal 3 20 21" xfId="32345"/>
    <cellStyle name="Normal 3 20 22" xfId="32346"/>
    <cellStyle name="Normal 3 20 23" xfId="32347"/>
    <cellStyle name="Normal 3 20 24" xfId="32348"/>
    <cellStyle name="Normal 3 20 25" xfId="32349"/>
    <cellStyle name="Normal 3 20 3" xfId="32350"/>
    <cellStyle name="Normal 3 20 3 10" xfId="32351"/>
    <cellStyle name="Normal 3 20 3 11" xfId="32352"/>
    <cellStyle name="Normal 3 20 3 12" xfId="32353"/>
    <cellStyle name="Normal 3 20 3 13" xfId="32354"/>
    <cellStyle name="Normal 3 20 3 14" xfId="32355"/>
    <cellStyle name="Normal 3 20 3 15" xfId="32356"/>
    <cellStyle name="Normal 3 20 3 16" xfId="32357"/>
    <cellStyle name="Normal 3 20 3 17" xfId="32358"/>
    <cellStyle name="Normal 3 20 3 18" xfId="32359"/>
    <cellStyle name="Normal 3 20 3 2" xfId="32360"/>
    <cellStyle name="Normal 3 20 3 2 10" xfId="32361"/>
    <cellStyle name="Normal 3 20 3 2 11" xfId="32362"/>
    <cellStyle name="Normal 3 20 3 2 12" xfId="32363"/>
    <cellStyle name="Normal 3 20 3 2 13" xfId="32364"/>
    <cellStyle name="Normal 3 20 3 2 2" xfId="32365"/>
    <cellStyle name="Normal 3 20 3 2 2 2" xfId="32366"/>
    <cellStyle name="Normal 3 20 3 2 2 2 2" xfId="32367"/>
    <cellStyle name="Normal 3 20 3 2 2 3" xfId="32368"/>
    <cellStyle name="Normal 3 20 3 2 2 4" xfId="32369"/>
    <cellStyle name="Normal 3 20 3 2 2 5" xfId="32370"/>
    <cellStyle name="Normal 3 20 3 2 3" xfId="32371"/>
    <cellStyle name="Normal 3 20 3 2 3 2" xfId="32372"/>
    <cellStyle name="Normal 3 20 3 2 4" xfId="32373"/>
    <cellStyle name="Normal 3 20 3 2 4 2" xfId="32374"/>
    <cellStyle name="Normal 3 20 3 2 5" xfId="32375"/>
    <cellStyle name="Normal 3 20 3 2 5 2" xfId="32376"/>
    <cellStyle name="Normal 3 20 3 2 6" xfId="32377"/>
    <cellStyle name="Normal 3 20 3 2 6 2" xfId="32378"/>
    <cellStyle name="Normal 3 20 3 2 7" xfId="32379"/>
    <cellStyle name="Normal 3 20 3 2 8" xfId="32380"/>
    <cellStyle name="Normal 3 20 3 2 9" xfId="32381"/>
    <cellStyle name="Normal 3 20 3 3" xfId="32382"/>
    <cellStyle name="Normal 3 20 3 3 2" xfId="32383"/>
    <cellStyle name="Normal 3 20 3 3 2 2" xfId="32384"/>
    <cellStyle name="Normal 3 20 3 3 3" xfId="32385"/>
    <cellStyle name="Normal 3 20 3 3 4" xfId="32386"/>
    <cellStyle name="Normal 3 20 3 3 5" xfId="32387"/>
    <cellStyle name="Normal 3 20 3 4" xfId="32388"/>
    <cellStyle name="Normal 3 20 3 4 2" xfId="32389"/>
    <cellStyle name="Normal 3 20 3 5" xfId="32390"/>
    <cellStyle name="Normal 3 20 3 5 2" xfId="32391"/>
    <cellStyle name="Normal 3 20 3 6" xfId="32392"/>
    <cellStyle name="Normal 3 20 3 6 2" xfId="32393"/>
    <cellStyle name="Normal 3 20 3 7" xfId="32394"/>
    <cellStyle name="Normal 3 20 3 7 2" xfId="32395"/>
    <cellStyle name="Normal 3 20 3 8" xfId="32396"/>
    <cellStyle name="Normal 3 20 3 9" xfId="32397"/>
    <cellStyle name="Normal 3 20 4" xfId="32398"/>
    <cellStyle name="Normal 3 20 4 10" xfId="32399"/>
    <cellStyle name="Normal 3 20 4 11" xfId="32400"/>
    <cellStyle name="Normal 3 20 4 12" xfId="32401"/>
    <cellStyle name="Normal 3 20 4 13" xfId="32402"/>
    <cellStyle name="Normal 3 20 4 14" xfId="32403"/>
    <cellStyle name="Normal 3 20 4 15" xfId="32404"/>
    <cellStyle name="Normal 3 20 4 16" xfId="32405"/>
    <cellStyle name="Normal 3 20 4 17" xfId="32406"/>
    <cellStyle name="Normal 3 20 4 18" xfId="32407"/>
    <cellStyle name="Normal 3 20 4 2" xfId="32408"/>
    <cellStyle name="Normal 3 20 4 2 10" xfId="32409"/>
    <cellStyle name="Normal 3 20 4 2 11" xfId="32410"/>
    <cellStyle name="Normal 3 20 4 2 12" xfId="32411"/>
    <cellStyle name="Normal 3 20 4 2 13" xfId="32412"/>
    <cellStyle name="Normal 3 20 4 2 2" xfId="32413"/>
    <cellStyle name="Normal 3 20 4 2 2 2" xfId="32414"/>
    <cellStyle name="Normal 3 20 4 2 2 2 2" xfId="32415"/>
    <cellStyle name="Normal 3 20 4 2 2 3" xfId="32416"/>
    <cellStyle name="Normal 3 20 4 2 2 4" xfId="32417"/>
    <cellStyle name="Normal 3 20 4 2 2 5" xfId="32418"/>
    <cellStyle name="Normal 3 20 4 2 3" xfId="32419"/>
    <cellStyle name="Normal 3 20 4 2 3 2" xfId="32420"/>
    <cellStyle name="Normal 3 20 4 2 4" xfId="32421"/>
    <cellStyle name="Normal 3 20 4 2 4 2" xfId="32422"/>
    <cellStyle name="Normal 3 20 4 2 5" xfId="32423"/>
    <cellStyle name="Normal 3 20 4 2 5 2" xfId="32424"/>
    <cellStyle name="Normal 3 20 4 2 6" xfId="32425"/>
    <cellStyle name="Normal 3 20 4 2 6 2" xfId="32426"/>
    <cellStyle name="Normal 3 20 4 2 7" xfId="32427"/>
    <cellStyle name="Normal 3 20 4 2 8" xfId="32428"/>
    <cellStyle name="Normal 3 20 4 2 9" xfId="32429"/>
    <cellStyle name="Normal 3 20 4 3" xfId="32430"/>
    <cellStyle name="Normal 3 20 4 3 2" xfId="32431"/>
    <cellStyle name="Normal 3 20 4 3 2 2" xfId="32432"/>
    <cellStyle name="Normal 3 20 4 3 3" xfId="32433"/>
    <cellStyle name="Normal 3 20 4 3 4" xfId="32434"/>
    <cellStyle name="Normal 3 20 4 3 5" xfId="32435"/>
    <cellStyle name="Normal 3 20 4 4" xfId="32436"/>
    <cellStyle name="Normal 3 20 4 4 2" xfId="32437"/>
    <cellStyle name="Normal 3 20 4 5" xfId="32438"/>
    <cellStyle name="Normal 3 20 4 5 2" xfId="32439"/>
    <cellStyle name="Normal 3 20 4 6" xfId="32440"/>
    <cellStyle name="Normal 3 20 4 6 2" xfId="32441"/>
    <cellStyle name="Normal 3 20 4 7" xfId="32442"/>
    <cellStyle name="Normal 3 20 4 7 2" xfId="32443"/>
    <cellStyle name="Normal 3 20 4 8" xfId="32444"/>
    <cellStyle name="Normal 3 20 4 9" xfId="32445"/>
    <cellStyle name="Normal 3 20 5" xfId="32446"/>
    <cellStyle name="Normal 3 20 5 10" xfId="32447"/>
    <cellStyle name="Normal 3 20 5 11" xfId="32448"/>
    <cellStyle name="Normal 3 20 5 12" xfId="32449"/>
    <cellStyle name="Normal 3 20 5 13" xfId="32450"/>
    <cellStyle name="Normal 3 20 5 14" xfId="32451"/>
    <cellStyle name="Normal 3 20 5 15" xfId="32452"/>
    <cellStyle name="Normal 3 20 5 16" xfId="32453"/>
    <cellStyle name="Normal 3 20 5 17" xfId="32454"/>
    <cellStyle name="Normal 3 20 5 2" xfId="32455"/>
    <cellStyle name="Normal 3 20 5 2 10" xfId="32456"/>
    <cellStyle name="Normal 3 20 5 2 11" xfId="32457"/>
    <cellStyle name="Normal 3 20 5 2 12" xfId="32458"/>
    <cellStyle name="Normal 3 20 5 2 13" xfId="32459"/>
    <cellStyle name="Normal 3 20 5 2 2" xfId="32460"/>
    <cellStyle name="Normal 3 20 5 2 2 2" xfId="32461"/>
    <cellStyle name="Normal 3 20 5 2 2 2 2" xfId="32462"/>
    <cellStyle name="Normal 3 20 5 2 2 3" xfId="32463"/>
    <cellStyle name="Normal 3 20 5 2 2 4" xfId="32464"/>
    <cellStyle name="Normal 3 20 5 2 2 5" xfId="32465"/>
    <cellStyle name="Normal 3 20 5 2 3" xfId="32466"/>
    <cellStyle name="Normal 3 20 5 2 3 2" xfId="32467"/>
    <cellStyle name="Normal 3 20 5 2 4" xfId="32468"/>
    <cellStyle name="Normal 3 20 5 2 4 2" xfId="32469"/>
    <cellStyle name="Normal 3 20 5 2 5" xfId="32470"/>
    <cellStyle name="Normal 3 20 5 2 5 2" xfId="32471"/>
    <cellStyle name="Normal 3 20 5 2 6" xfId="32472"/>
    <cellStyle name="Normal 3 20 5 2 6 2" xfId="32473"/>
    <cellStyle name="Normal 3 20 5 2 7" xfId="32474"/>
    <cellStyle name="Normal 3 20 5 2 8" xfId="32475"/>
    <cellStyle name="Normal 3 20 5 2 9" xfId="32476"/>
    <cellStyle name="Normal 3 20 5 3" xfId="32477"/>
    <cellStyle name="Normal 3 20 5 3 2" xfId="32478"/>
    <cellStyle name="Normal 3 20 5 3 2 2" xfId="32479"/>
    <cellStyle name="Normal 3 20 5 3 3" xfId="32480"/>
    <cellStyle name="Normal 3 20 5 3 4" xfId="32481"/>
    <cellStyle name="Normal 3 20 5 3 5" xfId="32482"/>
    <cellStyle name="Normal 3 20 5 4" xfId="32483"/>
    <cellStyle name="Normal 3 20 5 4 2" xfId="32484"/>
    <cellStyle name="Normal 3 20 5 5" xfId="32485"/>
    <cellStyle name="Normal 3 20 5 5 2" xfId="32486"/>
    <cellStyle name="Normal 3 20 5 6" xfId="32487"/>
    <cellStyle name="Normal 3 20 5 6 2" xfId="32488"/>
    <cellStyle name="Normal 3 20 5 7" xfId="32489"/>
    <cellStyle name="Normal 3 20 5 7 2" xfId="32490"/>
    <cellStyle name="Normal 3 20 5 8" xfId="32491"/>
    <cellStyle name="Normal 3 20 5 9" xfId="32492"/>
    <cellStyle name="Normal 3 20 6" xfId="32493"/>
    <cellStyle name="Normal 3 20 6 10" xfId="32494"/>
    <cellStyle name="Normal 3 20 6 11" xfId="32495"/>
    <cellStyle name="Normal 3 20 6 12" xfId="32496"/>
    <cellStyle name="Normal 3 20 6 13" xfId="32497"/>
    <cellStyle name="Normal 3 20 6 14" xfId="32498"/>
    <cellStyle name="Normal 3 20 6 15" xfId="32499"/>
    <cellStyle name="Normal 3 20 6 16" xfId="32500"/>
    <cellStyle name="Normal 3 20 6 17" xfId="32501"/>
    <cellStyle name="Normal 3 20 6 2" xfId="32502"/>
    <cellStyle name="Normal 3 20 6 2 10" xfId="32503"/>
    <cellStyle name="Normal 3 20 6 2 11" xfId="32504"/>
    <cellStyle name="Normal 3 20 6 2 12" xfId="32505"/>
    <cellStyle name="Normal 3 20 6 2 13" xfId="32506"/>
    <cellStyle name="Normal 3 20 6 2 2" xfId="32507"/>
    <cellStyle name="Normal 3 20 6 2 2 2" xfId="32508"/>
    <cellStyle name="Normal 3 20 6 2 2 2 2" xfId="32509"/>
    <cellStyle name="Normal 3 20 6 2 2 3" xfId="32510"/>
    <cellStyle name="Normal 3 20 6 2 2 4" xfId="32511"/>
    <cellStyle name="Normal 3 20 6 2 2 5" xfId="32512"/>
    <cellStyle name="Normal 3 20 6 2 3" xfId="32513"/>
    <cellStyle name="Normal 3 20 6 2 3 2" xfId="32514"/>
    <cellStyle name="Normal 3 20 6 2 4" xfId="32515"/>
    <cellStyle name="Normal 3 20 6 2 4 2" xfId="32516"/>
    <cellStyle name="Normal 3 20 6 2 5" xfId="32517"/>
    <cellStyle name="Normal 3 20 6 2 5 2" xfId="32518"/>
    <cellStyle name="Normal 3 20 6 2 6" xfId="32519"/>
    <cellStyle name="Normal 3 20 6 2 6 2" xfId="32520"/>
    <cellStyle name="Normal 3 20 6 2 7" xfId="32521"/>
    <cellStyle name="Normal 3 20 6 2 8" xfId="32522"/>
    <cellStyle name="Normal 3 20 6 2 9" xfId="32523"/>
    <cellStyle name="Normal 3 20 6 3" xfId="32524"/>
    <cellStyle name="Normal 3 20 6 3 2" xfId="32525"/>
    <cellStyle name="Normal 3 20 6 3 2 2" xfId="32526"/>
    <cellStyle name="Normal 3 20 6 3 3" xfId="32527"/>
    <cellStyle name="Normal 3 20 6 3 4" xfId="32528"/>
    <cellStyle name="Normal 3 20 6 3 5" xfId="32529"/>
    <cellStyle name="Normal 3 20 6 4" xfId="32530"/>
    <cellStyle name="Normal 3 20 6 4 2" xfId="32531"/>
    <cellStyle name="Normal 3 20 6 5" xfId="32532"/>
    <cellStyle name="Normal 3 20 6 5 2" xfId="32533"/>
    <cellStyle name="Normal 3 20 6 6" xfId="32534"/>
    <cellStyle name="Normal 3 20 6 6 2" xfId="32535"/>
    <cellStyle name="Normal 3 20 6 7" xfId="32536"/>
    <cellStyle name="Normal 3 20 6 7 2" xfId="32537"/>
    <cellStyle name="Normal 3 20 6 8" xfId="32538"/>
    <cellStyle name="Normal 3 20 6 9" xfId="32539"/>
    <cellStyle name="Normal 3 20 7" xfId="32540"/>
    <cellStyle name="Normal 3 20 7 10" xfId="32541"/>
    <cellStyle name="Normal 3 20 7 11" xfId="32542"/>
    <cellStyle name="Normal 3 20 7 12" xfId="32543"/>
    <cellStyle name="Normal 3 20 7 13" xfId="32544"/>
    <cellStyle name="Normal 3 20 7 14" xfId="32545"/>
    <cellStyle name="Normal 3 20 7 15" xfId="32546"/>
    <cellStyle name="Normal 3 20 7 16" xfId="32547"/>
    <cellStyle name="Normal 3 20 7 17" xfId="32548"/>
    <cellStyle name="Normal 3 20 7 2" xfId="32549"/>
    <cellStyle name="Normal 3 20 7 2 10" xfId="32550"/>
    <cellStyle name="Normal 3 20 7 2 11" xfId="32551"/>
    <cellStyle name="Normal 3 20 7 2 12" xfId="32552"/>
    <cellStyle name="Normal 3 20 7 2 13" xfId="32553"/>
    <cellStyle name="Normal 3 20 7 2 2" xfId="32554"/>
    <cellStyle name="Normal 3 20 7 2 2 2" xfId="32555"/>
    <cellStyle name="Normal 3 20 7 2 2 2 2" xfId="32556"/>
    <cellStyle name="Normal 3 20 7 2 2 3" xfId="32557"/>
    <cellStyle name="Normal 3 20 7 2 2 4" xfId="32558"/>
    <cellStyle name="Normal 3 20 7 2 2 5" xfId="32559"/>
    <cellStyle name="Normal 3 20 7 2 3" xfId="32560"/>
    <cellStyle name="Normal 3 20 7 2 3 2" xfId="32561"/>
    <cellStyle name="Normal 3 20 7 2 4" xfId="32562"/>
    <cellStyle name="Normal 3 20 7 2 4 2" xfId="32563"/>
    <cellStyle name="Normal 3 20 7 2 5" xfId="32564"/>
    <cellStyle name="Normal 3 20 7 2 5 2" xfId="32565"/>
    <cellStyle name="Normal 3 20 7 2 6" xfId="32566"/>
    <cellStyle name="Normal 3 20 7 2 6 2" xfId="32567"/>
    <cellStyle name="Normal 3 20 7 2 7" xfId="32568"/>
    <cellStyle name="Normal 3 20 7 2 8" xfId="32569"/>
    <cellStyle name="Normal 3 20 7 2 9" xfId="32570"/>
    <cellStyle name="Normal 3 20 7 3" xfId="32571"/>
    <cellStyle name="Normal 3 20 7 3 2" xfId="32572"/>
    <cellStyle name="Normal 3 20 7 3 2 2" xfId="32573"/>
    <cellStyle name="Normal 3 20 7 3 3" xfId="32574"/>
    <cellStyle name="Normal 3 20 7 3 4" xfId="32575"/>
    <cellStyle name="Normal 3 20 7 3 5" xfId="32576"/>
    <cellStyle name="Normal 3 20 7 4" xfId="32577"/>
    <cellStyle name="Normal 3 20 7 4 2" xfId="32578"/>
    <cellStyle name="Normal 3 20 7 5" xfId="32579"/>
    <cellStyle name="Normal 3 20 7 5 2" xfId="32580"/>
    <cellStyle name="Normal 3 20 7 6" xfId="32581"/>
    <cellStyle name="Normal 3 20 7 6 2" xfId="32582"/>
    <cellStyle name="Normal 3 20 7 7" xfId="32583"/>
    <cellStyle name="Normal 3 20 7 7 2" xfId="32584"/>
    <cellStyle name="Normal 3 20 7 8" xfId="32585"/>
    <cellStyle name="Normal 3 20 7 9" xfId="32586"/>
    <cellStyle name="Normal 3 20 8" xfId="32587"/>
    <cellStyle name="Normal 3 20 8 10" xfId="32588"/>
    <cellStyle name="Normal 3 20 8 11" xfId="32589"/>
    <cellStyle name="Normal 3 20 8 12" xfId="32590"/>
    <cellStyle name="Normal 3 20 8 13" xfId="32591"/>
    <cellStyle name="Normal 3 20 8 14" xfId="32592"/>
    <cellStyle name="Normal 3 20 8 15" xfId="32593"/>
    <cellStyle name="Normal 3 20 8 2" xfId="32594"/>
    <cellStyle name="Normal 3 20 8 2 2" xfId="32595"/>
    <cellStyle name="Normal 3 20 8 2 2 2" xfId="32596"/>
    <cellStyle name="Normal 3 20 8 2 3" xfId="32597"/>
    <cellStyle name="Normal 3 20 8 2 3 2" xfId="32598"/>
    <cellStyle name="Normal 3 20 8 2 4" xfId="32599"/>
    <cellStyle name="Normal 3 20 8 2 4 2" xfId="32600"/>
    <cellStyle name="Normal 3 20 8 2 5" xfId="32601"/>
    <cellStyle name="Normal 3 20 8 2 5 2" xfId="32602"/>
    <cellStyle name="Normal 3 20 8 2 6" xfId="32603"/>
    <cellStyle name="Normal 3 20 8 2 7" xfId="32604"/>
    <cellStyle name="Normal 3 20 8 2 8" xfId="32605"/>
    <cellStyle name="Normal 3 20 8 2 9" xfId="32606"/>
    <cellStyle name="Normal 3 20 8 3" xfId="32607"/>
    <cellStyle name="Normal 3 20 8 3 2" xfId="32608"/>
    <cellStyle name="Normal 3 20 8 3 2 2" xfId="32609"/>
    <cellStyle name="Normal 3 20 8 3 3" xfId="32610"/>
    <cellStyle name="Normal 3 20 8 3 4" xfId="32611"/>
    <cellStyle name="Normal 3 20 8 3 5" xfId="32612"/>
    <cellStyle name="Normal 3 20 8 4" xfId="32613"/>
    <cellStyle name="Normal 3 20 8 4 2" xfId="32614"/>
    <cellStyle name="Normal 3 20 8 5" xfId="32615"/>
    <cellStyle name="Normal 3 20 8 5 2" xfId="32616"/>
    <cellStyle name="Normal 3 20 8 6" xfId="32617"/>
    <cellStyle name="Normal 3 20 8 6 2" xfId="32618"/>
    <cellStyle name="Normal 3 20 8 7" xfId="32619"/>
    <cellStyle name="Normal 3 20 8 7 2" xfId="32620"/>
    <cellStyle name="Normal 3 20 8 8" xfId="32621"/>
    <cellStyle name="Normal 3 20 8 9" xfId="32622"/>
    <cellStyle name="Normal 3 20 9" xfId="32623"/>
    <cellStyle name="Normal 3 20 9 10" xfId="32624"/>
    <cellStyle name="Normal 3 20 9 11" xfId="32625"/>
    <cellStyle name="Normal 3 20 9 12" xfId="32626"/>
    <cellStyle name="Normal 3 20 9 13" xfId="32627"/>
    <cellStyle name="Normal 3 20 9 14" xfId="32628"/>
    <cellStyle name="Normal 3 20 9 15" xfId="32629"/>
    <cellStyle name="Normal 3 20 9 2" xfId="32630"/>
    <cellStyle name="Normal 3 20 9 2 2" xfId="32631"/>
    <cellStyle name="Normal 3 20 9 2 2 2" xfId="32632"/>
    <cellStyle name="Normal 3 20 9 2 3" xfId="32633"/>
    <cellStyle name="Normal 3 20 9 2 3 2" xfId="32634"/>
    <cellStyle name="Normal 3 20 9 2 4" xfId="32635"/>
    <cellStyle name="Normal 3 20 9 2 4 2" xfId="32636"/>
    <cellStyle name="Normal 3 20 9 2 5" xfId="32637"/>
    <cellStyle name="Normal 3 20 9 2 5 2" xfId="32638"/>
    <cellStyle name="Normal 3 20 9 2 6" xfId="32639"/>
    <cellStyle name="Normal 3 20 9 2 7" xfId="32640"/>
    <cellStyle name="Normal 3 20 9 2 8" xfId="32641"/>
    <cellStyle name="Normal 3 20 9 2 9" xfId="32642"/>
    <cellStyle name="Normal 3 20 9 3" xfId="32643"/>
    <cellStyle name="Normal 3 20 9 3 2" xfId="32644"/>
    <cellStyle name="Normal 3 20 9 3 2 2" xfId="32645"/>
    <cellStyle name="Normal 3 20 9 3 3" xfId="32646"/>
    <cellStyle name="Normal 3 20 9 3 4" xfId="32647"/>
    <cellStyle name="Normal 3 20 9 3 5" xfId="32648"/>
    <cellStyle name="Normal 3 20 9 4" xfId="32649"/>
    <cellStyle name="Normal 3 20 9 4 2" xfId="32650"/>
    <cellStyle name="Normal 3 20 9 5" xfId="32651"/>
    <cellStyle name="Normal 3 20 9 5 2" xfId="32652"/>
    <cellStyle name="Normal 3 20 9 6" xfId="32653"/>
    <cellStyle name="Normal 3 20 9 6 2" xfId="32654"/>
    <cellStyle name="Normal 3 20 9 7" xfId="32655"/>
    <cellStyle name="Normal 3 20 9 7 2" xfId="32656"/>
    <cellStyle name="Normal 3 20 9 8" xfId="32657"/>
    <cellStyle name="Normal 3 20 9 9" xfId="32658"/>
    <cellStyle name="Normal 3 21" xfId="32659"/>
    <cellStyle name="Normal 3 21 10" xfId="32660"/>
    <cellStyle name="Normal 3 21 10 10" xfId="32661"/>
    <cellStyle name="Normal 3 21 10 11" xfId="32662"/>
    <cellStyle name="Normal 3 21 10 12" xfId="32663"/>
    <cellStyle name="Normal 3 21 10 13" xfId="32664"/>
    <cellStyle name="Normal 3 21 10 14" xfId="32665"/>
    <cellStyle name="Normal 3 21 10 2" xfId="32666"/>
    <cellStyle name="Normal 3 21 10 2 2" xfId="32667"/>
    <cellStyle name="Normal 3 21 10 2 2 2" xfId="32668"/>
    <cellStyle name="Normal 3 21 10 2 3" xfId="32669"/>
    <cellStyle name="Normal 3 21 10 2 3 2" xfId="32670"/>
    <cellStyle name="Normal 3 21 10 2 4" xfId="32671"/>
    <cellStyle name="Normal 3 21 10 2 4 2" xfId="32672"/>
    <cellStyle name="Normal 3 21 10 2 5" xfId="32673"/>
    <cellStyle name="Normal 3 21 10 2 5 2" xfId="32674"/>
    <cellStyle name="Normal 3 21 10 2 6" xfId="32675"/>
    <cellStyle name="Normal 3 21 10 2 7" xfId="32676"/>
    <cellStyle name="Normal 3 21 10 2 8" xfId="32677"/>
    <cellStyle name="Normal 3 21 10 2 9" xfId="32678"/>
    <cellStyle name="Normal 3 21 10 3" xfId="32679"/>
    <cellStyle name="Normal 3 21 10 3 2" xfId="32680"/>
    <cellStyle name="Normal 3 21 10 3 2 2" xfId="32681"/>
    <cellStyle name="Normal 3 21 10 3 3" xfId="32682"/>
    <cellStyle name="Normal 3 21 10 3 4" xfId="32683"/>
    <cellStyle name="Normal 3 21 10 3 5" xfId="32684"/>
    <cellStyle name="Normal 3 21 10 4" xfId="32685"/>
    <cellStyle name="Normal 3 21 10 4 2" xfId="32686"/>
    <cellStyle name="Normal 3 21 10 5" xfId="32687"/>
    <cellStyle name="Normal 3 21 10 5 2" xfId="32688"/>
    <cellStyle name="Normal 3 21 10 6" xfId="32689"/>
    <cellStyle name="Normal 3 21 10 6 2" xfId="32690"/>
    <cellStyle name="Normal 3 21 10 7" xfId="32691"/>
    <cellStyle name="Normal 3 21 10 7 2" xfId="32692"/>
    <cellStyle name="Normal 3 21 10 8" xfId="32693"/>
    <cellStyle name="Normal 3 21 10 9" xfId="32694"/>
    <cellStyle name="Normal 3 21 11" xfId="32695"/>
    <cellStyle name="Normal 3 21 11 2" xfId="32696"/>
    <cellStyle name="Normal 3 21 11 2 2" xfId="32697"/>
    <cellStyle name="Normal 3 21 11 3" xfId="32698"/>
    <cellStyle name="Normal 3 21 11 3 2" xfId="32699"/>
    <cellStyle name="Normal 3 21 11 4" xfId="32700"/>
    <cellStyle name="Normal 3 21 11 4 2" xfId="32701"/>
    <cellStyle name="Normal 3 21 11 5" xfId="32702"/>
    <cellStyle name="Normal 3 21 11 5 2" xfId="32703"/>
    <cellStyle name="Normal 3 21 11 6" xfId="32704"/>
    <cellStyle name="Normal 3 21 11 7" xfId="32705"/>
    <cellStyle name="Normal 3 21 11 8" xfId="32706"/>
    <cellStyle name="Normal 3 21 11 9" xfId="32707"/>
    <cellStyle name="Normal 3 21 12" xfId="32708"/>
    <cellStyle name="Normal 3 21 12 2" xfId="32709"/>
    <cellStyle name="Normal 3 21 12 2 2" xfId="32710"/>
    <cellStyle name="Normal 3 21 12 3" xfId="32711"/>
    <cellStyle name="Normal 3 21 12 4" xfId="32712"/>
    <cellStyle name="Normal 3 21 12 5" xfId="32713"/>
    <cellStyle name="Normal 3 21 13" xfId="32714"/>
    <cellStyle name="Normal 3 21 13 2" xfId="32715"/>
    <cellStyle name="Normal 3 21 14" xfId="32716"/>
    <cellStyle name="Normal 3 21 14 2" xfId="32717"/>
    <cellStyle name="Normal 3 21 15" xfId="32718"/>
    <cellStyle name="Normal 3 21 15 2" xfId="32719"/>
    <cellStyle name="Normal 3 21 16" xfId="32720"/>
    <cellStyle name="Normal 3 21 16 2" xfId="32721"/>
    <cellStyle name="Normal 3 21 17" xfId="32722"/>
    <cellStyle name="Normal 3 21 18" xfId="32723"/>
    <cellStyle name="Normal 3 21 19" xfId="32724"/>
    <cellStyle name="Normal 3 21 2" xfId="32725"/>
    <cellStyle name="Normal 3 21 2 10" xfId="32726"/>
    <cellStyle name="Normal 3 21 2 11" xfId="32727"/>
    <cellStyle name="Normal 3 21 2 12" xfId="32728"/>
    <cellStyle name="Normal 3 21 2 13" xfId="32729"/>
    <cellStyle name="Normal 3 21 2 14" xfId="32730"/>
    <cellStyle name="Normal 3 21 2 15" xfId="32731"/>
    <cellStyle name="Normal 3 21 2 16" xfId="32732"/>
    <cellStyle name="Normal 3 21 2 17" xfId="32733"/>
    <cellStyle name="Normal 3 21 2 18" xfId="32734"/>
    <cellStyle name="Normal 3 21 2 2" xfId="32735"/>
    <cellStyle name="Normal 3 21 2 2 10" xfId="32736"/>
    <cellStyle name="Normal 3 21 2 2 11" xfId="32737"/>
    <cellStyle name="Normal 3 21 2 2 12" xfId="32738"/>
    <cellStyle name="Normal 3 21 2 2 13" xfId="32739"/>
    <cellStyle name="Normal 3 21 2 2 2" xfId="32740"/>
    <cellStyle name="Normal 3 21 2 2 2 2" xfId="32741"/>
    <cellStyle name="Normal 3 21 2 2 2 2 2" xfId="32742"/>
    <cellStyle name="Normal 3 21 2 2 2 3" xfId="32743"/>
    <cellStyle name="Normal 3 21 2 2 2 4" xfId="32744"/>
    <cellStyle name="Normal 3 21 2 2 2 5" xfId="32745"/>
    <cellStyle name="Normal 3 21 2 2 3" xfId="32746"/>
    <cellStyle name="Normal 3 21 2 2 3 2" xfId="32747"/>
    <cellStyle name="Normal 3 21 2 2 4" xfId="32748"/>
    <cellStyle name="Normal 3 21 2 2 4 2" xfId="32749"/>
    <cellStyle name="Normal 3 21 2 2 5" xfId="32750"/>
    <cellStyle name="Normal 3 21 2 2 5 2" xfId="32751"/>
    <cellStyle name="Normal 3 21 2 2 6" xfId="32752"/>
    <cellStyle name="Normal 3 21 2 2 6 2" xfId="32753"/>
    <cellStyle name="Normal 3 21 2 2 7" xfId="32754"/>
    <cellStyle name="Normal 3 21 2 2 8" xfId="32755"/>
    <cellStyle name="Normal 3 21 2 2 9" xfId="32756"/>
    <cellStyle name="Normal 3 21 2 3" xfId="32757"/>
    <cellStyle name="Normal 3 21 2 3 2" xfId="32758"/>
    <cellStyle name="Normal 3 21 2 3 2 2" xfId="32759"/>
    <cellStyle name="Normal 3 21 2 3 3" xfId="32760"/>
    <cellStyle name="Normal 3 21 2 3 4" xfId="32761"/>
    <cellStyle name="Normal 3 21 2 3 5" xfId="32762"/>
    <cellStyle name="Normal 3 21 2 4" xfId="32763"/>
    <cellStyle name="Normal 3 21 2 4 2" xfId="32764"/>
    <cellStyle name="Normal 3 21 2 5" xfId="32765"/>
    <cellStyle name="Normal 3 21 2 5 2" xfId="32766"/>
    <cellStyle name="Normal 3 21 2 6" xfId="32767"/>
    <cellStyle name="Normal 3 21 2 6 2" xfId="32768"/>
    <cellStyle name="Normal 3 21 2 7" xfId="32769"/>
    <cellStyle name="Normal 3 21 2 7 2" xfId="32770"/>
    <cellStyle name="Normal 3 21 2 8" xfId="32771"/>
    <cellStyle name="Normal 3 21 2 9" xfId="32772"/>
    <cellStyle name="Normal 3 21 20" xfId="32773"/>
    <cellStyle name="Normal 3 21 21" xfId="32774"/>
    <cellStyle name="Normal 3 21 22" xfId="32775"/>
    <cellStyle name="Normal 3 21 23" xfId="32776"/>
    <cellStyle name="Normal 3 21 24" xfId="32777"/>
    <cellStyle name="Normal 3 21 25" xfId="32778"/>
    <cellStyle name="Normal 3 21 3" xfId="32779"/>
    <cellStyle name="Normal 3 21 3 10" xfId="32780"/>
    <cellStyle name="Normal 3 21 3 11" xfId="32781"/>
    <cellStyle name="Normal 3 21 3 12" xfId="32782"/>
    <cellStyle name="Normal 3 21 3 13" xfId="32783"/>
    <cellStyle name="Normal 3 21 3 14" xfId="32784"/>
    <cellStyle name="Normal 3 21 3 15" xfId="32785"/>
    <cellStyle name="Normal 3 21 3 16" xfId="32786"/>
    <cellStyle name="Normal 3 21 3 17" xfId="32787"/>
    <cellStyle name="Normal 3 21 3 18" xfId="32788"/>
    <cellStyle name="Normal 3 21 3 2" xfId="32789"/>
    <cellStyle name="Normal 3 21 3 2 10" xfId="32790"/>
    <cellStyle name="Normal 3 21 3 2 11" xfId="32791"/>
    <cellStyle name="Normal 3 21 3 2 12" xfId="32792"/>
    <cellStyle name="Normal 3 21 3 2 13" xfId="32793"/>
    <cellStyle name="Normal 3 21 3 2 2" xfId="32794"/>
    <cellStyle name="Normal 3 21 3 2 2 2" xfId="32795"/>
    <cellStyle name="Normal 3 21 3 2 2 2 2" xfId="32796"/>
    <cellStyle name="Normal 3 21 3 2 2 3" xfId="32797"/>
    <cellStyle name="Normal 3 21 3 2 2 4" xfId="32798"/>
    <cellStyle name="Normal 3 21 3 2 2 5" xfId="32799"/>
    <cellStyle name="Normal 3 21 3 2 3" xfId="32800"/>
    <cellStyle name="Normal 3 21 3 2 3 2" xfId="32801"/>
    <cellStyle name="Normal 3 21 3 2 4" xfId="32802"/>
    <cellStyle name="Normal 3 21 3 2 4 2" xfId="32803"/>
    <cellStyle name="Normal 3 21 3 2 5" xfId="32804"/>
    <cellStyle name="Normal 3 21 3 2 5 2" xfId="32805"/>
    <cellStyle name="Normal 3 21 3 2 6" xfId="32806"/>
    <cellStyle name="Normal 3 21 3 2 6 2" xfId="32807"/>
    <cellStyle name="Normal 3 21 3 2 7" xfId="32808"/>
    <cellStyle name="Normal 3 21 3 2 8" xfId="32809"/>
    <cellStyle name="Normal 3 21 3 2 9" xfId="32810"/>
    <cellStyle name="Normal 3 21 3 3" xfId="32811"/>
    <cellStyle name="Normal 3 21 3 3 2" xfId="32812"/>
    <cellStyle name="Normal 3 21 3 3 2 2" xfId="32813"/>
    <cellStyle name="Normal 3 21 3 3 3" xfId="32814"/>
    <cellStyle name="Normal 3 21 3 3 4" xfId="32815"/>
    <cellStyle name="Normal 3 21 3 3 5" xfId="32816"/>
    <cellStyle name="Normal 3 21 3 4" xfId="32817"/>
    <cellStyle name="Normal 3 21 3 4 2" xfId="32818"/>
    <cellStyle name="Normal 3 21 3 5" xfId="32819"/>
    <cellStyle name="Normal 3 21 3 5 2" xfId="32820"/>
    <cellStyle name="Normal 3 21 3 6" xfId="32821"/>
    <cellStyle name="Normal 3 21 3 6 2" xfId="32822"/>
    <cellStyle name="Normal 3 21 3 7" xfId="32823"/>
    <cellStyle name="Normal 3 21 3 7 2" xfId="32824"/>
    <cellStyle name="Normal 3 21 3 8" xfId="32825"/>
    <cellStyle name="Normal 3 21 3 9" xfId="32826"/>
    <cellStyle name="Normal 3 21 4" xfId="32827"/>
    <cellStyle name="Normal 3 21 4 10" xfId="32828"/>
    <cellStyle name="Normal 3 21 4 11" xfId="32829"/>
    <cellStyle name="Normal 3 21 4 12" xfId="32830"/>
    <cellStyle name="Normal 3 21 4 13" xfId="32831"/>
    <cellStyle name="Normal 3 21 4 14" xfId="32832"/>
    <cellStyle name="Normal 3 21 4 15" xfId="32833"/>
    <cellStyle name="Normal 3 21 4 16" xfId="32834"/>
    <cellStyle name="Normal 3 21 4 17" xfId="32835"/>
    <cellStyle name="Normal 3 21 4 18" xfId="32836"/>
    <cellStyle name="Normal 3 21 4 2" xfId="32837"/>
    <cellStyle name="Normal 3 21 4 2 10" xfId="32838"/>
    <cellStyle name="Normal 3 21 4 2 11" xfId="32839"/>
    <cellStyle name="Normal 3 21 4 2 12" xfId="32840"/>
    <cellStyle name="Normal 3 21 4 2 13" xfId="32841"/>
    <cellStyle name="Normal 3 21 4 2 2" xfId="32842"/>
    <cellStyle name="Normal 3 21 4 2 2 2" xfId="32843"/>
    <cellStyle name="Normal 3 21 4 2 2 2 2" xfId="32844"/>
    <cellStyle name="Normal 3 21 4 2 2 3" xfId="32845"/>
    <cellStyle name="Normal 3 21 4 2 2 4" xfId="32846"/>
    <cellStyle name="Normal 3 21 4 2 2 5" xfId="32847"/>
    <cellStyle name="Normal 3 21 4 2 3" xfId="32848"/>
    <cellStyle name="Normal 3 21 4 2 3 2" xfId="32849"/>
    <cellStyle name="Normal 3 21 4 2 4" xfId="32850"/>
    <cellStyle name="Normal 3 21 4 2 4 2" xfId="32851"/>
    <cellStyle name="Normal 3 21 4 2 5" xfId="32852"/>
    <cellStyle name="Normal 3 21 4 2 5 2" xfId="32853"/>
    <cellStyle name="Normal 3 21 4 2 6" xfId="32854"/>
    <cellStyle name="Normal 3 21 4 2 6 2" xfId="32855"/>
    <cellStyle name="Normal 3 21 4 2 7" xfId="32856"/>
    <cellStyle name="Normal 3 21 4 2 8" xfId="32857"/>
    <cellStyle name="Normal 3 21 4 2 9" xfId="32858"/>
    <cellStyle name="Normal 3 21 4 3" xfId="32859"/>
    <cellStyle name="Normal 3 21 4 3 2" xfId="32860"/>
    <cellStyle name="Normal 3 21 4 3 2 2" xfId="32861"/>
    <cellStyle name="Normal 3 21 4 3 3" xfId="32862"/>
    <cellStyle name="Normal 3 21 4 3 4" xfId="32863"/>
    <cellStyle name="Normal 3 21 4 3 5" xfId="32864"/>
    <cellStyle name="Normal 3 21 4 4" xfId="32865"/>
    <cellStyle name="Normal 3 21 4 4 2" xfId="32866"/>
    <cellStyle name="Normal 3 21 4 5" xfId="32867"/>
    <cellStyle name="Normal 3 21 4 5 2" xfId="32868"/>
    <cellStyle name="Normal 3 21 4 6" xfId="32869"/>
    <cellStyle name="Normal 3 21 4 6 2" xfId="32870"/>
    <cellStyle name="Normal 3 21 4 7" xfId="32871"/>
    <cellStyle name="Normal 3 21 4 7 2" xfId="32872"/>
    <cellStyle name="Normal 3 21 4 8" xfId="32873"/>
    <cellStyle name="Normal 3 21 4 9" xfId="32874"/>
    <cellStyle name="Normal 3 21 5" xfId="32875"/>
    <cellStyle name="Normal 3 21 5 10" xfId="32876"/>
    <cellStyle name="Normal 3 21 5 11" xfId="32877"/>
    <cellStyle name="Normal 3 21 5 12" xfId="32878"/>
    <cellStyle name="Normal 3 21 5 13" xfId="32879"/>
    <cellStyle name="Normal 3 21 5 14" xfId="32880"/>
    <cellStyle name="Normal 3 21 5 15" xfId="32881"/>
    <cellStyle name="Normal 3 21 5 16" xfId="32882"/>
    <cellStyle name="Normal 3 21 5 17" xfId="32883"/>
    <cellStyle name="Normal 3 21 5 2" xfId="32884"/>
    <cellStyle name="Normal 3 21 5 2 10" xfId="32885"/>
    <cellStyle name="Normal 3 21 5 2 11" xfId="32886"/>
    <cellStyle name="Normal 3 21 5 2 12" xfId="32887"/>
    <cellStyle name="Normal 3 21 5 2 13" xfId="32888"/>
    <cellStyle name="Normal 3 21 5 2 2" xfId="32889"/>
    <cellStyle name="Normal 3 21 5 2 2 2" xfId="32890"/>
    <cellStyle name="Normal 3 21 5 2 2 2 2" xfId="32891"/>
    <cellStyle name="Normal 3 21 5 2 2 3" xfId="32892"/>
    <cellStyle name="Normal 3 21 5 2 2 4" xfId="32893"/>
    <cellStyle name="Normal 3 21 5 2 2 5" xfId="32894"/>
    <cellStyle name="Normal 3 21 5 2 3" xfId="32895"/>
    <cellStyle name="Normal 3 21 5 2 3 2" xfId="32896"/>
    <cellStyle name="Normal 3 21 5 2 4" xfId="32897"/>
    <cellStyle name="Normal 3 21 5 2 4 2" xfId="32898"/>
    <cellStyle name="Normal 3 21 5 2 5" xfId="32899"/>
    <cellStyle name="Normal 3 21 5 2 5 2" xfId="32900"/>
    <cellStyle name="Normal 3 21 5 2 6" xfId="32901"/>
    <cellStyle name="Normal 3 21 5 2 6 2" xfId="32902"/>
    <cellStyle name="Normal 3 21 5 2 7" xfId="32903"/>
    <cellStyle name="Normal 3 21 5 2 8" xfId="32904"/>
    <cellStyle name="Normal 3 21 5 2 9" xfId="32905"/>
    <cellStyle name="Normal 3 21 5 3" xfId="32906"/>
    <cellStyle name="Normal 3 21 5 3 2" xfId="32907"/>
    <cellStyle name="Normal 3 21 5 3 2 2" xfId="32908"/>
    <cellStyle name="Normal 3 21 5 3 3" xfId="32909"/>
    <cellStyle name="Normal 3 21 5 3 4" xfId="32910"/>
    <cellStyle name="Normal 3 21 5 3 5" xfId="32911"/>
    <cellStyle name="Normal 3 21 5 4" xfId="32912"/>
    <cellStyle name="Normal 3 21 5 4 2" xfId="32913"/>
    <cellStyle name="Normal 3 21 5 5" xfId="32914"/>
    <cellStyle name="Normal 3 21 5 5 2" xfId="32915"/>
    <cellStyle name="Normal 3 21 5 6" xfId="32916"/>
    <cellStyle name="Normal 3 21 5 6 2" xfId="32917"/>
    <cellStyle name="Normal 3 21 5 7" xfId="32918"/>
    <cellStyle name="Normal 3 21 5 7 2" xfId="32919"/>
    <cellStyle name="Normal 3 21 5 8" xfId="32920"/>
    <cellStyle name="Normal 3 21 5 9" xfId="32921"/>
    <cellStyle name="Normal 3 21 6" xfId="32922"/>
    <cellStyle name="Normal 3 21 6 10" xfId="32923"/>
    <cellStyle name="Normal 3 21 6 11" xfId="32924"/>
    <cellStyle name="Normal 3 21 6 12" xfId="32925"/>
    <cellStyle name="Normal 3 21 6 13" xfId="32926"/>
    <cellStyle name="Normal 3 21 6 14" xfId="32927"/>
    <cellStyle name="Normal 3 21 6 15" xfId="32928"/>
    <cellStyle name="Normal 3 21 6 16" xfId="32929"/>
    <cellStyle name="Normal 3 21 6 17" xfId="32930"/>
    <cellStyle name="Normal 3 21 6 2" xfId="32931"/>
    <cellStyle name="Normal 3 21 6 2 10" xfId="32932"/>
    <cellStyle name="Normal 3 21 6 2 11" xfId="32933"/>
    <cellStyle name="Normal 3 21 6 2 12" xfId="32934"/>
    <cellStyle name="Normal 3 21 6 2 13" xfId="32935"/>
    <cellStyle name="Normal 3 21 6 2 2" xfId="32936"/>
    <cellStyle name="Normal 3 21 6 2 2 2" xfId="32937"/>
    <cellStyle name="Normal 3 21 6 2 2 2 2" xfId="32938"/>
    <cellStyle name="Normal 3 21 6 2 2 3" xfId="32939"/>
    <cellStyle name="Normal 3 21 6 2 2 4" xfId="32940"/>
    <cellStyle name="Normal 3 21 6 2 2 5" xfId="32941"/>
    <cellStyle name="Normal 3 21 6 2 3" xfId="32942"/>
    <cellStyle name="Normal 3 21 6 2 3 2" xfId="32943"/>
    <cellStyle name="Normal 3 21 6 2 4" xfId="32944"/>
    <cellStyle name="Normal 3 21 6 2 4 2" xfId="32945"/>
    <cellStyle name="Normal 3 21 6 2 5" xfId="32946"/>
    <cellStyle name="Normal 3 21 6 2 5 2" xfId="32947"/>
    <cellStyle name="Normal 3 21 6 2 6" xfId="32948"/>
    <cellStyle name="Normal 3 21 6 2 6 2" xfId="32949"/>
    <cellStyle name="Normal 3 21 6 2 7" xfId="32950"/>
    <cellStyle name="Normal 3 21 6 2 8" xfId="32951"/>
    <cellStyle name="Normal 3 21 6 2 9" xfId="32952"/>
    <cellStyle name="Normal 3 21 6 3" xfId="32953"/>
    <cellStyle name="Normal 3 21 6 3 2" xfId="32954"/>
    <cellStyle name="Normal 3 21 6 3 2 2" xfId="32955"/>
    <cellStyle name="Normal 3 21 6 3 3" xfId="32956"/>
    <cellStyle name="Normal 3 21 6 3 4" xfId="32957"/>
    <cellStyle name="Normal 3 21 6 3 5" xfId="32958"/>
    <cellStyle name="Normal 3 21 6 4" xfId="32959"/>
    <cellStyle name="Normal 3 21 6 4 2" xfId="32960"/>
    <cellStyle name="Normal 3 21 6 5" xfId="32961"/>
    <cellStyle name="Normal 3 21 6 5 2" xfId="32962"/>
    <cellStyle name="Normal 3 21 6 6" xfId="32963"/>
    <cellStyle name="Normal 3 21 6 6 2" xfId="32964"/>
    <cellStyle name="Normal 3 21 6 7" xfId="32965"/>
    <cellStyle name="Normal 3 21 6 7 2" xfId="32966"/>
    <cellStyle name="Normal 3 21 6 8" xfId="32967"/>
    <cellStyle name="Normal 3 21 6 9" xfId="32968"/>
    <cellStyle name="Normal 3 21 7" xfId="32969"/>
    <cellStyle name="Normal 3 21 7 10" xfId="32970"/>
    <cellStyle name="Normal 3 21 7 11" xfId="32971"/>
    <cellStyle name="Normal 3 21 7 12" xfId="32972"/>
    <cellStyle name="Normal 3 21 7 13" xfId="32973"/>
    <cellStyle name="Normal 3 21 7 14" xfId="32974"/>
    <cellStyle name="Normal 3 21 7 15" xfId="32975"/>
    <cellStyle name="Normal 3 21 7 16" xfId="32976"/>
    <cellStyle name="Normal 3 21 7 17" xfId="32977"/>
    <cellStyle name="Normal 3 21 7 2" xfId="32978"/>
    <cellStyle name="Normal 3 21 7 2 10" xfId="32979"/>
    <cellStyle name="Normal 3 21 7 2 11" xfId="32980"/>
    <cellStyle name="Normal 3 21 7 2 12" xfId="32981"/>
    <cellStyle name="Normal 3 21 7 2 13" xfId="32982"/>
    <cellStyle name="Normal 3 21 7 2 2" xfId="32983"/>
    <cellStyle name="Normal 3 21 7 2 2 2" xfId="32984"/>
    <cellStyle name="Normal 3 21 7 2 2 2 2" xfId="32985"/>
    <cellStyle name="Normal 3 21 7 2 2 3" xfId="32986"/>
    <cellStyle name="Normal 3 21 7 2 2 4" xfId="32987"/>
    <cellStyle name="Normal 3 21 7 2 2 5" xfId="32988"/>
    <cellStyle name="Normal 3 21 7 2 3" xfId="32989"/>
    <cellStyle name="Normal 3 21 7 2 3 2" xfId="32990"/>
    <cellStyle name="Normal 3 21 7 2 4" xfId="32991"/>
    <cellStyle name="Normal 3 21 7 2 4 2" xfId="32992"/>
    <cellStyle name="Normal 3 21 7 2 5" xfId="32993"/>
    <cellStyle name="Normal 3 21 7 2 5 2" xfId="32994"/>
    <cellStyle name="Normal 3 21 7 2 6" xfId="32995"/>
    <cellStyle name="Normal 3 21 7 2 6 2" xfId="32996"/>
    <cellStyle name="Normal 3 21 7 2 7" xfId="32997"/>
    <cellStyle name="Normal 3 21 7 2 8" xfId="32998"/>
    <cellStyle name="Normal 3 21 7 2 9" xfId="32999"/>
    <cellStyle name="Normal 3 21 7 3" xfId="33000"/>
    <cellStyle name="Normal 3 21 7 3 2" xfId="33001"/>
    <cellStyle name="Normal 3 21 7 3 2 2" xfId="33002"/>
    <cellStyle name="Normal 3 21 7 3 3" xfId="33003"/>
    <cellStyle name="Normal 3 21 7 3 4" xfId="33004"/>
    <cellStyle name="Normal 3 21 7 3 5" xfId="33005"/>
    <cellStyle name="Normal 3 21 7 4" xfId="33006"/>
    <cellStyle name="Normal 3 21 7 4 2" xfId="33007"/>
    <cellStyle name="Normal 3 21 7 5" xfId="33008"/>
    <cellStyle name="Normal 3 21 7 5 2" xfId="33009"/>
    <cellStyle name="Normal 3 21 7 6" xfId="33010"/>
    <cellStyle name="Normal 3 21 7 6 2" xfId="33011"/>
    <cellStyle name="Normal 3 21 7 7" xfId="33012"/>
    <cellStyle name="Normal 3 21 7 7 2" xfId="33013"/>
    <cellStyle name="Normal 3 21 7 8" xfId="33014"/>
    <cellStyle name="Normal 3 21 7 9" xfId="33015"/>
    <cellStyle name="Normal 3 21 8" xfId="33016"/>
    <cellStyle name="Normal 3 21 8 10" xfId="33017"/>
    <cellStyle name="Normal 3 21 8 11" xfId="33018"/>
    <cellStyle name="Normal 3 21 8 12" xfId="33019"/>
    <cellStyle name="Normal 3 21 8 13" xfId="33020"/>
    <cellStyle name="Normal 3 21 8 14" xfId="33021"/>
    <cellStyle name="Normal 3 21 8 15" xfId="33022"/>
    <cellStyle name="Normal 3 21 8 2" xfId="33023"/>
    <cellStyle name="Normal 3 21 8 2 2" xfId="33024"/>
    <cellStyle name="Normal 3 21 8 2 2 2" xfId="33025"/>
    <cellStyle name="Normal 3 21 8 2 3" xfId="33026"/>
    <cellStyle name="Normal 3 21 8 2 3 2" xfId="33027"/>
    <cellStyle name="Normal 3 21 8 2 4" xfId="33028"/>
    <cellStyle name="Normal 3 21 8 2 4 2" xfId="33029"/>
    <cellStyle name="Normal 3 21 8 2 5" xfId="33030"/>
    <cellStyle name="Normal 3 21 8 2 5 2" xfId="33031"/>
    <cellStyle name="Normal 3 21 8 2 6" xfId="33032"/>
    <cellStyle name="Normal 3 21 8 2 7" xfId="33033"/>
    <cellStyle name="Normal 3 21 8 2 8" xfId="33034"/>
    <cellStyle name="Normal 3 21 8 2 9" xfId="33035"/>
    <cellStyle name="Normal 3 21 8 3" xfId="33036"/>
    <cellStyle name="Normal 3 21 8 3 2" xfId="33037"/>
    <cellStyle name="Normal 3 21 8 3 2 2" xfId="33038"/>
    <cellStyle name="Normal 3 21 8 3 3" xfId="33039"/>
    <cellStyle name="Normal 3 21 8 3 4" xfId="33040"/>
    <cellStyle name="Normal 3 21 8 3 5" xfId="33041"/>
    <cellStyle name="Normal 3 21 8 4" xfId="33042"/>
    <cellStyle name="Normal 3 21 8 4 2" xfId="33043"/>
    <cellStyle name="Normal 3 21 8 5" xfId="33044"/>
    <cellStyle name="Normal 3 21 8 5 2" xfId="33045"/>
    <cellStyle name="Normal 3 21 8 6" xfId="33046"/>
    <cellStyle name="Normal 3 21 8 6 2" xfId="33047"/>
    <cellStyle name="Normal 3 21 8 7" xfId="33048"/>
    <cellStyle name="Normal 3 21 8 7 2" xfId="33049"/>
    <cellStyle name="Normal 3 21 8 8" xfId="33050"/>
    <cellStyle name="Normal 3 21 8 9" xfId="33051"/>
    <cellStyle name="Normal 3 21 9" xfId="33052"/>
    <cellStyle name="Normal 3 21 9 10" xfId="33053"/>
    <cellStyle name="Normal 3 21 9 11" xfId="33054"/>
    <cellStyle name="Normal 3 21 9 12" xfId="33055"/>
    <cellStyle name="Normal 3 21 9 13" xfId="33056"/>
    <cellStyle name="Normal 3 21 9 14" xfId="33057"/>
    <cellStyle name="Normal 3 21 9 15" xfId="33058"/>
    <cellStyle name="Normal 3 21 9 2" xfId="33059"/>
    <cellStyle name="Normal 3 21 9 2 2" xfId="33060"/>
    <cellStyle name="Normal 3 21 9 2 2 2" xfId="33061"/>
    <cellStyle name="Normal 3 21 9 2 3" xfId="33062"/>
    <cellStyle name="Normal 3 21 9 2 3 2" xfId="33063"/>
    <cellStyle name="Normal 3 21 9 2 4" xfId="33064"/>
    <cellStyle name="Normal 3 21 9 2 4 2" xfId="33065"/>
    <cellStyle name="Normal 3 21 9 2 5" xfId="33066"/>
    <cellStyle name="Normal 3 21 9 2 5 2" xfId="33067"/>
    <cellStyle name="Normal 3 21 9 2 6" xfId="33068"/>
    <cellStyle name="Normal 3 21 9 2 7" xfId="33069"/>
    <cellStyle name="Normal 3 21 9 2 8" xfId="33070"/>
    <cellStyle name="Normal 3 21 9 2 9" xfId="33071"/>
    <cellStyle name="Normal 3 21 9 3" xfId="33072"/>
    <cellStyle name="Normal 3 21 9 3 2" xfId="33073"/>
    <cellStyle name="Normal 3 21 9 3 2 2" xfId="33074"/>
    <cellStyle name="Normal 3 21 9 3 3" xfId="33075"/>
    <cellStyle name="Normal 3 21 9 3 4" xfId="33076"/>
    <cellStyle name="Normal 3 21 9 3 5" xfId="33077"/>
    <cellStyle name="Normal 3 21 9 4" xfId="33078"/>
    <cellStyle name="Normal 3 21 9 4 2" xfId="33079"/>
    <cellStyle name="Normal 3 21 9 5" xfId="33080"/>
    <cellStyle name="Normal 3 21 9 5 2" xfId="33081"/>
    <cellStyle name="Normal 3 21 9 6" xfId="33082"/>
    <cellStyle name="Normal 3 21 9 6 2" xfId="33083"/>
    <cellStyle name="Normal 3 21 9 7" xfId="33084"/>
    <cellStyle name="Normal 3 21 9 7 2" xfId="33085"/>
    <cellStyle name="Normal 3 21 9 8" xfId="33086"/>
    <cellStyle name="Normal 3 21 9 9" xfId="33087"/>
    <cellStyle name="Normal 3 22" xfId="33088"/>
    <cellStyle name="Normal 3 22 10" xfId="33089"/>
    <cellStyle name="Normal 3 22 11" xfId="33090"/>
    <cellStyle name="Normal 3 22 12" xfId="33091"/>
    <cellStyle name="Normal 3 22 13" xfId="33092"/>
    <cellStyle name="Normal 3 22 14" xfId="33093"/>
    <cellStyle name="Normal 3 22 15" xfId="33094"/>
    <cellStyle name="Normal 3 22 16" xfId="33095"/>
    <cellStyle name="Normal 3 22 17" xfId="33096"/>
    <cellStyle name="Normal 3 22 18" xfId="33097"/>
    <cellStyle name="Normal 3 22 2" xfId="33098"/>
    <cellStyle name="Normal 3 22 2 10" xfId="33099"/>
    <cellStyle name="Normal 3 22 2 11" xfId="33100"/>
    <cellStyle name="Normal 3 22 2 12" xfId="33101"/>
    <cellStyle name="Normal 3 22 2 13" xfId="33102"/>
    <cellStyle name="Normal 3 22 2 2" xfId="33103"/>
    <cellStyle name="Normal 3 22 2 2 2" xfId="33104"/>
    <cellStyle name="Normal 3 22 2 2 2 2" xfId="33105"/>
    <cellStyle name="Normal 3 22 2 2 3" xfId="33106"/>
    <cellStyle name="Normal 3 22 2 2 4" xfId="33107"/>
    <cellStyle name="Normal 3 22 2 2 5" xfId="33108"/>
    <cellStyle name="Normal 3 22 2 3" xfId="33109"/>
    <cellStyle name="Normal 3 22 2 3 2" xfId="33110"/>
    <cellStyle name="Normal 3 22 2 4" xfId="33111"/>
    <cellStyle name="Normal 3 22 2 4 2" xfId="33112"/>
    <cellStyle name="Normal 3 22 2 5" xfId="33113"/>
    <cellStyle name="Normal 3 22 2 5 2" xfId="33114"/>
    <cellStyle name="Normal 3 22 2 6" xfId="33115"/>
    <cellStyle name="Normal 3 22 2 6 2" xfId="33116"/>
    <cellStyle name="Normal 3 22 2 7" xfId="33117"/>
    <cellStyle name="Normal 3 22 2 8" xfId="33118"/>
    <cellStyle name="Normal 3 22 2 9" xfId="33119"/>
    <cellStyle name="Normal 3 22 3" xfId="33120"/>
    <cellStyle name="Normal 3 22 3 2" xfId="33121"/>
    <cellStyle name="Normal 3 22 3 2 2" xfId="33122"/>
    <cellStyle name="Normal 3 22 3 3" xfId="33123"/>
    <cellStyle name="Normal 3 22 3 4" xfId="33124"/>
    <cellStyle name="Normal 3 22 3 5" xfId="33125"/>
    <cellStyle name="Normal 3 22 4" xfId="33126"/>
    <cellStyle name="Normal 3 22 4 2" xfId="33127"/>
    <cellStyle name="Normal 3 22 5" xfId="33128"/>
    <cellStyle name="Normal 3 22 5 2" xfId="33129"/>
    <cellStyle name="Normal 3 22 6" xfId="33130"/>
    <cellStyle name="Normal 3 22 6 2" xfId="33131"/>
    <cellStyle name="Normal 3 22 7" xfId="33132"/>
    <cellStyle name="Normal 3 22 7 2" xfId="33133"/>
    <cellStyle name="Normal 3 22 8" xfId="33134"/>
    <cellStyle name="Normal 3 22 9" xfId="33135"/>
    <cellStyle name="Normal 3 23" xfId="33136"/>
    <cellStyle name="Normal 3 23 10" xfId="33137"/>
    <cellStyle name="Normal 3 23 11" xfId="33138"/>
    <cellStyle name="Normal 3 23 12" xfId="33139"/>
    <cellStyle name="Normal 3 23 13" xfId="33140"/>
    <cellStyle name="Normal 3 23 14" xfId="33141"/>
    <cellStyle name="Normal 3 23 15" xfId="33142"/>
    <cellStyle name="Normal 3 23 16" xfId="33143"/>
    <cellStyle name="Normal 3 23 17" xfId="33144"/>
    <cellStyle name="Normal 3 23 18" xfId="33145"/>
    <cellStyle name="Normal 3 23 2" xfId="33146"/>
    <cellStyle name="Normal 3 23 2 10" xfId="33147"/>
    <cellStyle name="Normal 3 23 2 11" xfId="33148"/>
    <cellStyle name="Normal 3 23 2 12" xfId="33149"/>
    <cellStyle name="Normal 3 23 2 13" xfId="33150"/>
    <cellStyle name="Normal 3 23 2 2" xfId="33151"/>
    <cellStyle name="Normal 3 23 2 2 2" xfId="33152"/>
    <cellStyle name="Normal 3 23 2 2 2 2" xfId="33153"/>
    <cellStyle name="Normal 3 23 2 2 3" xfId="33154"/>
    <cellStyle name="Normal 3 23 2 2 4" xfId="33155"/>
    <cellStyle name="Normal 3 23 2 2 5" xfId="33156"/>
    <cellStyle name="Normal 3 23 2 3" xfId="33157"/>
    <cellStyle name="Normal 3 23 2 3 2" xfId="33158"/>
    <cellStyle name="Normal 3 23 2 4" xfId="33159"/>
    <cellStyle name="Normal 3 23 2 4 2" xfId="33160"/>
    <cellStyle name="Normal 3 23 2 5" xfId="33161"/>
    <cellStyle name="Normal 3 23 2 5 2" xfId="33162"/>
    <cellStyle name="Normal 3 23 2 6" xfId="33163"/>
    <cellStyle name="Normal 3 23 2 6 2" xfId="33164"/>
    <cellStyle name="Normal 3 23 2 7" xfId="33165"/>
    <cellStyle name="Normal 3 23 2 8" xfId="33166"/>
    <cellStyle name="Normal 3 23 2 9" xfId="33167"/>
    <cellStyle name="Normal 3 23 3" xfId="33168"/>
    <cellStyle name="Normal 3 23 3 2" xfId="33169"/>
    <cellStyle name="Normal 3 23 3 2 2" xfId="33170"/>
    <cellStyle name="Normal 3 23 3 3" xfId="33171"/>
    <cellStyle name="Normal 3 23 3 4" xfId="33172"/>
    <cellStyle name="Normal 3 23 3 5" xfId="33173"/>
    <cellStyle name="Normal 3 23 4" xfId="33174"/>
    <cellStyle name="Normal 3 23 4 2" xfId="33175"/>
    <cellStyle name="Normal 3 23 5" xfId="33176"/>
    <cellStyle name="Normal 3 23 5 2" xfId="33177"/>
    <cellStyle name="Normal 3 23 6" xfId="33178"/>
    <cellStyle name="Normal 3 23 6 2" xfId="33179"/>
    <cellStyle name="Normal 3 23 7" xfId="33180"/>
    <cellStyle name="Normal 3 23 7 2" xfId="33181"/>
    <cellStyle name="Normal 3 23 8" xfId="33182"/>
    <cellStyle name="Normal 3 23 9" xfId="33183"/>
    <cellStyle name="Normal 3 24" xfId="33184"/>
    <cellStyle name="Normal 3 24 10" xfId="33185"/>
    <cellStyle name="Normal 3 24 11" xfId="33186"/>
    <cellStyle name="Normal 3 24 12" xfId="33187"/>
    <cellStyle name="Normal 3 24 13" xfId="33188"/>
    <cellStyle name="Normal 3 24 14" xfId="33189"/>
    <cellStyle name="Normal 3 24 15" xfId="33190"/>
    <cellStyle name="Normal 3 24 16" xfId="33191"/>
    <cellStyle name="Normal 3 24 17" xfId="33192"/>
    <cellStyle name="Normal 3 24 18" xfId="33193"/>
    <cellStyle name="Normal 3 24 2" xfId="33194"/>
    <cellStyle name="Normal 3 24 2 10" xfId="33195"/>
    <cellStyle name="Normal 3 24 2 11" xfId="33196"/>
    <cellStyle name="Normal 3 24 2 12" xfId="33197"/>
    <cellStyle name="Normal 3 24 2 13" xfId="33198"/>
    <cellStyle name="Normal 3 24 2 2" xfId="33199"/>
    <cellStyle name="Normal 3 24 2 2 2" xfId="33200"/>
    <cellStyle name="Normal 3 24 2 2 2 2" xfId="33201"/>
    <cellStyle name="Normal 3 24 2 2 3" xfId="33202"/>
    <cellStyle name="Normal 3 24 2 2 4" xfId="33203"/>
    <cellStyle name="Normal 3 24 2 2 5" xfId="33204"/>
    <cellStyle name="Normal 3 24 2 3" xfId="33205"/>
    <cellStyle name="Normal 3 24 2 3 2" xfId="33206"/>
    <cellStyle name="Normal 3 24 2 4" xfId="33207"/>
    <cellStyle name="Normal 3 24 2 4 2" xfId="33208"/>
    <cellStyle name="Normal 3 24 2 5" xfId="33209"/>
    <cellStyle name="Normal 3 24 2 5 2" xfId="33210"/>
    <cellStyle name="Normal 3 24 2 6" xfId="33211"/>
    <cellStyle name="Normal 3 24 2 6 2" xfId="33212"/>
    <cellStyle name="Normal 3 24 2 7" xfId="33213"/>
    <cellStyle name="Normal 3 24 2 8" xfId="33214"/>
    <cellStyle name="Normal 3 24 2 9" xfId="33215"/>
    <cellStyle name="Normal 3 24 3" xfId="33216"/>
    <cellStyle name="Normal 3 24 3 2" xfId="33217"/>
    <cellStyle name="Normal 3 24 3 2 2" xfId="33218"/>
    <cellStyle name="Normal 3 24 3 3" xfId="33219"/>
    <cellStyle name="Normal 3 24 3 4" xfId="33220"/>
    <cellStyle name="Normal 3 24 3 5" xfId="33221"/>
    <cellStyle name="Normal 3 24 4" xfId="33222"/>
    <cellStyle name="Normal 3 24 4 2" xfId="33223"/>
    <cellStyle name="Normal 3 24 5" xfId="33224"/>
    <cellStyle name="Normal 3 24 5 2" xfId="33225"/>
    <cellStyle name="Normal 3 24 6" xfId="33226"/>
    <cellStyle name="Normal 3 24 6 2" xfId="33227"/>
    <cellStyle name="Normal 3 24 7" xfId="33228"/>
    <cellStyle name="Normal 3 24 7 2" xfId="33229"/>
    <cellStyle name="Normal 3 24 8" xfId="33230"/>
    <cellStyle name="Normal 3 24 9" xfId="33231"/>
    <cellStyle name="Normal 3 25" xfId="33232"/>
    <cellStyle name="Normal 3 25 10" xfId="33233"/>
    <cellStyle name="Normal 3 25 11" xfId="33234"/>
    <cellStyle name="Normal 3 25 12" xfId="33235"/>
    <cellStyle name="Normal 3 25 13" xfId="33236"/>
    <cellStyle name="Normal 3 25 14" xfId="33237"/>
    <cellStyle name="Normal 3 25 15" xfId="33238"/>
    <cellStyle name="Normal 3 25 16" xfId="33239"/>
    <cellStyle name="Normal 3 25 17" xfId="33240"/>
    <cellStyle name="Normal 3 25 18" xfId="33241"/>
    <cellStyle name="Normal 3 25 2" xfId="33242"/>
    <cellStyle name="Normal 3 25 2 10" xfId="33243"/>
    <cellStyle name="Normal 3 25 2 11" xfId="33244"/>
    <cellStyle name="Normal 3 25 2 12" xfId="33245"/>
    <cellStyle name="Normal 3 25 2 13" xfId="33246"/>
    <cellStyle name="Normal 3 25 2 2" xfId="33247"/>
    <cellStyle name="Normal 3 25 2 2 2" xfId="33248"/>
    <cellStyle name="Normal 3 25 2 2 2 2" xfId="33249"/>
    <cellStyle name="Normal 3 25 2 2 3" xfId="33250"/>
    <cellStyle name="Normal 3 25 2 2 4" xfId="33251"/>
    <cellStyle name="Normal 3 25 2 2 5" xfId="33252"/>
    <cellStyle name="Normal 3 25 2 3" xfId="33253"/>
    <cellStyle name="Normal 3 25 2 3 2" xfId="33254"/>
    <cellStyle name="Normal 3 25 2 4" xfId="33255"/>
    <cellStyle name="Normal 3 25 2 4 2" xfId="33256"/>
    <cellStyle name="Normal 3 25 2 5" xfId="33257"/>
    <cellStyle name="Normal 3 25 2 5 2" xfId="33258"/>
    <cellStyle name="Normal 3 25 2 6" xfId="33259"/>
    <cellStyle name="Normal 3 25 2 6 2" xfId="33260"/>
    <cellStyle name="Normal 3 25 2 7" xfId="33261"/>
    <cellStyle name="Normal 3 25 2 8" xfId="33262"/>
    <cellStyle name="Normal 3 25 2 9" xfId="33263"/>
    <cellStyle name="Normal 3 25 3" xfId="33264"/>
    <cellStyle name="Normal 3 25 3 2" xfId="33265"/>
    <cellStyle name="Normal 3 25 3 2 2" xfId="33266"/>
    <cellStyle name="Normal 3 25 3 3" xfId="33267"/>
    <cellStyle name="Normal 3 25 3 4" xfId="33268"/>
    <cellStyle name="Normal 3 25 3 5" xfId="33269"/>
    <cellStyle name="Normal 3 25 4" xfId="33270"/>
    <cellStyle name="Normal 3 25 4 2" xfId="33271"/>
    <cellStyle name="Normal 3 25 5" xfId="33272"/>
    <cellStyle name="Normal 3 25 5 2" xfId="33273"/>
    <cellStyle name="Normal 3 25 6" xfId="33274"/>
    <cellStyle name="Normal 3 25 6 2" xfId="33275"/>
    <cellStyle name="Normal 3 25 7" xfId="33276"/>
    <cellStyle name="Normal 3 25 7 2" xfId="33277"/>
    <cellStyle name="Normal 3 25 8" xfId="33278"/>
    <cellStyle name="Normal 3 25 9" xfId="33279"/>
    <cellStyle name="Normal 3 26" xfId="33280"/>
    <cellStyle name="Normal 3 26 10" xfId="33281"/>
    <cellStyle name="Normal 3 26 11" xfId="33282"/>
    <cellStyle name="Normal 3 26 12" xfId="33283"/>
    <cellStyle name="Normal 3 26 13" xfId="33284"/>
    <cellStyle name="Normal 3 26 14" xfId="33285"/>
    <cellStyle name="Normal 3 26 15" xfId="33286"/>
    <cellStyle name="Normal 3 26 16" xfId="33287"/>
    <cellStyle name="Normal 3 26 17" xfId="33288"/>
    <cellStyle name="Normal 3 26 18" xfId="33289"/>
    <cellStyle name="Normal 3 26 2" xfId="33290"/>
    <cellStyle name="Normal 3 26 2 10" xfId="33291"/>
    <cellStyle name="Normal 3 26 2 11" xfId="33292"/>
    <cellStyle name="Normal 3 26 2 12" xfId="33293"/>
    <cellStyle name="Normal 3 26 2 13" xfId="33294"/>
    <cellStyle name="Normal 3 26 2 2" xfId="33295"/>
    <cellStyle name="Normal 3 26 2 2 2" xfId="33296"/>
    <cellStyle name="Normal 3 26 2 2 2 2" xfId="33297"/>
    <cellStyle name="Normal 3 26 2 2 3" xfId="33298"/>
    <cellStyle name="Normal 3 26 2 2 4" xfId="33299"/>
    <cellStyle name="Normal 3 26 2 2 5" xfId="33300"/>
    <cellStyle name="Normal 3 26 2 3" xfId="33301"/>
    <cellStyle name="Normal 3 26 2 3 2" xfId="33302"/>
    <cellStyle name="Normal 3 26 2 4" xfId="33303"/>
    <cellStyle name="Normal 3 26 2 4 2" xfId="33304"/>
    <cellStyle name="Normal 3 26 2 5" xfId="33305"/>
    <cellStyle name="Normal 3 26 2 5 2" xfId="33306"/>
    <cellStyle name="Normal 3 26 2 6" xfId="33307"/>
    <cellStyle name="Normal 3 26 2 6 2" xfId="33308"/>
    <cellStyle name="Normal 3 26 2 7" xfId="33309"/>
    <cellStyle name="Normal 3 26 2 8" xfId="33310"/>
    <cellStyle name="Normal 3 26 2 9" xfId="33311"/>
    <cellStyle name="Normal 3 26 3" xfId="33312"/>
    <cellStyle name="Normal 3 26 3 2" xfId="33313"/>
    <cellStyle name="Normal 3 26 3 2 2" xfId="33314"/>
    <cellStyle name="Normal 3 26 3 3" xfId="33315"/>
    <cellStyle name="Normal 3 26 3 4" xfId="33316"/>
    <cellStyle name="Normal 3 26 3 5" xfId="33317"/>
    <cellStyle name="Normal 3 26 4" xfId="33318"/>
    <cellStyle name="Normal 3 26 4 2" xfId="33319"/>
    <cellStyle name="Normal 3 26 5" xfId="33320"/>
    <cellStyle name="Normal 3 26 5 2" xfId="33321"/>
    <cellStyle name="Normal 3 26 6" xfId="33322"/>
    <cellStyle name="Normal 3 26 6 2" xfId="33323"/>
    <cellStyle name="Normal 3 26 7" xfId="33324"/>
    <cellStyle name="Normal 3 26 7 2" xfId="33325"/>
    <cellStyle name="Normal 3 26 8" xfId="33326"/>
    <cellStyle name="Normal 3 26 9" xfId="33327"/>
    <cellStyle name="Normal 3 27" xfId="33328"/>
    <cellStyle name="Normal 3 27 10" xfId="33329"/>
    <cellStyle name="Normal 3 27 11" xfId="33330"/>
    <cellStyle name="Normal 3 27 12" xfId="33331"/>
    <cellStyle name="Normal 3 27 13" xfId="33332"/>
    <cellStyle name="Normal 3 27 14" xfId="33333"/>
    <cellStyle name="Normal 3 27 15" xfId="33334"/>
    <cellStyle name="Normal 3 27 16" xfId="33335"/>
    <cellStyle name="Normal 3 27 17" xfId="33336"/>
    <cellStyle name="Normal 3 27 18" xfId="33337"/>
    <cellStyle name="Normal 3 27 2" xfId="33338"/>
    <cellStyle name="Normal 3 27 2 10" xfId="33339"/>
    <cellStyle name="Normal 3 27 2 11" xfId="33340"/>
    <cellStyle name="Normal 3 27 2 12" xfId="33341"/>
    <cellStyle name="Normal 3 27 2 13" xfId="33342"/>
    <cellStyle name="Normal 3 27 2 2" xfId="33343"/>
    <cellStyle name="Normal 3 27 2 2 2" xfId="33344"/>
    <cellStyle name="Normal 3 27 2 2 2 2" xfId="33345"/>
    <cellStyle name="Normal 3 27 2 2 3" xfId="33346"/>
    <cellStyle name="Normal 3 27 2 2 4" xfId="33347"/>
    <cellStyle name="Normal 3 27 2 2 5" xfId="33348"/>
    <cellStyle name="Normal 3 27 2 3" xfId="33349"/>
    <cellStyle name="Normal 3 27 2 3 2" xfId="33350"/>
    <cellStyle name="Normal 3 27 2 4" xfId="33351"/>
    <cellStyle name="Normal 3 27 2 4 2" xfId="33352"/>
    <cellStyle name="Normal 3 27 2 5" xfId="33353"/>
    <cellStyle name="Normal 3 27 2 5 2" xfId="33354"/>
    <cellStyle name="Normal 3 27 2 6" xfId="33355"/>
    <cellStyle name="Normal 3 27 2 6 2" xfId="33356"/>
    <cellStyle name="Normal 3 27 2 7" xfId="33357"/>
    <cellStyle name="Normal 3 27 2 8" xfId="33358"/>
    <cellStyle name="Normal 3 27 2 9" xfId="33359"/>
    <cellStyle name="Normal 3 27 3" xfId="33360"/>
    <cellStyle name="Normal 3 27 3 2" xfId="33361"/>
    <cellStyle name="Normal 3 27 3 2 2" xfId="33362"/>
    <cellStyle name="Normal 3 27 3 3" xfId="33363"/>
    <cellStyle name="Normal 3 27 3 4" xfId="33364"/>
    <cellStyle name="Normal 3 27 3 5" xfId="33365"/>
    <cellStyle name="Normal 3 27 4" xfId="33366"/>
    <cellStyle name="Normal 3 27 4 2" xfId="33367"/>
    <cellStyle name="Normal 3 27 5" xfId="33368"/>
    <cellStyle name="Normal 3 27 5 2" xfId="33369"/>
    <cellStyle name="Normal 3 27 6" xfId="33370"/>
    <cellStyle name="Normal 3 27 6 2" xfId="33371"/>
    <cellStyle name="Normal 3 27 7" xfId="33372"/>
    <cellStyle name="Normal 3 27 7 2" xfId="33373"/>
    <cellStyle name="Normal 3 27 8" xfId="33374"/>
    <cellStyle name="Normal 3 27 9" xfId="33375"/>
    <cellStyle name="Normal 3 28" xfId="33376"/>
    <cellStyle name="Normal 3 28 10" xfId="33377"/>
    <cellStyle name="Normal 3 28 11" xfId="33378"/>
    <cellStyle name="Normal 3 28 12" xfId="33379"/>
    <cellStyle name="Normal 3 28 13" xfId="33380"/>
    <cellStyle name="Normal 3 28 14" xfId="33381"/>
    <cellStyle name="Normal 3 28 15" xfId="33382"/>
    <cellStyle name="Normal 3 28 16" xfId="33383"/>
    <cellStyle name="Normal 3 28 2" xfId="33384"/>
    <cellStyle name="Normal 3 28 2 2" xfId="33385"/>
    <cellStyle name="Normal 3 28 2 2 2" xfId="33386"/>
    <cellStyle name="Normal 3 28 2 3" xfId="33387"/>
    <cellStyle name="Normal 3 28 2 3 2" xfId="33388"/>
    <cellStyle name="Normal 3 28 2 4" xfId="33389"/>
    <cellStyle name="Normal 3 28 2 4 2" xfId="33390"/>
    <cellStyle name="Normal 3 28 2 5" xfId="33391"/>
    <cellStyle name="Normal 3 28 2 5 2" xfId="33392"/>
    <cellStyle name="Normal 3 28 2 6" xfId="33393"/>
    <cellStyle name="Normal 3 28 2 7" xfId="33394"/>
    <cellStyle name="Normal 3 28 2 8" xfId="33395"/>
    <cellStyle name="Normal 3 28 2 9" xfId="33396"/>
    <cellStyle name="Normal 3 28 3" xfId="33397"/>
    <cellStyle name="Normal 3 28 3 2" xfId="33398"/>
    <cellStyle name="Normal 3 28 3 2 2" xfId="33399"/>
    <cellStyle name="Normal 3 28 3 3" xfId="33400"/>
    <cellStyle name="Normal 3 28 3 4" xfId="33401"/>
    <cellStyle name="Normal 3 28 3 5" xfId="33402"/>
    <cellStyle name="Normal 3 28 4" xfId="33403"/>
    <cellStyle name="Normal 3 28 4 2" xfId="33404"/>
    <cellStyle name="Normal 3 28 5" xfId="33405"/>
    <cellStyle name="Normal 3 28 5 2" xfId="33406"/>
    <cellStyle name="Normal 3 28 6" xfId="33407"/>
    <cellStyle name="Normal 3 28 6 2" xfId="33408"/>
    <cellStyle name="Normal 3 28 7" xfId="33409"/>
    <cellStyle name="Normal 3 28 7 2" xfId="33410"/>
    <cellStyle name="Normal 3 28 8" xfId="33411"/>
    <cellStyle name="Normal 3 28 9" xfId="33412"/>
    <cellStyle name="Normal 3 29" xfId="33413"/>
    <cellStyle name="Normal 3 29 10" xfId="33414"/>
    <cellStyle name="Normal 3 29 11" xfId="33415"/>
    <cellStyle name="Normal 3 29 12" xfId="33416"/>
    <cellStyle name="Normal 3 29 13" xfId="33417"/>
    <cellStyle name="Normal 3 29 14" xfId="33418"/>
    <cellStyle name="Normal 3 29 15" xfId="33419"/>
    <cellStyle name="Normal 3 29 16" xfId="33420"/>
    <cellStyle name="Normal 3 29 2" xfId="33421"/>
    <cellStyle name="Normal 3 29 2 2" xfId="33422"/>
    <cellStyle name="Normal 3 29 2 2 2" xfId="33423"/>
    <cellStyle name="Normal 3 29 2 3" xfId="33424"/>
    <cellStyle name="Normal 3 29 2 3 2" xfId="33425"/>
    <cellStyle name="Normal 3 29 2 4" xfId="33426"/>
    <cellStyle name="Normal 3 29 2 4 2" xfId="33427"/>
    <cellStyle name="Normal 3 29 2 5" xfId="33428"/>
    <cellStyle name="Normal 3 29 2 5 2" xfId="33429"/>
    <cellStyle name="Normal 3 29 2 6" xfId="33430"/>
    <cellStyle name="Normal 3 29 2 7" xfId="33431"/>
    <cellStyle name="Normal 3 29 2 8" xfId="33432"/>
    <cellStyle name="Normal 3 29 2 9" xfId="33433"/>
    <cellStyle name="Normal 3 29 3" xfId="33434"/>
    <cellStyle name="Normal 3 29 3 2" xfId="33435"/>
    <cellStyle name="Normal 3 29 3 2 2" xfId="33436"/>
    <cellStyle name="Normal 3 29 3 3" xfId="33437"/>
    <cellStyle name="Normal 3 29 3 4" xfId="33438"/>
    <cellStyle name="Normal 3 29 3 5" xfId="33439"/>
    <cellStyle name="Normal 3 29 4" xfId="33440"/>
    <cellStyle name="Normal 3 29 4 2" xfId="33441"/>
    <cellStyle name="Normal 3 29 5" xfId="33442"/>
    <cellStyle name="Normal 3 29 5 2" xfId="33443"/>
    <cellStyle name="Normal 3 29 6" xfId="33444"/>
    <cellStyle name="Normal 3 29 6 2" xfId="33445"/>
    <cellStyle name="Normal 3 29 7" xfId="33446"/>
    <cellStyle name="Normal 3 29 7 2" xfId="33447"/>
    <cellStyle name="Normal 3 29 8" xfId="33448"/>
    <cellStyle name="Normal 3 29 9" xfId="33449"/>
    <cellStyle name="Normal 3 3" xfId="995"/>
    <cellStyle name="Normal 3 30" xfId="33450"/>
    <cellStyle name="Normal 3 30 10" xfId="33451"/>
    <cellStyle name="Normal 3 30 11" xfId="33452"/>
    <cellStyle name="Normal 3 30 12" xfId="33453"/>
    <cellStyle name="Normal 3 30 13" xfId="33454"/>
    <cellStyle name="Normal 3 30 14" xfId="33455"/>
    <cellStyle name="Normal 3 30 15" xfId="33456"/>
    <cellStyle name="Normal 3 30 2" xfId="33457"/>
    <cellStyle name="Normal 3 30 2 2" xfId="33458"/>
    <cellStyle name="Normal 3 30 2 2 2" xfId="33459"/>
    <cellStyle name="Normal 3 30 2 3" xfId="33460"/>
    <cellStyle name="Normal 3 30 2 3 2" xfId="33461"/>
    <cellStyle name="Normal 3 30 2 4" xfId="33462"/>
    <cellStyle name="Normal 3 30 2 4 2" xfId="33463"/>
    <cellStyle name="Normal 3 30 2 5" xfId="33464"/>
    <cellStyle name="Normal 3 30 2 5 2" xfId="33465"/>
    <cellStyle name="Normal 3 30 2 6" xfId="33466"/>
    <cellStyle name="Normal 3 30 2 7" xfId="33467"/>
    <cellStyle name="Normal 3 30 2 8" xfId="33468"/>
    <cellStyle name="Normal 3 30 2 9" xfId="33469"/>
    <cellStyle name="Normal 3 30 3" xfId="33470"/>
    <cellStyle name="Normal 3 30 3 2" xfId="33471"/>
    <cellStyle name="Normal 3 30 3 2 2" xfId="33472"/>
    <cellStyle name="Normal 3 30 3 3" xfId="33473"/>
    <cellStyle name="Normal 3 30 3 4" xfId="33474"/>
    <cellStyle name="Normal 3 30 3 5" xfId="33475"/>
    <cellStyle name="Normal 3 30 4" xfId="33476"/>
    <cellStyle name="Normal 3 30 4 2" xfId="33477"/>
    <cellStyle name="Normal 3 30 5" xfId="33478"/>
    <cellStyle name="Normal 3 30 5 2" xfId="33479"/>
    <cellStyle name="Normal 3 30 6" xfId="33480"/>
    <cellStyle name="Normal 3 30 6 2" xfId="33481"/>
    <cellStyle name="Normal 3 30 7" xfId="33482"/>
    <cellStyle name="Normal 3 30 7 2" xfId="33483"/>
    <cellStyle name="Normal 3 30 8" xfId="33484"/>
    <cellStyle name="Normal 3 30 9" xfId="33485"/>
    <cellStyle name="Normal 3 31" xfId="33486"/>
    <cellStyle name="Normal 3 31 2" xfId="33487"/>
    <cellStyle name="Normal 3 31 2 2" xfId="33488"/>
    <cellStyle name="Normal 3 31 3" xfId="33489"/>
    <cellStyle name="Normal 3 31 3 2" xfId="33490"/>
    <cellStyle name="Normal 3 31 4" xfId="33491"/>
    <cellStyle name="Normal 3 31 4 2" xfId="33492"/>
    <cellStyle name="Normal 3 31 5" xfId="33493"/>
    <cellStyle name="Normal 3 31 5 2" xfId="33494"/>
    <cellStyle name="Normal 3 31 6" xfId="33495"/>
    <cellStyle name="Normal 3 31 7" xfId="33496"/>
    <cellStyle name="Normal 3 31 8" xfId="33497"/>
    <cellStyle name="Normal 3 31 9" xfId="33498"/>
    <cellStyle name="Normal 3 32" xfId="33499"/>
    <cellStyle name="Normal 3 32 2" xfId="33500"/>
    <cellStyle name="Normal 3 32 2 2" xfId="33501"/>
    <cellStyle name="Normal 3 32 3" xfId="33502"/>
    <cellStyle name="Normal 3 32 4" xfId="33503"/>
    <cellStyle name="Normal 3 32 5" xfId="33504"/>
    <cellStyle name="Normal 3 33" xfId="33505"/>
    <cellStyle name="Normal 3 33 2" xfId="33506"/>
    <cellStyle name="Normal 3 34" xfId="33507"/>
    <cellStyle name="Normal 3 34 2" xfId="33508"/>
    <cellStyle name="Normal 3 35" xfId="33509"/>
    <cellStyle name="Normal 3 35 2" xfId="33510"/>
    <cellStyle name="Normal 3 36" xfId="33511"/>
    <cellStyle name="Normal 3 36 2" xfId="33512"/>
    <cellStyle name="Normal 3 37" xfId="33513"/>
    <cellStyle name="Normal 3 38" xfId="33514"/>
    <cellStyle name="Normal 3 39" xfId="33515"/>
    <cellStyle name="Normal 3 4" xfId="996"/>
    <cellStyle name="Normal 3 40" xfId="33516"/>
    <cellStyle name="Normal 3 41" xfId="33517"/>
    <cellStyle name="Normal 3 42" xfId="33518"/>
    <cellStyle name="Normal 3 43" xfId="33519"/>
    <cellStyle name="Normal 3 44" xfId="33520"/>
    <cellStyle name="Normal 3 45" xfId="33521"/>
    <cellStyle name="Normal 3 46" xfId="33522"/>
    <cellStyle name="Normal 3 5" xfId="997"/>
    <cellStyle name="Normal 3 6" xfId="998"/>
    <cellStyle name="Normal 3 7" xfId="999"/>
    <cellStyle name="Normal 3 8" xfId="1000"/>
    <cellStyle name="Normal 3 9" xfId="1001"/>
    <cellStyle name="Normal 30" xfId="1033"/>
    <cellStyle name="Normal 30 2" xfId="33523"/>
    <cellStyle name="Normal 31" xfId="11888"/>
    <cellStyle name="Normal 31 2" xfId="33524"/>
    <cellStyle name="Normal 32" xfId="10933"/>
    <cellStyle name="Normal 32 2" xfId="33525"/>
    <cellStyle name="Normal 33" xfId="12089"/>
    <cellStyle name="Normal 33 2" xfId="33526"/>
    <cellStyle name="Normal 34" xfId="33527"/>
    <cellStyle name="Normal 35" xfId="33528"/>
    <cellStyle name="Normal 36" xfId="33529"/>
    <cellStyle name="Normal 37" xfId="33530"/>
    <cellStyle name="Normal 38" xfId="33531"/>
    <cellStyle name="Normal 39" xfId="33532"/>
    <cellStyle name="Normal 4" xfId="78"/>
    <cellStyle name="Normal 4 10" xfId="79"/>
    <cellStyle name="Normal 4 10 10" xfId="80"/>
    <cellStyle name="Normal 4 10 10 2" xfId="1723"/>
    <cellStyle name="Normal 4 10 10 3" xfId="10894"/>
    <cellStyle name="Normal 4 10 11" xfId="1722"/>
    <cellStyle name="Normal 4 10 12" xfId="1725"/>
    <cellStyle name="Normal 4 10 13" xfId="1726"/>
    <cellStyle name="Normal 4 10 14" xfId="1727"/>
    <cellStyle name="Normal 4 10 15" xfId="1728"/>
    <cellStyle name="Normal 4 10 16" xfId="1729"/>
    <cellStyle name="Normal 4 10 17" xfId="1730"/>
    <cellStyle name="Normal 4 10 18" xfId="1731"/>
    <cellStyle name="Normal 4 10 19" xfId="1732"/>
    <cellStyle name="Normal 4 10 2" xfId="81"/>
    <cellStyle name="Normal 4 10 2 10" xfId="1734"/>
    <cellStyle name="Normal 4 10 2 11" xfId="1735"/>
    <cellStyle name="Normal 4 10 2 12" xfId="1736"/>
    <cellStyle name="Normal 4 10 2 13" xfId="1737"/>
    <cellStyle name="Normal 4 10 2 14" xfId="1738"/>
    <cellStyle name="Normal 4 10 2 15" xfId="10880"/>
    <cellStyle name="Normal 4 10 2 2" xfId="1733"/>
    <cellStyle name="Normal 4 10 2 3" xfId="1740"/>
    <cellStyle name="Normal 4 10 2 4" xfId="1741"/>
    <cellStyle name="Normal 4 10 2 5" xfId="1742"/>
    <cellStyle name="Normal 4 10 2 6" xfId="1743"/>
    <cellStyle name="Normal 4 10 2 7" xfId="1744"/>
    <cellStyle name="Normal 4 10 2 8" xfId="1745"/>
    <cellStyle name="Normal 4 10 2 9" xfId="1746"/>
    <cellStyle name="Normal 4 10 20" xfId="1747"/>
    <cellStyle name="Normal 4 10 21" xfId="1748"/>
    <cellStyle name="Normal 4 10 22" xfId="1749"/>
    <cellStyle name="Normal 4 10 23" xfId="10908"/>
    <cellStyle name="Normal 4 10 24" xfId="33534"/>
    <cellStyle name="Normal 4 10 3" xfId="82"/>
    <cellStyle name="Normal 4 10 3 10" xfId="1751"/>
    <cellStyle name="Normal 4 10 3 11" xfId="1752"/>
    <cellStyle name="Normal 4 10 3 12" xfId="1753"/>
    <cellStyle name="Normal 4 10 3 13" xfId="1754"/>
    <cellStyle name="Normal 4 10 3 14" xfId="1755"/>
    <cellStyle name="Normal 4 10 3 15" xfId="10866"/>
    <cellStyle name="Normal 4 10 3 2" xfId="1750"/>
    <cellStyle name="Normal 4 10 3 3" xfId="1757"/>
    <cellStyle name="Normal 4 10 3 4" xfId="1758"/>
    <cellStyle name="Normal 4 10 3 5" xfId="1759"/>
    <cellStyle name="Normal 4 10 3 6" xfId="1760"/>
    <cellStyle name="Normal 4 10 3 7" xfId="1761"/>
    <cellStyle name="Normal 4 10 3 8" xfId="1762"/>
    <cellStyle name="Normal 4 10 3 9" xfId="1763"/>
    <cellStyle name="Normal 4 10 4" xfId="83"/>
    <cellStyle name="Normal 4 10 4 10" xfId="1765"/>
    <cellStyle name="Normal 4 10 4 11" xfId="1766"/>
    <cellStyle name="Normal 4 10 4 12" xfId="1767"/>
    <cellStyle name="Normal 4 10 4 13" xfId="1768"/>
    <cellStyle name="Normal 4 10 4 14" xfId="1769"/>
    <cellStyle name="Normal 4 10 4 15" xfId="10852"/>
    <cellStyle name="Normal 4 10 4 2" xfId="1764"/>
    <cellStyle name="Normal 4 10 4 3" xfId="1771"/>
    <cellStyle name="Normal 4 10 4 4" xfId="1772"/>
    <cellStyle name="Normal 4 10 4 5" xfId="1773"/>
    <cellStyle name="Normal 4 10 4 6" xfId="1774"/>
    <cellStyle name="Normal 4 10 4 7" xfId="1775"/>
    <cellStyle name="Normal 4 10 4 8" xfId="1776"/>
    <cellStyle name="Normal 4 10 4 9" xfId="1777"/>
    <cellStyle name="Normal 4 10 5" xfId="84"/>
    <cellStyle name="Normal 4 10 5 10" xfId="1779"/>
    <cellStyle name="Normal 4 10 5 11" xfId="1780"/>
    <cellStyle name="Normal 4 10 5 12" xfId="1781"/>
    <cellStyle name="Normal 4 10 5 13" xfId="1782"/>
    <cellStyle name="Normal 4 10 5 14" xfId="1783"/>
    <cellStyle name="Normal 4 10 5 15" xfId="10835"/>
    <cellStyle name="Normal 4 10 5 2" xfId="1778"/>
    <cellStyle name="Normal 4 10 5 3" xfId="1785"/>
    <cellStyle name="Normal 4 10 5 4" xfId="1786"/>
    <cellStyle name="Normal 4 10 5 5" xfId="1787"/>
    <cellStyle name="Normal 4 10 5 6" xfId="1788"/>
    <cellStyle name="Normal 4 10 5 7" xfId="1789"/>
    <cellStyle name="Normal 4 10 5 8" xfId="1790"/>
    <cellStyle name="Normal 4 10 5 9" xfId="1791"/>
    <cellStyle name="Normal 4 10 6" xfId="85"/>
    <cellStyle name="Normal 4 10 6 10" xfId="1793"/>
    <cellStyle name="Normal 4 10 6 11" xfId="1794"/>
    <cellStyle name="Normal 4 10 6 12" xfId="1795"/>
    <cellStyle name="Normal 4 10 6 13" xfId="1796"/>
    <cellStyle name="Normal 4 10 6 14" xfId="1797"/>
    <cellStyle name="Normal 4 10 6 15" xfId="10820"/>
    <cellStyle name="Normal 4 10 6 2" xfId="1792"/>
    <cellStyle name="Normal 4 10 6 3" xfId="1799"/>
    <cellStyle name="Normal 4 10 6 4" xfId="1800"/>
    <cellStyle name="Normal 4 10 6 5" xfId="1801"/>
    <cellStyle name="Normal 4 10 6 6" xfId="1802"/>
    <cellStyle name="Normal 4 10 6 7" xfId="1803"/>
    <cellStyle name="Normal 4 10 6 8" xfId="1804"/>
    <cellStyle name="Normal 4 10 6 9" xfId="1805"/>
    <cellStyle name="Normal 4 10 7" xfId="86"/>
    <cellStyle name="Normal 4 10 7 10" xfId="1807"/>
    <cellStyle name="Normal 4 10 7 11" xfId="1808"/>
    <cellStyle name="Normal 4 10 7 12" xfId="1809"/>
    <cellStyle name="Normal 4 10 7 13" xfId="1810"/>
    <cellStyle name="Normal 4 10 7 14" xfId="1811"/>
    <cellStyle name="Normal 4 10 7 15" xfId="10801"/>
    <cellStyle name="Normal 4 10 7 2" xfId="1806"/>
    <cellStyle name="Normal 4 10 7 3" xfId="1813"/>
    <cellStyle name="Normal 4 10 7 4" xfId="1814"/>
    <cellStyle name="Normal 4 10 7 5" xfId="1815"/>
    <cellStyle name="Normal 4 10 7 6" xfId="1816"/>
    <cellStyle name="Normal 4 10 7 7" xfId="1817"/>
    <cellStyle name="Normal 4 10 7 8" xfId="1818"/>
    <cellStyle name="Normal 4 10 7 9" xfId="1819"/>
    <cellStyle name="Normal 4 10 8" xfId="87"/>
    <cellStyle name="Normal 4 10 8 10" xfId="1821"/>
    <cellStyle name="Normal 4 10 8 11" xfId="1822"/>
    <cellStyle name="Normal 4 10 8 12" xfId="1823"/>
    <cellStyle name="Normal 4 10 8 13" xfId="1824"/>
    <cellStyle name="Normal 4 10 8 14" xfId="1825"/>
    <cellStyle name="Normal 4 10 8 15" xfId="10787"/>
    <cellStyle name="Normal 4 10 8 2" xfId="1820"/>
    <cellStyle name="Normal 4 10 8 3" xfId="1827"/>
    <cellStyle name="Normal 4 10 8 4" xfId="1828"/>
    <cellStyle name="Normal 4 10 8 5" xfId="1829"/>
    <cellStyle name="Normal 4 10 8 6" xfId="1830"/>
    <cellStyle name="Normal 4 10 8 7" xfId="1831"/>
    <cellStyle name="Normal 4 10 8 8" xfId="1832"/>
    <cellStyle name="Normal 4 10 8 9" xfId="1833"/>
    <cellStyle name="Normal 4 10 9" xfId="88"/>
    <cellStyle name="Normal 4 10 9 2" xfId="1834"/>
    <cellStyle name="Normal 4 10 9 3" xfId="10773"/>
    <cellStyle name="Normal 4 11" xfId="89"/>
    <cellStyle name="Normal 4 11 10" xfId="90"/>
    <cellStyle name="Normal 4 11 10 2" xfId="1836"/>
    <cellStyle name="Normal 4 11 10 3" xfId="10745"/>
    <cellStyle name="Normal 4 11 11" xfId="1835"/>
    <cellStyle name="Normal 4 11 12" xfId="1838"/>
    <cellStyle name="Normal 4 11 13" xfId="1839"/>
    <cellStyle name="Normal 4 11 14" xfId="1840"/>
    <cellStyle name="Normal 4 11 15" xfId="1841"/>
    <cellStyle name="Normal 4 11 16" xfId="1842"/>
    <cellStyle name="Normal 4 11 17" xfId="1843"/>
    <cellStyle name="Normal 4 11 18" xfId="1844"/>
    <cellStyle name="Normal 4 11 19" xfId="1845"/>
    <cellStyle name="Normal 4 11 2" xfId="91"/>
    <cellStyle name="Normal 4 11 2 10" xfId="1847"/>
    <cellStyle name="Normal 4 11 2 11" xfId="1848"/>
    <cellStyle name="Normal 4 11 2 12" xfId="1849"/>
    <cellStyle name="Normal 4 11 2 13" xfId="1850"/>
    <cellStyle name="Normal 4 11 2 14" xfId="1851"/>
    <cellStyle name="Normal 4 11 2 15" xfId="10731"/>
    <cellStyle name="Normal 4 11 2 2" xfId="1846"/>
    <cellStyle name="Normal 4 11 2 3" xfId="1853"/>
    <cellStyle name="Normal 4 11 2 4" xfId="1854"/>
    <cellStyle name="Normal 4 11 2 5" xfId="1855"/>
    <cellStyle name="Normal 4 11 2 6" xfId="1856"/>
    <cellStyle name="Normal 4 11 2 7" xfId="1857"/>
    <cellStyle name="Normal 4 11 2 8" xfId="1858"/>
    <cellStyle name="Normal 4 11 2 9" xfId="1859"/>
    <cellStyle name="Normal 4 11 20" xfId="1860"/>
    <cellStyle name="Normal 4 11 21" xfId="1861"/>
    <cellStyle name="Normal 4 11 22" xfId="1862"/>
    <cellStyle name="Normal 4 11 23" xfId="10759"/>
    <cellStyle name="Normal 4 11 24" xfId="33535"/>
    <cellStyle name="Normal 4 11 3" xfId="92"/>
    <cellStyle name="Normal 4 11 3 10" xfId="1864"/>
    <cellStyle name="Normal 4 11 3 11" xfId="1865"/>
    <cellStyle name="Normal 4 11 3 12" xfId="1866"/>
    <cellStyle name="Normal 4 11 3 13" xfId="1867"/>
    <cellStyle name="Normal 4 11 3 14" xfId="1868"/>
    <cellStyle name="Normal 4 11 3 15" xfId="10714"/>
    <cellStyle name="Normal 4 11 3 2" xfId="1863"/>
    <cellStyle name="Normal 4 11 3 3" xfId="1870"/>
    <cellStyle name="Normal 4 11 3 4" xfId="1871"/>
    <cellStyle name="Normal 4 11 3 5" xfId="1872"/>
    <cellStyle name="Normal 4 11 3 6" xfId="1873"/>
    <cellStyle name="Normal 4 11 3 7" xfId="1874"/>
    <cellStyle name="Normal 4 11 3 8" xfId="1875"/>
    <cellStyle name="Normal 4 11 3 9" xfId="1876"/>
    <cellStyle name="Normal 4 11 4" xfId="93"/>
    <cellStyle name="Normal 4 11 4 10" xfId="1878"/>
    <cellStyle name="Normal 4 11 4 11" xfId="1879"/>
    <cellStyle name="Normal 4 11 4 12" xfId="1880"/>
    <cellStyle name="Normal 4 11 4 13" xfId="1881"/>
    <cellStyle name="Normal 4 11 4 14" xfId="1882"/>
    <cellStyle name="Normal 4 11 4 15" xfId="10699"/>
    <cellStyle name="Normal 4 11 4 2" xfId="1877"/>
    <cellStyle name="Normal 4 11 4 3" xfId="1884"/>
    <cellStyle name="Normal 4 11 4 4" xfId="1885"/>
    <cellStyle name="Normal 4 11 4 5" xfId="1886"/>
    <cellStyle name="Normal 4 11 4 6" xfId="1887"/>
    <cellStyle name="Normal 4 11 4 7" xfId="1888"/>
    <cellStyle name="Normal 4 11 4 8" xfId="1889"/>
    <cellStyle name="Normal 4 11 4 9" xfId="1890"/>
    <cellStyle name="Normal 4 11 5" xfId="94"/>
    <cellStyle name="Normal 4 11 5 10" xfId="1892"/>
    <cellStyle name="Normal 4 11 5 11" xfId="1893"/>
    <cellStyle name="Normal 4 11 5 12" xfId="1894"/>
    <cellStyle name="Normal 4 11 5 13" xfId="1895"/>
    <cellStyle name="Normal 4 11 5 14" xfId="1896"/>
    <cellStyle name="Normal 4 11 5 15" xfId="10693"/>
    <cellStyle name="Normal 4 11 5 2" xfId="1891"/>
    <cellStyle name="Normal 4 11 5 3" xfId="1898"/>
    <cellStyle name="Normal 4 11 5 4" xfId="1899"/>
    <cellStyle name="Normal 4 11 5 5" xfId="1900"/>
    <cellStyle name="Normal 4 11 5 6" xfId="1901"/>
    <cellStyle name="Normal 4 11 5 7" xfId="1902"/>
    <cellStyle name="Normal 4 11 5 8" xfId="1903"/>
    <cellStyle name="Normal 4 11 5 9" xfId="1904"/>
    <cellStyle name="Normal 4 11 6" xfId="95"/>
    <cellStyle name="Normal 4 11 6 10" xfId="1906"/>
    <cellStyle name="Normal 4 11 6 11" xfId="1907"/>
    <cellStyle name="Normal 4 11 6 12" xfId="1908"/>
    <cellStyle name="Normal 4 11 6 13" xfId="1909"/>
    <cellStyle name="Normal 4 11 6 14" xfId="1910"/>
    <cellStyle name="Normal 4 11 6 15" xfId="10683"/>
    <cellStyle name="Normal 4 11 6 2" xfId="1905"/>
    <cellStyle name="Normal 4 11 6 3" xfId="1912"/>
    <cellStyle name="Normal 4 11 6 4" xfId="1913"/>
    <cellStyle name="Normal 4 11 6 5" xfId="1914"/>
    <cellStyle name="Normal 4 11 6 6" xfId="1915"/>
    <cellStyle name="Normal 4 11 6 7" xfId="1916"/>
    <cellStyle name="Normal 4 11 6 8" xfId="1917"/>
    <cellStyle name="Normal 4 11 6 9" xfId="1918"/>
    <cellStyle name="Normal 4 11 7" xfId="96"/>
    <cellStyle name="Normal 4 11 7 10" xfId="1920"/>
    <cellStyle name="Normal 4 11 7 11" xfId="1921"/>
    <cellStyle name="Normal 4 11 7 12" xfId="1922"/>
    <cellStyle name="Normal 4 11 7 13" xfId="1923"/>
    <cellStyle name="Normal 4 11 7 14" xfId="1924"/>
    <cellStyle name="Normal 4 11 7 15" xfId="10669"/>
    <cellStyle name="Normal 4 11 7 2" xfId="1919"/>
    <cellStyle name="Normal 4 11 7 3" xfId="1926"/>
    <cellStyle name="Normal 4 11 7 4" xfId="1927"/>
    <cellStyle name="Normal 4 11 7 5" xfId="1928"/>
    <cellStyle name="Normal 4 11 7 6" xfId="1929"/>
    <cellStyle name="Normal 4 11 7 7" xfId="1930"/>
    <cellStyle name="Normal 4 11 7 8" xfId="1931"/>
    <cellStyle name="Normal 4 11 7 9" xfId="1932"/>
    <cellStyle name="Normal 4 11 8" xfId="97"/>
    <cellStyle name="Normal 4 11 8 10" xfId="1934"/>
    <cellStyle name="Normal 4 11 8 11" xfId="1935"/>
    <cellStyle name="Normal 4 11 8 12" xfId="1936"/>
    <cellStyle name="Normal 4 11 8 13" xfId="1937"/>
    <cellStyle name="Normal 4 11 8 14" xfId="1938"/>
    <cellStyle name="Normal 4 11 8 15" xfId="10655"/>
    <cellStyle name="Normal 4 11 8 2" xfId="1933"/>
    <cellStyle name="Normal 4 11 8 3" xfId="1940"/>
    <cellStyle name="Normal 4 11 8 4" xfId="1941"/>
    <cellStyle name="Normal 4 11 8 5" xfId="1942"/>
    <cellStyle name="Normal 4 11 8 6" xfId="1943"/>
    <cellStyle name="Normal 4 11 8 7" xfId="1944"/>
    <cellStyle name="Normal 4 11 8 8" xfId="1945"/>
    <cellStyle name="Normal 4 11 8 9" xfId="1946"/>
    <cellStyle name="Normal 4 11 9" xfId="98"/>
    <cellStyle name="Normal 4 11 9 2" xfId="1947"/>
    <cellStyle name="Normal 4 11 9 3" xfId="10641"/>
    <cellStyle name="Normal 4 12" xfId="99"/>
    <cellStyle name="Normal 4 12 10" xfId="1949"/>
    <cellStyle name="Normal 4 12 11" xfId="1950"/>
    <cellStyle name="Normal 4 12 12" xfId="1951"/>
    <cellStyle name="Normal 4 12 13" xfId="1952"/>
    <cellStyle name="Normal 4 12 14" xfId="1953"/>
    <cellStyle name="Normal 4 12 15" xfId="10625"/>
    <cellStyle name="Normal 4 12 16" xfId="33536"/>
    <cellStyle name="Normal 4 12 2" xfId="1948"/>
    <cellStyle name="Normal 4 12 3" xfId="1955"/>
    <cellStyle name="Normal 4 12 4" xfId="1956"/>
    <cellStyle name="Normal 4 12 5" xfId="1957"/>
    <cellStyle name="Normal 4 12 6" xfId="1958"/>
    <cellStyle name="Normal 4 12 7" xfId="1959"/>
    <cellStyle name="Normal 4 12 8" xfId="1960"/>
    <cellStyle name="Normal 4 12 9" xfId="1961"/>
    <cellStyle name="Normal 4 13" xfId="100"/>
    <cellStyle name="Normal 4 13 10" xfId="1963"/>
    <cellStyle name="Normal 4 13 11" xfId="1964"/>
    <cellStyle name="Normal 4 13 12" xfId="1965"/>
    <cellStyle name="Normal 4 13 13" xfId="1966"/>
    <cellStyle name="Normal 4 13 14" xfId="1967"/>
    <cellStyle name="Normal 4 13 15" xfId="10624"/>
    <cellStyle name="Normal 4 13 16" xfId="33537"/>
    <cellStyle name="Normal 4 13 2" xfId="1962"/>
    <cellStyle name="Normal 4 13 3" xfId="1969"/>
    <cellStyle name="Normal 4 13 4" xfId="1970"/>
    <cellStyle name="Normal 4 13 5" xfId="1971"/>
    <cellStyle name="Normal 4 13 6" xfId="1972"/>
    <cellStyle name="Normal 4 13 7" xfId="1973"/>
    <cellStyle name="Normal 4 13 8" xfId="1974"/>
    <cellStyle name="Normal 4 13 9" xfId="1975"/>
    <cellStyle name="Normal 4 14" xfId="101"/>
    <cellStyle name="Normal 4 14 10" xfId="1977"/>
    <cellStyle name="Normal 4 14 11" xfId="1978"/>
    <cellStyle name="Normal 4 14 12" xfId="1979"/>
    <cellStyle name="Normal 4 14 13" xfId="1980"/>
    <cellStyle name="Normal 4 14 14" xfId="1981"/>
    <cellStyle name="Normal 4 14 15" xfId="10616"/>
    <cellStyle name="Normal 4 14 16" xfId="33538"/>
    <cellStyle name="Normal 4 14 2" xfId="1976"/>
    <cellStyle name="Normal 4 14 3" xfId="1983"/>
    <cellStyle name="Normal 4 14 4" xfId="1984"/>
    <cellStyle name="Normal 4 14 5" xfId="1985"/>
    <cellStyle name="Normal 4 14 6" xfId="1986"/>
    <cellStyle name="Normal 4 14 7" xfId="1987"/>
    <cellStyle name="Normal 4 14 8" xfId="1988"/>
    <cellStyle name="Normal 4 14 9" xfId="1989"/>
    <cellStyle name="Normal 4 15" xfId="102"/>
    <cellStyle name="Normal 4 15 10" xfId="1991"/>
    <cellStyle name="Normal 4 15 11" xfId="1992"/>
    <cellStyle name="Normal 4 15 12" xfId="1993"/>
    <cellStyle name="Normal 4 15 13" xfId="1994"/>
    <cellStyle name="Normal 4 15 14" xfId="1995"/>
    <cellStyle name="Normal 4 15 15" xfId="10602"/>
    <cellStyle name="Normal 4 15 16" xfId="33539"/>
    <cellStyle name="Normal 4 15 2" xfId="1990"/>
    <cellStyle name="Normal 4 15 3" xfId="1997"/>
    <cellStyle name="Normal 4 15 4" xfId="1998"/>
    <cellStyle name="Normal 4 15 5" xfId="1999"/>
    <cellStyle name="Normal 4 15 6" xfId="2000"/>
    <cellStyle name="Normal 4 15 7" xfId="2001"/>
    <cellStyle name="Normal 4 15 8" xfId="2002"/>
    <cellStyle name="Normal 4 15 9" xfId="2003"/>
    <cellStyle name="Normal 4 16" xfId="103"/>
    <cellStyle name="Normal 4 16 10" xfId="2005"/>
    <cellStyle name="Normal 4 16 11" xfId="2006"/>
    <cellStyle name="Normal 4 16 12" xfId="2007"/>
    <cellStyle name="Normal 4 16 13" xfId="2008"/>
    <cellStyle name="Normal 4 16 14" xfId="2009"/>
    <cellStyle name="Normal 4 16 15" xfId="10588"/>
    <cellStyle name="Normal 4 16 2" xfId="2004"/>
    <cellStyle name="Normal 4 16 3" xfId="2011"/>
    <cellStyle name="Normal 4 16 4" xfId="2012"/>
    <cellStyle name="Normal 4 16 5" xfId="2013"/>
    <cellStyle name="Normal 4 16 6" xfId="2014"/>
    <cellStyle name="Normal 4 16 7" xfId="2015"/>
    <cellStyle name="Normal 4 16 8" xfId="2016"/>
    <cellStyle name="Normal 4 16 9" xfId="2017"/>
    <cellStyle name="Normal 4 17" xfId="104"/>
    <cellStyle name="Normal 4 17 10" xfId="2019"/>
    <cellStyle name="Normal 4 17 11" xfId="2020"/>
    <cellStyle name="Normal 4 17 12" xfId="2021"/>
    <cellStyle name="Normal 4 17 13" xfId="2022"/>
    <cellStyle name="Normal 4 17 14" xfId="2023"/>
    <cellStyle name="Normal 4 17 15" xfId="10573"/>
    <cellStyle name="Normal 4 17 2" xfId="2018"/>
    <cellStyle name="Normal 4 17 3" xfId="2025"/>
    <cellStyle name="Normal 4 17 4" xfId="2026"/>
    <cellStyle name="Normal 4 17 5" xfId="2027"/>
    <cellStyle name="Normal 4 17 6" xfId="2028"/>
    <cellStyle name="Normal 4 17 7" xfId="2029"/>
    <cellStyle name="Normal 4 17 8" xfId="2030"/>
    <cellStyle name="Normal 4 17 9" xfId="2031"/>
    <cellStyle name="Normal 4 18" xfId="105"/>
    <cellStyle name="Normal 4 18 10" xfId="2033"/>
    <cellStyle name="Normal 4 18 11" xfId="2034"/>
    <cellStyle name="Normal 4 18 12" xfId="2035"/>
    <cellStyle name="Normal 4 18 13" xfId="2036"/>
    <cellStyle name="Normal 4 18 14" xfId="2037"/>
    <cellStyle name="Normal 4 18 15" xfId="10559"/>
    <cellStyle name="Normal 4 18 2" xfId="2032"/>
    <cellStyle name="Normal 4 18 3" xfId="2039"/>
    <cellStyle name="Normal 4 18 4" xfId="2040"/>
    <cellStyle name="Normal 4 18 5" xfId="2041"/>
    <cellStyle name="Normal 4 18 6" xfId="2042"/>
    <cellStyle name="Normal 4 18 7" xfId="2043"/>
    <cellStyle name="Normal 4 18 8" xfId="2044"/>
    <cellStyle name="Normal 4 18 9" xfId="2045"/>
    <cellStyle name="Normal 4 19" xfId="106"/>
    <cellStyle name="Normal 4 19 2" xfId="2046"/>
    <cellStyle name="Normal 4 19 3" xfId="10545"/>
    <cellStyle name="Normal 4 2" xfId="107"/>
    <cellStyle name="Normal 4 2 10" xfId="108"/>
    <cellStyle name="Normal 4 2 10 10" xfId="2049"/>
    <cellStyle name="Normal 4 2 10 11" xfId="2050"/>
    <cellStyle name="Normal 4 2 10 12" xfId="2051"/>
    <cellStyle name="Normal 4 2 10 13" xfId="2052"/>
    <cellStyle name="Normal 4 2 10 14" xfId="2053"/>
    <cellStyle name="Normal 4 2 10 15" xfId="10517"/>
    <cellStyle name="Normal 4 2 10 2" xfId="2048"/>
    <cellStyle name="Normal 4 2 10 3" xfId="2055"/>
    <cellStyle name="Normal 4 2 10 4" xfId="2056"/>
    <cellStyle name="Normal 4 2 10 5" xfId="2057"/>
    <cellStyle name="Normal 4 2 10 6" xfId="2058"/>
    <cellStyle name="Normal 4 2 10 7" xfId="2059"/>
    <cellStyle name="Normal 4 2 10 8" xfId="2060"/>
    <cellStyle name="Normal 4 2 10 9" xfId="2061"/>
    <cellStyle name="Normal 4 2 11" xfId="109"/>
    <cellStyle name="Normal 4 2 11 10" xfId="2063"/>
    <cellStyle name="Normal 4 2 11 11" xfId="2064"/>
    <cellStyle name="Normal 4 2 11 12" xfId="2065"/>
    <cellStyle name="Normal 4 2 11 13" xfId="2066"/>
    <cellStyle name="Normal 4 2 11 14" xfId="2067"/>
    <cellStyle name="Normal 4 2 11 15" xfId="10503"/>
    <cellStyle name="Normal 4 2 11 2" xfId="2062"/>
    <cellStyle name="Normal 4 2 11 3" xfId="2069"/>
    <cellStyle name="Normal 4 2 11 4" xfId="2070"/>
    <cellStyle name="Normal 4 2 11 5" xfId="2071"/>
    <cellStyle name="Normal 4 2 11 6" xfId="2072"/>
    <cellStyle name="Normal 4 2 11 7" xfId="2073"/>
    <cellStyle name="Normal 4 2 11 8" xfId="2074"/>
    <cellStyle name="Normal 4 2 11 9" xfId="2075"/>
    <cellStyle name="Normal 4 2 12" xfId="110"/>
    <cellStyle name="Normal 4 2 12 10" xfId="2077"/>
    <cellStyle name="Normal 4 2 12 11" xfId="2078"/>
    <cellStyle name="Normal 4 2 12 12" xfId="2079"/>
    <cellStyle name="Normal 4 2 12 13" xfId="2080"/>
    <cellStyle name="Normal 4 2 12 14" xfId="2081"/>
    <cellStyle name="Normal 4 2 12 15" xfId="10486"/>
    <cellStyle name="Normal 4 2 12 2" xfId="2076"/>
    <cellStyle name="Normal 4 2 12 3" xfId="2083"/>
    <cellStyle name="Normal 4 2 12 4" xfId="2084"/>
    <cellStyle name="Normal 4 2 12 5" xfId="2085"/>
    <cellStyle name="Normal 4 2 12 6" xfId="2086"/>
    <cellStyle name="Normal 4 2 12 7" xfId="2087"/>
    <cellStyle name="Normal 4 2 12 8" xfId="2088"/>
    <cellStyle name="Normal 4 2 12 9" xfId="2089"/>
    <cellStyle name="Normal 4 2 13" xfId="111"/>
    <cellStyle name="Normal 4 2 13 10" xfId="2091"/>
    <cellStyle name="Normal 4 2 13 11" xfId="2092"/>
    <cellStyle name="Normal 4 2 13 12" xfId="2093"/>
    <cellStyle name="Normal 4 2 13 13" xfId="2094"/>
    <cellStyle name="Normal 4 2 13 14" xfId="2095"/>
    <cellStyle name="Normal 4 2 13 15" xfId="10471"/>
    <cellStyle name="Normal 4 2 13 2" xfId="2090"/>
    <cellStyle name="Normal 4 2 13 3" xfId="2097"/>
    <cellStyle name="Normal 4 2 13 4" xfId="2098"/>
    <cellStyle name="Normal 4 2 13 5" xfId="2099"/>
    <cellStyle name="Normal 4 2 13 6" xfId="2100"/>
    <cellStyle name="Normal 4 2 13 7" xfId="2101"/>
    <cellStyle name="Normal 4 2 13 8" xfId="2102"/>
    <cellStyle name="Normal 4 2 13 9" xfId="2103"/>
    <cellStyle name="Normal 4 2 14" xfId="112"/>
    <cellStyle name="Normal 4 2 14 10" xfId="2105"/>
    <cellStyle name="Normal 4 2 14 11" xfId="2106"/>
    <cellStyle name="Normal 4 2 14 12" xfId="2107"/>
    <cellStyle name="Normal 4 2 14 13" xfId="2108"/>
    <cellStyle name="Normal 4 2 14 14" xfId="2109"/>
    <cellStyle name="Normal 4 2 14 15" xfId="10460"/>
    <cellStyle name="Normal 4 2 14 2" xfId="2104"/>
    <cellStyle name="Normal 4 2 14 3" xfId="2111"/>
    <cellStyle name="Normal 4 2 14 4" xfId="2112"/>
    <cellStyle name="Normal 4 2 14 5" xfId="2113"/>
    <cellStyle name="Normal 4 2 14 6" xfId="2114"/>
    <cellStyle name="Normal 4 2 14 7" xfId="2115"/>
    <cellStyle name="Normal 4 2 14 8" xfId="2116"/>
    <cellStyle name="Normal 4 2 14 9" xfId="2117"/>
    <cellStyle name="Normal 4 2 15" xfId="113"/>
    <cellStyle name="Normal 4 2 15 10" xfId="2119"/>
    <cellStyle name="Normal 4 2 15 11" xfId="2120"/>
    <cellStyle name="Normal 4 2 15 12" xfId="2121"/>
    <cellStyle name="Normal 4 2 15 13" xfId="2122"/>
    <cellStyle name="Normal 4 2 15 14" xfId="2123"/>
    <cellStyle name="Normal 4 2 15 15" xfId="10446"/>
    <cellStyle name="Normal 4 2 15 2" xfId="2118"/>
    <cellStyle name="Normal 4 2 15 3" xfId="2125"/>
    <cellStyle name="Normal 4 2 15 4" xfId="2126"/>
    <cellStyle name="Normal 4 2 15 5" xfId="2127"/>
    <cellStyle name="Normal 4 2 15 6" xfId="2128"/>
    <cellStyle name="Normal 4 2 15 7" xfId="2129"/>
    <cellStyle name="Normal 4 2 15 8" xfId="2130"/>
    <cellStyle name="Normal 4 2 15 9" xfId="2131"/>
    <cellStyle name="Normal 4 2 16" xfId="114"/>
    <cellStyle name="Normal 4 2 16 2" xfId="2132"/>
    <cellStyle name="Normal 4 2 16 3" xfId="10432"/>
    <cellStyle name="Normal 4 2 17" xfId="115"/>
    <cellStyle name="Normal 4 2 17 2" xfId="2133"/>
    <cellStyle name="Normal 4 2 17 3" xfId="10418"/>
    <cellStyle name="Normal 4 2 18" xfId="2047"/>
    <cellStyle name="Normal 4 2 19" xfId="2135"/>
    <cellStyle name="Normal 4 2 2" xfId="116"/>
    <cellStyle name="Normal 4 2 2 10" xfId="117"/>
    <cellStyle name="Normal 4 2 2 10 10" xfId="2138"/>
    <cellStyle name="Normal 4 2 2 10 11" xfId="2139"/>
    <cellStyle name="Normal 4 2 2 10 12" xfId="2140"/>
    <cellStyle name="Normal 4 2 2 10 13" xfId="2141"/>
    <cellStyle name="Normal 4 2 2 10 14" xfId="2142"/>
    <cellStyle name="Normal 4 2 2 10 15" xfId="10390"/>
    <cellStyle name="Normal 4 2 2 10 2" xfId="2137"/>
    <cellStyle name="Normal 4 2 2 10 3" xfId="2144"/>
    <cellStyle name="Normal 4 2 2 10 4" xfId="2145"/>
    <cellStyle name="Normal 4 2 2 10 5" xfId="2146"/>
    <cellStyle name="Normal 4 2 2 10 6" xfId="2147"/>
    <cellStyle name="Normal 4 2 2 10 7" xfId="2148"/>
    <cellStyle name="Normal 4 2 2 10 8" xfId="2149"/>
    <cellStyle name="Normal 4 2 2 10 9" xfId="2150"/>
    <cellStyle name="Normal 4 2 2 11" xfId="118"/>
    <cellStyle name="Normal 4 2 2 11 10" xfId="2152"/>
    <cellStyle name="Normal 4 2 2 11 11" xfId="2153"/>
    <cellStyle name="Normal 4 2 2 11 12" xfId="2154"/>
    <cellStyle name="Normal 4 2 2 11 13" xfId="2155"/>
    <cellStyle name="Normal 4 2 2 11 14" xfId="2156"/>
    <cellStyle name="Normal 4 2 2 11 15" xfId="10373"/>
    <cellStyle name="Normal 4 2 2 11 2" xfId="2151"/>
    <cellStyle name="Normal 4 2 2 11 3" xfId="2158"/>
    <cellStyle name="Normal 4 2 2 11 4" xfId="2159"/>
    <cellStyle name="Normal 4 2 2 11 5" xfId="2160"/>
    <cellStyle name="Normal 4 2 2 11 6" xfId="2161"/>
    <cellStyle name="Normal 4 2 2 11 7" xfId="2162"/>
    <cellStyle name="Normal 4 2 2 11 8" xfId="2163"/>
    <cellStyle name="Normal 4 2 2 11 9" xfId="2164"/>
    <cellStyle name="Normal 4 2 2 12" xfId="119"/>
    <cellStyle name="Normal 4 2 2 12 10" xfId="2166"/>
    <cellStyle name="Normal 4 2 2 12 11" xfId="2167"/>
    <cellStyle name="Normal 4 2 2 12 12" xfId="2168"/>
    <cellStyle name="Normal 4 2 2 12 13" xfId="2169"/>
    <cellStyle name="Normal 4 2 2 12 14" xfId="2170"/>
    <cellStyle name="Normal 4 2 2 12 15" xfId="10358"/>
    <cellStyle name="Normal 4 2 2 12 2" xfId="2165"/>
    <cellStyle name="Normal 4 2 2 12 3" xfId="2172"/>
    <cellStyle name="Normal 4 2 2 12 4" xfId="2173"/>
    <cellStyle name="Normal 4 2 2 12 5" xfId="2174"/>
    <cellStyle name="Normal 4 2 2 12 6" xfId="2175"/>
    <cellStyle name="Normal 4 2 2 12 7" xfId="2176"/>
    <cellStyle name="Normal 4 2 2 12 8" xfId="2177"/>
    <cellStyle name="Normal 4 2 2 12 9" xfId="2178"/>
    <cellStyle name="Normal 4 2 2 13" xfId="120"/>
    <cellStyle name="Normal 4 2 2 13 10" xfId="2180"/>
    <cellStyle name="Normal 4 2 2 13 11" xfId="2181"/>
    <cellStyle name="Normal 4 2 2 13 12" xfId="2182"/>
    <cellStyle name="Normal 4 2 2 13 13" xfId="2183"/>
    <cellStyle name="Normal 4 2 2 13 14" xfId="2184"/>
    <cellStyle name="Normal 4 2 2 13 15" xfId="10347"/>
    <cellStyle name="Normal 4 2 2 13 2" xfId="2179"/>
    <cellStyle name="Normal 4 2 2 13 3" xfId="2186"/>
    <cellStyle name="Normal 4 2 2 13 4" xfId="2187"/>
    <cellStyle name="Normal 4 2 2 13 5" xfId="2188"/>
    <cellStyle name="Normal 4 2 2 13 6" xfId="2189"/>
    <cellStyle name="Normal 4 2 2 13 7" xfId="2190"/>
    <cellStyle name="Normal 4 2 2 13 8" xfId="2191"/>
    <cellStyle name="Normal 4 2 2 13 9" xfId="2192"/>
    <cellStyle name="Normal 4 2 2 14" xfId="121"/>
    <cellStyle name="Normal 4 2 2 14 2" xfId="2193"/>
    <cellStyle name="Normal 4 2 2 14 3" xfId="10333"/>
    <cellStyle name="Normal 4 2 2 15" xfId="122"/>
    <cellStyle name="Normal 4 2 2 15 2" xfId="2194"/>
    <cellStyle name="Normal 4 2 2 15 3" xfId="10319"/>
    <cellStyle name="Normal 4 2 2 16" xfId="2136"/>
    <cellStyle name="Normal 4 2 2 17" xfId="2196"/>
    <cellStyle name="Normal 4 2 2 18" xfId="2197"/>
    <cellStyle name="Normal 4 2 2 19" xfId="2198"/>
    <cellStyle name="Normal 4 2 2 2" xfId="123"/>
    <cellStyle name="Normal 4 2 2 2 10" xfId="124"/>
    <cellStyle name="Normal 4 2 2 2 10 2" xfId="2200"/>
    <cellStyle name="Normal 4 2 2 2 10 3" xfId="10291"/>
    <cellStyle name="Normal 4 2 2 2 11" xfId="2199"/>
    <cellStyle name="Normal 4 2 2 2 12" xfId="2202"/>
    <cellStyle name="Normal 4 2 2 2 13" xfId="2203"/>
    <cellStyle name="Normal 4 2 2 2 14" xfId="2204"/>
    <cellStyle name="Normal 4 2 2 2 15" xfId="2205"/>
    <cellStyle name="Normal 4 2 2 2 16" xfId="2206"/>
    <cellStyle name="Normal 4 2 2 2 17" xfId="2207"/>
    <cellStyle name="Normal 4 2 2 2 18" xfId="2208"/>
    <cellStyle name="Normal 4 2 2 2 19" xfId="2209"/>
    <cellStyle name="Normal 4 2 2 2 2" xfId="125"/>
    <cellStyle name="Normal 4 2 2 2 2 10" xfId="2211"/>
    <cellStyle name="Normal 4 2 2 2 2 11" xfId="2212"/>
    <cellStyle name="Normal 4 2 2 2 2 12" xfId="2213"/>
    <cellStyle name="Normal 4 2 2 2 2 13" xfId="2214"/>
    <cellStyle name="Normal 4 2 2 2 2 14" xfId="2215"/>
    <cellStyle name="Normal 4 2 2 2 2 15" xfId="10277"/>
    <cellStyle name="Normal 4 2 2 2 2 2" xfId="2210"/>
    <cellStyle name="Normal 4 2 2 2 2 3" xfId="2217"/>
    <cellStyle name="Normal 4 2 2 2 2 4" xfId="2218"/>
    <cellStyle name="Normal 4 2 2 2 2 5" xfId="2219"/>
    <cellStyle name="Normal 4 2 2 2 2 6" xfId="2220"/>
    <cellStyle name="Normal 4 2 2 2 2 7" xfId="2221"/>
    <cellStyle name="Normal 4 2 2 2 2 8" xfId="2222"/>
    <cellStyle name="Normal 4 2 2 2 2 9" xfId="2223"/>
    <cellStyle name="Normal 4 2 2 2 20" xfId="2224"/>
    <cellStyle name="Normal 4 2 2 2 21" xfId="2225"/>
    <cellStyle name="Normal 4 2 2 2 22" xfId="2226"/>
    <cellStyle name="Normal 4 2 2 2 23" xfId="10305"/>
    <cellStyle name="Normal 4 2 2 2 3" xfId="126"/>
    <cellStyle name="Normal 4 2 2 2 3 10" xfId="2228"/>
    <cellStyle name="Normal 4 2 2 2 3 11" xfId="2229"/>
    <cellStyle name="Normal 4 2 2 2 3 12" xfId="2230"/>
    <cellStyle name="Normal 4 2 2 2 3 13" xfId="2231"/>
    <cellStyle name="Normal 4 2 2 2 3 14" xfId="2232"/>
    <cellStyle name="Normal 4 2 2 2 3 15" xfId="10260"/>
    <cellStyle name="Normal 4 2 2 2 3 2" xfId="2227"/>
    <cellStyle name="Normal 4 2 2 2 3 3" xfId="2234"/>
    <cellStyle name="Normal 4 2 2 2 3 4" xfId="2235"/>
    <cellStyle name="Normal 4 2 2 2 3 5" xfId="2236"/>
    <cellStyle name="Normal 4 2 2 2 3 6" xfId="2237"/>
    <cellStyle name="Normal 4 2 2 2 3 7" xfId="2238"/>
    <cellStyle name="Normal 4 2 2 2 3 8" xfId="2239"/>
    <cellStyle name="Normal 4 2 2 2 3 9" xfId="2240"/>
    <cellStyle name="Normal 4 2 2 2 4" xfId="127"/>
    <cellStyle name="Normal 4 2 2 2 4 10" xfId="2242"/>
    <cellStyle name="Normal 4 2 2 2 4 11" xfId="2243"/>
    <cellStyle name="Normal 4 2 2 2 4 12" xfId="2244"/>
    <cellStyle name="Normal 4 2 2 2 4 13" xfId="2245"/>
    <cellStyle name="Normal 4 2 2 2 4 14" xfId="2246"/>
    <cellStyle name="Normal 4 2 2 2 4 15" xfId="10245"/>
    <cellStyle name="Normal 4 2 2 2 4 2" xfId="2241"/>
    <cellStyle name="Normal 4 2 2 2 4 3" xfId="2248"/>
    <cellStyle name="Normal 4 2 2 2 4 4" xfId="2249"/>
    <cellStyle name="Normal 4 2 2 2 4 5" xfId="2250"/>
    <cellStyle name="Normal 4 2 2 2 4 6" xfId="2251"/>
    <cellStyle name="Normal 4 2 2 2 4 7" xfId="2252"/>
    <cellStyle name="Normal 4 2 2 2 4 8" xfId="2253"/>
    <cellStyle name="Normal 4 2 2 2 4 9" xfId="2254"/>
    <cellStyle name="Normal 4 2 2 2 5" xfId="128"/>
    <cellStyle name="Normal 4 2 2 2 5 10" xfId="2256"/>
    <cellStyle name="Normal 4 2 2 2 5 11" xfId="2257"/>
    <cellStyle name="Normal 4 2 2 2 5 12" xfId="2258"/>
    <cellStyle name="Normal 4 2 2 2 5 13" xfId="2259"/>
    <cellStyle name="Normal 4 2 2 2 5 14" xfId="2260"/>
    <cellStyle name="Normal 4 2 2 2 5 15" xfId="10234"/>
    <cellStyle name="Normal 4 2 2 2 5 2" xfId="2255"/>
    <cellStyle name="Normal 4 2 2 2 5 3" xfId="2262"/>
    <cellStyle name="Normal 4 2 2 2 5 4" xfId="2263"/>
    <cellStyle name="Normal 4 2 2 2 5 5" xfId="2264"/>
    <cellStyle name="Normal 4 2 2 2 5 6" xfId="2265"/>
    <cellStyle name="Normal 4 2 2 2 5 7" xfId="2266"/>
    <cellStyle name="Normal 4 2 2 2 5 8" xfId="2267"/>
    <cellStyle name="Normal 4 2 2 2 5 9" xfId="2268"/>
    <cellStyle name="Normal 4 2 2 2 6" xfId="129"/>
    <cellStyle name="Normal 4 2 2 2 6 10" xfId="2270"/>
    <cellStyle name="Normal 4 2 2 2 6 11" xfId="2271"/>
    <cellStyle name="Normal 4 2 2 2 6 12" xfId="2272"/>
    <cellStyle name="Normal 4 2 2 2 6 13" xfId="2273"/>
    <cellStyle name="Normal 4 2 2 2 6 14" xfId="2274"/>
    <cellStyle name="Normal 4 2 2 2 6 15" xfId="10220"/>
    <cellStyle name="Normal 4 2 2 2 6 2" xfId="2269"/>
    <cellStyle name="Normal 4 2 2 2 6 3" xfId="2276"/>
    <cellStyle name="Normal 4 2 2 2 6 4" xfId="2277"/>
    <cellStyle name="Normal 4 2 2 2 6 5" xfId="2278"/>
    <cellStyle name="Normal 4 2 2 2 6 6" xfId="2279"/>
    <cellStyle name="Normal 4 2 2 2 6 7" xfId="2280"/>
    <cellStyle name="Normal 4 2 2 2 6 8" xfId="2281"/>
    <cellStyle name="Normal 4 2 2 2 6 9" xfId="2282"/>
    <cellStyle name="Normal 4 2 2 2 7" xfId="130"/>
    <cellStyle name="Normal 4 2 2 2 7 10" xfId="2284"/>
    <cellStyle name="Normal 4 2 2 2 7 11" xfId="2285"/>
    <cellStyle name="Normal 4 2 2 2 7 12" xfId="2286"/>
    <cellStyle name="Normal 4 2 2 2 7 13" xfId="2287"/>
    <cellStyle name="Normal 4 2 2 2 7 14" xfId="2288"/>
    <cellStyle name="Normal 4 2 2 2 7 15" xfId="10206"/>
    <cellStyle name="Normal 4 2 2 2 7 2" xfId="2283"/>
    <cellStyle name="Normal 4 2 2 2 7 3" xfId="2290"/>
    <cellStyle name="Normal 4 2 2 2 7 4" xfId="2291"/>
    <cellStyle name="Normal 4 2 2 2 7 5" xfId="2292"/>
    <cellStyle name="Normal 4 2 2 2 7 6" xfId="2293"/>
    <cellStyle name="Normal 4 2 2 2 7 7" xfId="2294"/>
    <cellStyle name="Normal 4 2 2 2 7 8" xfId="2295"/>
    <cellStyle name="Normal 4 2 2 2 7 9" xfId="2296"/>
    <cellStyle name="Normal 4 2 2 2 8" xfId="131"/>
    <cellStyle name="Normal 4 2 2 2 8 10" xfId="2298"/>
    <cellStyle name="Normal 4 2 2 2 8 11" xfId="2299"/>
    <cellStyle name="Normal 4 2 2 2 8 12" xfId="2300"/>
    <cellStyle name="Normal 4 2 2 2 8 13" xfId="2301"/>
    <cellStyle name="Normal 4 2 2 2 8 14" xfId="2302"/>
    <cellStyle name="Normal 4 2 2 2 8 15" xfId="10192"/>
    <cellStyle name="Normal 4 2 2 2 8 2" xfId="2297"/>
    <cellStyle name="Normal 4 2 2 2 8 3" xfId="2304"/>
    <cellStyle name="Normal 4 2 2 2 8 4" xfId="2305"/>
    <cellStyle name="Normal 4 2 2 2 8 5" xfId="2306"/>
    <cellStyle name="Normal 4 2 2 2 8 6" xfId="2307"/>
    <cellStyle name="Normal 4 2 2 2 8 7" xfId="2308"/>
    <cellStyle name="Normal 4 2 2 2 8 8" xfId="2309"/>
    <cellStyle name="Normal 4 2 2 2 8 9" xfId="2310"/>
    <cellStyle name="Normal 4 2 2 2 9" xfId="132"/>
    <cellStyle name="Normal 4 2 2 2 9 2" xfId="2311"/>
    <cellStyle name="Normal 4 2 2 2 9 3" xfId="10178"/>
    <cellStyle name="Normal 4 2 2 20" xfId="2312"/>
    <cellStyle name="Normal 4 2 2 21" xfId="2313"/>
    <cellStyle name="Normal 4 2 2 22" xfId="2314"/>
    <cellStyle name="Normal 4 2 2 23" xfId="2315"/>
    <cellStyle name="Normal 4 2 2 24" xfId="2316"/>
    <cellStyle name="Normal 4 2 2 25" xfId="2317"/>
    <cellStyle name="Normal 4 2 2 26" xfId="2318"/>
    <cellStyle name="Normal 4 2 2 27" xfId="2319"/>
    <cellStyle name="Normal 4 2 2 28" xfId="10404"/>
    <cellStyle name="Normal 4 2 2 29" xfId="11017"/>
    <cellStyle name="Normal 4 2 2 3" xfId="133"/>
    <cellStyle name="Normal 4 2 2 3 10" xfId="134"/>
    <cellStyle name="Normal 4 2 2 3 10 2" xfId="2321"/>
    <cellStyle name="Normal 4 2 2 3 10 3" xfId="10147"/>
    <cellStyle name="Normal 4 2 2 3 11" xfId="2320"/>
    <cellStyle name="Normal 4 2 2 3 12" xfId="2323"/>
    <cellStyle name="Normal 4 2 2 3 13" xfId="2324"/>
    <cellStyle name="Normal 4 2 2 3 14" xfId="2325"/>
    <cellStyle name="Normal 4 2 2 3 15" xfId="2326"/>
    <cellStyle name="Normal 4 2 2 3 16" xfId="2327"/>
    <cellStyle name="Normal 4 2 2 3 17" xfId="2328"/>
    <cellStyle name="Normal 4 2 2 3 18" xfId="2329"/>
    <cellStyle name="Normal 4 2 2 3 19" xfId="2330"/>
    <cellStyle name="Normal 4 2 2 3 2" xfId="135"/>
    <cellStyle name="Normal 4 2 2 3 2 10" xfId="2332"/>
    <cellStyle name="Normal 4 2 2 3 2 11" xfId="2333"/>
    <cellStyle name="Normal 4 2 2 3 2 12" xfId="2334"/>
    <cellStyle name="Normal 4 2 2 3 2 13" xfId="2335"/>
    <cellStyle name="Normal 4 2 2 3 2 14" xfId="2336"/>
    <cellStyle name="Normal 4 2 2 3 2 15" xfId="10132"/>
    <cellStyle name="Normal 4 2 2 3 2 2" xfId="2331"/>
    <cellStyle name="Normal 4 2 2 3 2 3" xfId="2338"/>
    <cellStyle name="Normal 4 2 2 3 2 4" xfId="2339"/>
    <cellStyle name="Normal 4 2 2 3 2 5" xfId="2340"/>
    <cellStyle name="Normal 4 2 2 3 2 6" xfId="2341"/>
    <cellStyle name="Normal 4 2 2 3 2 7" xfId="2342"/>
    <cellStyle name="Normal 4 2 2 3 2 8" xfId="2343"/>
    <cellStyle name="Normal 4 2 2 3 2 9" xfId="2344"/>
    <cellStyle name="Normal 4 2 2 3 20" xfId="2345"/>
    <cellStyle name="Normal 4 2 2 3 21" xfId="2346"/>
    <cellStyle name="Normal 4 2 2 3 22" xfId="2347"/>
    <cellStyle name="Normal 4 2 2 3 23" xfId="10164"/>
    <cellStyle name="Normal 4 2 2 3 3" xfId="136"/>
    <cellStyle name="Normal 4 2 2 3 3 10" xfId="2349"/>
    <cellStyle name="Normal 4 2 2 3 3 11" xfId="2350"/>
    <cellStyle name="Normal 4 2 2 3 3 12" xfId="2351"/>
    <cellStyle name="Normal 4 2 2 3 3 13" xfId="2352"/>
    <cellStyle name="Normal 4 2 2 3 3 14" xfId="2353"/>
    <cellStyle name="Normal 4 2 2 3 3 15" xfId="10113"/>
    <cellStyle name="Normal 4 2 2 3 3 2" xfId="2348"/>
    <cellStyle name="Normal 4 2 2 3 3 3" xfId="2355"/>
    <cellStyle name="Normal 4 2 2 3 3 4" xfId="2356"/>
    <cellStyle name="Normal 4 2 2 3 3 5" xfId="2357"/>
    <cellStyle name="Normal 4 2 2 3 3 6" xfId="2358"/>
    <cellStyle name="Normal 4 2 2 3 3 7" xfId="2359"/>
    <cellStyle name="Normal 4 2 2 3 3 8" xfId="2360"/>
    <cellStyle name="Normal 4 2 2 3 3 9" xfId="2361"/>
    <cellStyle name="Normal 4 2 2 3 4" xfId="137"/>
    <cellStyle name="Normal 4 2 2 3 4 10" xfId="2363"/>
    <cellStyle name="Normal 4 2 2 3 4 11" xfId="2364"/>
    <cellStyle name="Normal 4 2 2 3 4 12" xfId="2365"/>
    <cellStyle name="Normal 4 2 2 3 4 13" xfId="2366"/>
    <cellStyle name="Normal 4 2 2 3 4 14" xfId="2367"/>
    <cellStyle name="Normal 4 2 2 3 4 15" xfId="10099"/>
    <cellStyle name="Normal 4 2 2 3 4 2" xfId="2362"/>
    <cellStyle name="Normal 4 2 2 3 4 3" xfId="2369"/>
    <cellStyle name="Normal 4 2 2 3 4 4" xfId="2370"/>
    <cellStyle name="Normal 4 2 2 3 4 5" xfId="2371"/>
    <cellStyle name="Normal 4 2 2 3 4 6" xfId="2372"/>
    <cellStyle name="Normal 4 2 2 3 4 7" xfId="2373"/>
    <cellStyle name="Normal 4 2 2 3 4 8" xfId="2374"/>
    <cellStyle name="Normal 4 2 2 3 4 9" xfId="2375"/>
    <cellStyle name="Normal 4 2 2 3 5" xfId="138"/>
    <cellStyle name="Normal 4 2 2 3 5 10" xfId="2377"/>
    <cellStyle name="Normal 4 2 2 3 5 11" xfId="2378"/>
    <cellStyle name="Normal 4 2 2 3 5 12" xfId="2379"/>
    <cellStyle name="Normal 4 2 2 3 5 13" xfId="2380"/>
    <cellStyle name="Normal 4 2 2 3 5 14" xfId="2381"/>
    <cellStyle name="Normal 4 2 2 3 5 15" xfId="10085"/>
    <cellStyle name="Normal 4 2 2 3 5 2" xfId="2376"/>
    <cellStyle name="Normal 4 2 2 3 5 3" xfId="2383"/>
    <cellStyle name="Normal 4 2 2 3 5 4" xfId="2384"/>
    <cellStyle name="Normal 4 2 2 3 5 5" xfId="2385"/>
    <cellStyle name="Normal 4 2 2 3 5 6" xfId="2386"/>
    <cellStyle name="Normal 4 2 2 3 5 7" xfId="2387"/>
    <cellStyle name="Normal 4 2 2 3 5 8" xfId="2388"/>
    <cellStyle name="Normal 4 2 2 3 5 9" xfId="2389"/>
    <cellStyle name="Normal 4 2 2 3 6" xfId="139"/>
    <cellStyle name="Normal 4 2 2 3 6 10" xfId="2391"/>
    <cellStyle name="Normal 4 2 2 3 6 11" xfId="2392"/>
    <cellStyle name="Normal 4 2 2 3 6 12" xfId="2393"/>
    <cellStyle name="Normal 4 2 2 3 6 13" xfId="2394"/>
    <cellStyle name="Normal 4 2 2 3 6 14" xfId="2395"/>
    <cellStyle name="Normal 4 2 2 3 6 15" xfId="10071"/>
    <cellStyle name="Normal 4 2 2 3 6 2" xfId="2390"/>
    <cellStyle name="Normal 4 2 2 3 6 3" xfId="2397"/>
    <cellStyle name="Normal 4 2 2 3 6 4" xfId="2398"/>
    <cellStyle name="Normal 4 2 2 3 6 5" xfId="2399"/>
    <cellStyle name="Normal 4 2 2 3 6 6" xfId="2400"/>
    <cellStyle name="Normal 4 2 2 3 6 7" xfId="2401"/>
    <cellStyle name="Normal 4 2 2 3 6 8" xfId="2402"/>
    <cellStyle name="Normal 4 2 2 3 6 9" xfId="2403"/>
    <cellStyle name="Normal 4 2 2 3 7" xfId="140"/>
    <cellStyle name="Normal 4 2 2 3 7 10" xfId="2405"/>
    <cellStyle name="Normal 4 2 2 3 7 11" xfId="2406"/>
    <cellStyle name="Normal 4 2 2 3 7 12" xfId="2407"/>
    <cellStyle name="Normal 4 2 2 3 7 13" xfId="2408"/>
    <cellStyle name="Normal 4 2 2 3 7 14" xfId="2409"/>
    <cellStyle name="Normal 4 2 2 3 7 15" xfId="10057"/>
    <cellStyle name="Normal 4 2 2 3 7 2" xfId="2404"/>
    <cellStyle name="Normal 4 2 2 3 7 3" xfId="2411"/>
    <cellStyle name="Normal 4 2 2 3 7 4" xfId="2412"/>
    <cellStyle name="Normal 4 2 2 3 7 5" xfId="2413"/>
    <cellStyle name="Normal 4 2 2 3 7 6" xfId="2414"/>
    <cellStyle name="Normal 4 2 2 3 7 7" xfId="2415"/>
    <cellStyle name="Normal 4 2 2 3 7 8" xfId="2416"/>
    <cellStyle name="Normal 4 2 2 3 7 9" xfId="2417"/>
    <cellStyle name="Normal 4 2 2 3 8" xfId="141"/>
    <cellStyle name="Normal 4 2 2 3 8 10" xfId="2419"/>
    <cellStyle name="Normal 4 2 2 3 8 11" xfId="2420"/>
    <cellStyle name="Normal 4 2 2 3 8 12" xfId="2421"/>
    <cellStyle name="Normal 4 2 2 3 8 13" xfId="2422"/>
    <cellStyle name="Normal 4 2 2 3 8 14" xfId="2423"/>
    <cellStyle name="Normal 4 2 2 3 8 15" xfId="10043"/>
    <cellStyle name="Normal 4 2 2 3 8 2" xfId="2418"/>
    <cellStyle name="Normal 4 2 2 3 8 3" xfId="2425"/>
    <cellStyle name="Normal 4 2 2 3 8 4" xfId="2426"/>
    <cellStyle name="Normal 4 2 2 3 8 5" xfId="2427"/>
    <cellStyle name="Normal 4 2 2 3 8 6" xfId="2428"/>
    <cellStyle name="Normal 4 2 2 3 8 7" xfId="2429"/>
    <cellStyle name="Normal 4 2 2 3 8 8" xfId="2430"/>
    <cellStyle name="Normal 4 2 2 3 8 9" xfId="2431"/>
    <cellStyle name="Normal 4 2 2 3 9" xfId="142"/>
    <cellStyle name="Normal 4 2 2 3 9 2" xfId="2432"/>
    <cellStyle name="Normal 4 2 2 3 9 3" xfId="10026"/>
    <cellStyle name="Normal 4 2 2 30" xfId="33541"/>
    <cellStyle name="Normal 4 2 2 31" xfId="50267"/>
    <cellStyle name="Normal 4 2 2 4" xfId="143"/>
    <cellStyle name="Normal 4 2 2 4 10" xfId="144"/>
    <cellStyle name="Normal 4 2 2 4 10 2" xfId="2434"/>
    <cellStyle name="Normal 4 2 2 4 10 3" xfId="10005"/>
    <cellStyle name="Normal 4 2 2 4 11" xfId="2433"/>
    <cellStyle name="Normal 4 2 2 4 12" xfId="2436"/>
    <cellStyle name="Normal 4 2 2 4 13" xfId="2437"/>
    <cellStyle name="Normal 4 2 2 4 14" xfId="2438"/>
    <cellStyle name="Normal 4 2 2 4 15" xfId="2439"/>
    <cellStyle name="Normal 4 2 2 4 16" xfId="2440"/>
    <cellStyle name="Normal 4 2 2 4 17" xfId="2441"/>
    <cellStyle name="Normal 4 2 2 4 18" xfId="2442"/>
    <cellStyle name="Normal 4 2 2 4 19" xfId="2443"/>
    <cellStyle name="Normal 4 2 2 4 2" xfId="145"/>
    <cellStyle name="Normal 4 2 2 4 2 10" xfId="2445"/>
    <cellStyle name="Normal 4 2 2 4 2 11" xfId="2446"/>
    <cellStyle name="Normal 4 2 2 4 2 12" xfId="2447"/>
    <cellStyle name="Normal 4 2 2 4 2 13" xfId="2448"/>
    <cellStyle name="Normal 4 2 2 4 2 14" xfId="2449"/>
    <cellStyle name="Normal 4 2 2 4 2 15" xfId="9995"/>
    <cellStyle name="Normal 4 2 2 4 2 2" xfId="2444"/>
    <cellStyle name="Normal 4 2 2 4 2 3" xfId="2451"/>
    <cellStyle name="Normal 4 2 2 4 2 4" xfId="2452"/>
    <cellStyle name="Normal 4 2 2 4 2 5" xfId="2453"/>
    <cellStyle name="Normal 4 2 2 4 2 6" xfId="2454"/>
    <cellStyle name="Normal 4 2 2 4 2 7" xfId="2455"/>
    <cellStyle name="Normal 4 2 2 4 2 8" xfId="2456"/>
    <cellStyle name="Normal 4 2 2 4 2 9" xfId="2457"/>
    <cellStyle name="Normal 4 2 2 4 20" xfId="2458"/>
    <cellStyle name="Normal 4 2 2 4 21" xfId="2459"/>
    <cellStyle name="Normal 4 2 2 4 22" xfId="2460"/>
    <cellStyle name="Normal 4 2 2 4 23" xfId="10011"/>
    <cellStyle name="Normal 4 2 2 4 3" xfId="146"/>
    <cellStyle name="Normal 4 2 2 4 3 10" xfId="2462"/>
    <cellStyle name="Normal 4 2 2 4 3 11" xfId="2463"/>
    <cellStyle name="Normal 4 2 2 4 3 12" xfId="2464"/>
    <cellStyle name="Normal 4 2 2 4 3 13" xfId="2465"/>
    <cellStyle name="Normal 4 2 2 4 3 14" xfId="2466"/>
    <cellStyle name="Normal 4 2 2 4 3 15" xfId="9981"/>
    <cellStyle name="Normal 4 2 2 4 3 2" xfId="2461"/>
    <cellStyle name="Normal 4 2 2 4 3 3" xfId="2468"/>
    <cellStyle name="Normal 4 2 2 4 3 4" xfId="2469"/>
    <cellStyle name="Normal 4 2 2 4 3 5" xfId="2470"/>
    <cellStyle name="Normal 4 2 2 4 3 6" xfId="2471"/>
    <cellStyle name="Normal 4 2 2 4 3 7" xfId="2472"/>
    <cellStyle name="Normal 4 2 2 4 3 8" xfId="2473"/>
    <cellStyle name="Normal 4 2 2 4 3 9" xfId="2474"/>
    <cellStyle name="Normal 4 2 2 4 4" xfId="147"/>
    <cellStyle name="Normal 4 2 2 4 4 10" xfId="2476"/>
    <cellStyle name="Normal 4 2 2 4 4 11" xfId="2477"/>
    <cellStyle name="Normal 4 2 2 4 4 12" xfId="2478"/>
    <cellStyle name="Normal 4 2 2 4 4 13" xfId="2479"/>
    <cellStyle name="Normal 4 2 2 4 4 14" xfId="2480"/>
    <cellStyle name="Normal 4 2 2 4 4 15" xfId="9967"/>
    <cellStyle name="Normal 4 2 2 4 4 2" xfId="2475"/>
    <cellStyle name="Normal 4 2 2 4 4 3" xfId="2482"/>
    <cellStyle name="Normal 4 2 2 4 4 4" xfId="2483"/>
    <cellStyle name="Normal 4 2 2 4 4 5" xfId="2484"/>
    <cellStyle name="Normal 4 2 2 4 4 6" xfId="2485"/>
    <cellStyle name="Normal 4 2 2 4 4 7" xfId="2486"/>
    <cellStyle name="Normal 4 2 2 4 4 8" xfId="2487"/>
    <cellStyle name="Normal 4 2 2 4 4 9" xfId="2488"/>
    <cellStyle name="Normal 4 2 2 4 5" xfId="148"/>
    <cellStyle name="Normal 4 2 2 4 5 10" xfId="2490"/>
    <cellStyle name="Normal 4 2 2 4 5 11" xfId="2491"/>
    <cellStyle name="Normal 4 2 2 4 5 12" xfId="2492"/>
    <cellStyle name="Normal 4 2 2 4 5 13" xfId="2493"/>
    <cellStyle name="Normal 4 2 2 4 5 14" xfId="2494"/>
    <cellStyle name="Normal 4 2 2 4 5 15" xfId="9953"/>
    <cellStyle name="Normal 4 2 2 4 5 2" xfId="2489"/>
    <cellStyle name="Normal 4 2 2 4 5 3" xfId="2496"/>
    <cellStyle name="Normal 4 2 2 4 5 4" xfId="2497"/>
    <cellStyle name="Normal 4 2 2 4 5 5" xfId="2498"/>
    <cellStyle name="Normal 4 2 2 4 5 6" xfId="2499"/>
    <cellStyle name="Normal 4 2 2 4 5 7" xfId="2500"/>
    <cellStyle name="Normal 4 2 2 4 5 8" xfId="2501"/>
    <cellStyle name="Normal 4 2 2 4 5 9" xfId="2502"/>
    <cellStyle name="Normal 4 2 2 4 6" xfId="149"/>
    <cellStyle name="Normal 4 2 2 4 6 10" xfId="2504"/>
    <cellStyle name="Normal 4 2 2 4 6 11" xfId="2505"/>
    <cellStyle name="Normal 4 2 2 4 6 12" xfId="2506"/>
    <cellStyle name="Normal 4 2 2 4 6 13" xfId="2507"/>
    <cellStyle name="Normal 4 2 2 4 6 14" xfId="2508"/>
    <cellStyle name="Normal 4 2 2 4 6 15" xfId="9934"/>
    <cellStyle name="Normal 4 2 2 4 6 2" xfId="2503"/>
    <cellStyle name="Normal 4 2 2 4 6 3" xfId="2510"/>
    <cellStyle name="Normal 4 2 2 4 6 4" xfId="2511"/>
    <cellStyle name="Normal 4 2 2 4 6 5" xfId="2512"/>
    <cellStyle name="Normal 4 2 2 4 6 6" xfId="2513"/>
    <cellStyle name="Normal 4 2 2 4 6 7" xfId="2514"/>
    <cellStyle name="Normal 4 2 2 4 6 8" xfId="2515"/>
    <cellStyle name="Normal 4 2 2 4 6 9" xfId="2516"/>
    <cellStyle name="Normal 4 2 2 4 7" xfId="150"/>
    <cellStyle name="Normal 4 2 2 4 7 10" xfId="2518"/>
    <cellStyle name="Normal 4 2 2 4 7 11" xfId="2519"/>
    <cellStyle name="Normal 4 2 2 4 7 12" xfId="2520"/>
    <cellStyle name="Normal 4 2 2 4 7 13" xfId="2521"/>
    <cellStyle name="Normal 4 2 2 4 7 14" xfId="2522"/>
    <cellStyle name="Normal 4 2 2 4 7 15" xfId="9920"/>
    <cellStyle name="Normal 4 2 2 4 7 2" xfId="2517"/>
    <cellStyle name="Normal 4 2 2 4 7 3" xfId="2524"/>
    <cellStyle name="Normal 4 2 2 4 7 4" xfId="2525"/>
    <cellStyle name="Normal 4 2 2 4 7 5" xfId="2526"/>
    <cellStyle name="Normal 4 2 2 4 7 6" xfId="2527"/>
    <cellStyle name="Normal 4 2 2 4 7 7" xfId="2528"/>
    <cellStyle name="Normal 4 2 2 4 7 8" xfId="2529"/>
    <cellStyle name="Normal 4 2 2 4 7 9" xfId="2530"/>
    <cellStyle name="Normal 4 2 2 4 8" xfId="151"/>
    <cellStyle name="Normal 4 2 2 4 8 10" xfId="2532"/>
    <cellStyle name="Normal 4 2 2 4 8 11" xfId="2533"/>
    <cellStyle name="Normal 4 2 2 4 8 12" xfId="2534"/>
    <cellStyle name="Normal 4 2 2 4 8 13" xfId="2535"/>
    <cellStyle name="Normal 4 2 2 4 8 14" xfId="2536"/>
    <cellStyle name="Normal 4 2 2 4 8 15" xfId="9906"/>
    <cellStyle name="Normal 4 2 2 4 8 2" xfId="2531"/>
    <cellStyle name="Normal 4 2 2 4 8 3" xfId="2538"/>
    <cellStyle name="Normal 4 2 2 4 8 4" xfId="2539"/>
    <cellStyle name="Normal 4 2 2 4 8 5" xfId="2540"/>
    <cellStyle name="Normal 4 2 2 4 8 6" xfId="2541"/>
    <cellStyle name="Normal 4 2 2 4 8 7" xfId="2542"/>
    <cellStyle name="Normal 4 2 2 4 8 8" xfId="2543"/>
    <cellStyle name="Normal 4 2 2 4 8 9" xfId="2544"/>
    <cellStyle name="Normal 4 2 2 4 9" xfId="152"/>
    <cellStyle name="Normal 4 2 2 4 9 2" xfId="2545"/>
    <cellStyle name="Normal 4 2 2 4 9 3" xfId="9892"/>
    <cellStyle name="Normal 4 2 2 5" xfId="153"/>
    <cellStyle name="Normal 4 2 2 5 10" xfId="154"/>
    <cellStyle name="Normal 4 2 2 5 10 2" xfId="2547"/>
    <cellStyle name="Normal 4 2 2 5 10 3" xfId="9864"/>
    <cellStyle name="Normal 4 2 2 5 11" xfId="2546"/>
    <cellStyle name="Normal 4 2 2 5 12" xfId="2549"/>
    <cellStyle name="Normal 4 2 2 5 13" xfId="2550"/>
    <cellStyle name="Normal 4 2 2 5 14" xfId="2551"/>
    <cellStyle name="Normal 4 2 2 5 15" xfId="2552"/>
    <cellStyle name="Normal 4 2 2 5 16" xfId="2553"/>
    <cellStyle name="Normal 4 2 2 5 17" xfId="2554"/>
    <cellStyle name="Normal 4 2 2 5 18" xfId="2555"/>
    <cellStyle name="Normal 4 2 2 5 19" xfId="2556"/>
    <cellStyle name="Normal 4 2 2 5 2" xfId="155"/>
    <cellStyle name="Normal 4 2 2 5 2 10" xfId="2558"/>
    <cellStyle name="Normal 4 2 2 5 2 11" xfId="2559"/>
    <cellStyle name="Normal 4 2 2 5 2 12" xfId="2560"/>
    <cellStyle name="Normal 4 2 2 5 2 13" xfId="2561"/>
    <cellStyle name="Normal 4 2 2 5 2 14" xfId="2562"/>
    <cellStyle name="Normal 4 2 2 5 2 15" xfId="9848"/>
    <cellStyle name="Normal 4 2 2 5 2 2" xfId="2557"/>
    <cellStyle name="Normal 4 2 2 5 2 3" xfId="2564"/>
    <cellStyle name="Normal 4 2 2 5 2 4" xfId="2565"/>
    <cellStyle name="Normal 4 2 2 5 2 5" xfId="2566"/>
    <cellStyle name="Normal 4 2 2 5 2 6" xfId="2567"/>
    <cellStyle name="Normal 4 2 2 5 2 7" xfId="2568"/>
    <cellStyle name="Normal 4 2 2 5 2 8" xfId="2569"/>
    <cellStyle name="Normal 4 2 2 5 2 9" xfId="2570"/>
    <cellStyle name="Normal 4 2 2 5 20" xfId="2571"/>
    <cellStyle name="Normal 4 2 2 5 21" xfId="2572"/>
    <cellStyle name="Normal 4 2 2 5 22" xfId="2573"/>
    <cellStyle name="Normal 4 2 2 5 23" xfId="9878"/>
    <cellStyle name="Normal 4 2 2 5 3" xfId="156"/>
    <cellStyle name="Normal 4 2 2 5 3 10" xfId="2575"/>
    <cellStyle name="Normal 4 2 2 5 3 11" xfId="2576"/>
    <cellStyle name="Normal 4 2 2 5 3 12" xfId="2577"/>
    <cellStyle name="Normal 4 2 2 5 3 13" xfId="2578"/>
    <cellStyle name="Normal 4 2 2 5 3 14" xfId="2579"/>
    <cellStyle name="Normal 4 2 2 5 3 15" xfId="9834"/>
    <cellStyle name="Normal 4 2 2 5 3 2" xfId="2574"/>
    <cellStyle name="Normal 4 2 2 5 3 3" xfId="2581"/>
    <cellStyle name="Normal 4 2 2 5 3 4" xfId="2582"/>
    <cellStyle name="Normal 4 2 2 5 3 5" xfId="2583"/>
    <cellStyle name="Normal 4 2 2 5 3 6" xfId="2584"/>
    <cellStyle name="Normal 4 2 2 5 3 7" xfId="2585"/>
    <cellStyle name="Normal 4 2 2 5 3 8" xfId="2586"/>
    <cellStyle name="Normal 4 2 2 5 3 9" xfId="2587"/>
    <cellStyle name="Normal 4 2 2 5 4" xfId="157"/>
    <cellStyle name="Normal 4 2 2 5 4 10" xfId="2589"/>
    <cellStyle name="Normal 4 2 2 5 4 11" xfId="2590"/>
    <cellStyle name="Normal 4 2 2 5 4 12" xfId="2591"/>
    <cellStyle name="Normal 4 2 2 5 4 13" xfId="2592"/>
    <cellStyle name="Normal 4 2 2 5 4 14" xfId="2593"/>
    <cellStyle name="Normal 4 2 2 5 4 15" xfId="9820"/>
    <cellStyle name="Normal 4 2 2 5 4 2" xfId="2588"/>
    <cellStyle name="Normal 4 2 2 5 4 3" xfId="2595"/>
    <cellStyle name="Normal 4 2 2 5 4 4" xfId="2596"/>
    <cellStyle name="Normal 4 2 2 5 4 5" xfId="2597"/>
    <cellStyle name="Normal 4 2 2 5 4 6" xfId="2598"/>
    <cellStyle name="Normal 4 2 2 5 4 7" xfId="2599"/>
    <cellStyle name="Normal 4 2 2 5 4 8" xfId="2600"/>
    <cellStyle name="Normal 4 2 2 5 4 9" xfId="2601"/>
    <cellStyle name="Normal 4 2 2 5 5" xfId="158"/>
    <cellStyle name="Normal 4 2 2 5 5 10" xfId="2603"/>
    <cellStyle name="Normal 4 2 2 5 5 11" xfId="2604"/>
    <cellStyle name="Normal 4 2 2 5 5 12" xfId="2605"/>
    <cellStyle name="Normal 4 2 2 5 5 13" xfId="2606"/>
    <cellStyle name="Normal 4 2 2 5 5 14" xfId="2607"/>
    <cellStyle name="Normal 4 2 2 5 5 15" xfId="9806"/>
    <cellStyle name="Normal 4 2 2 5 5 2" xfId="2602"/>
    <cellStyle name="Normal 4 2 2 5 5 3" xfId="2609"/>
    <cellStyle name="Normal 4 2 2 5 5 4" xfId="2610"/>
    <cellStyle name="Normal 4 2 2 5 5 5" xfId="2611"/>
    <cellStyle name="Normal 4 2 2 5 5 6" xfId="2612"/>
    <cellStyle name="Normal 4 2 2 5 5 7" xfId="2613"/>
    <cellStyle name="Normal 4 2 2 5 5 8" xfId="2614"/>
    <cellStyle name="Normal 4 2 2 5 5 9" xfId="2615"/>
    <cellStyle name="Normal 4 2 2 5 6" xfId="159"/>
    <cellStyle name="Normal 4 2 2 5 6 10" xfId="2617"/>
    <cellStyle name="Normal 4 2 2 5 6 11" xfId="2618"/>
    <cellStyle name="Normal 4 2 2 5 6 12" xfId="2619"/>
    <cellStyle name="Normal 4 2 2 5 6 13" xfId="2620"/>
    <cellStyle name="Normal 4 2 2 5 6 14" xfId="2621"/>
    <cellStyle name="Normal 4 2 2 5 6 15" xfId="9792"/>
    <cellStyle name="Normal 4 2 2 5 6 2" xfId="2616"/>
    <cellStyle name="Normal 4 2 2 5 6 3" xfId="2623"/>
    <cellStyle name="Normal 4 2 2 5 6 4" xfId="2624"/>
    <cellStyle name="Normal 4 2 2 5 6 5" xfId="2625"/>
    <cellStyle name="Normal 4 2 2 5 6 6" xfId="2626"/>
    <cellStyle name="Normal 4 2 2 5 6 7" xfId="2627"/>
    <cellStyle name="Normal 4 2 2 5 6 8" xfId="2628"/>
    <cellStyle name="Normal 4 2 2 5 6 9" xfId="2629"/>
    <cellStyle name="Normal 4 2 2 5 7" xfId="160"/>
    <cellStyle name="Normal 4 2 2 5 7 10" xfId="2631"/>
    <cellStyle name="Normal 4 2 2 5 7 11" xfId="2632"/>
    <cellStyle name="Normal 4 2 2 5 7 12" xfId="2633"/>
    <cellStyle name="Normal 4 2 2 5 7 13" xfId="2634"/>
    <cellStyle name="Normal 4 2 2 5 7 14" xfId="2635"/>
    <cellStyle name="Normal 4 2 2 5 7 15" xfId="9778"/>
    <cellStyle name="Normal 4 2 2 5 7 2" xfId="2630"/>
    <cellStyle name="Normal 4 2 2 5 7 3" xfId="2637"/>
    <cellStyle name="Normal 4 2 2 5 7 4" xfId="2638"/>
    <cellStyle name="Normal 4 2 2 5 7 5" xfId="2639"/>
    <cellStyle name="Normal 4 2 2 5 7 6" xfId="2640"/>
    <cellStyle name="Normal 4 2 2 5 7 7" xfId="2641"/>
    <cellStyle name="Normal 4 2 2 5 7 8" xfId="2642"/>
    <cellStyle name="Normal 4 2 2 5 7 9" xfId="2643"/>
    <cellStyle name="Normal 4 2 2 5 8" xfId="161"/>
    <cellStyle name="Normal 4 2 2 5 8 10" xfId="2645"/>
    <cellStyle name="Normal 4 2 2 5 8 11" xfId="2646"/>
    <cellStyle name="Normal 4 2 2 5 8 12" xfId="2647"/>
    <cellStyle name="Normal 4 2 2 5 8 13" xfId="2648"/>
    <cellStyle name="Normal 4 2 2 5 8 14" xfId="2649"/>
    <cellStyle name="Normal 4 2 2 5 8 15" xfId="9761"/>
    <cellStyle name="Normal 4 2 2 5 8 2" xfId="2644"/>
    <cellStyle name="Normal 4 2 2 5 8 3" xfId="2651"/>
    <cellStyle name="Normal 4 2 2 5 8 4" xfId="2652"/>
    <cellStyle name="Normal 4 2 2 5 8 5" xfId="2653"/>
    <cellStyle name="Normal 4 2 2 5 8 6" xfId="2654"/>
    <cellStyle name="Normal 4 2 2 5 8 7" xfId="2655"/>
    <cellStyle name="Normal 4 2 2 5 8 8" xfId="2656"/>
    <cellStyle name="Normal 4 2 2 5 8 9" xfId="2657"/>
    <cellStyle name="Normal 4 2 2 5 9" xfId="162"/>
    <cellStyle name="Normal 4 2 2 5 9 2" xfId="2658"/>
    <cellStyle name="Normal 4 2 2 5 9 3" xfId="9746"/>
    <cellStyle name="Normal 4 2 2 6" xfId="163"/>
    <cellStyle name="Normal 4 2 2 6 10" xfId="164"/>
    <cellStyle name="Normal 4 2 2 6 10 2" xfId="2660"/>
    <cellStyle name="Normal 4 2 2 6 10 3" xfId="9721"/>
    <cellStyle name="Normal 4 2 2 6 11" xfId="2659"/>
    <cellStyle name="Normal 4 2 2 6 12" xfId="2662"/>
    <cellStyle name="Normal 4 2 2 6 13" xfId="2663"/>
    <cellStyle name="Normal 4 2 2 6 14" xfId="2664"/>
    <cellStyle name="Normal 4 2 2 6 15" xfId="2665"/>
    <cellStyle name="Normal 4 2 2 6 16" xfId="2666"/>
    <cellStyle name="Normal 4 2 2 6 17" xfId="2667"/>
    <cellStyle name="Normal 4 2 2 6 18" xfId="2668"/>
    <cellStyle name="Normal 4 2 2 6 19" xfId="2669"/>
    <cellStyle name="Normal 4 2 2 6 2" xfId="165"/>
    <cellStyle name="Normal 4 2 2 6 2 10" xfId="2671"/>
    <cellStyle name="Normal 4 2 2 6 2 11" xfId="2672"/>
    <cellStyle name="Normal 4 2 2 6 2 12" xfId="2673"/>
    <cellStyle name="Normal 4 2 2 6 2 13" xfId="2674"/>
    <cellStyle name="Normal 4 2 2 6 2 14" xfId="2675"/>
    <cellStyle name="Normal 4 2 2 6 2 15" xfId="9707"/>
    <cellStyle name="Normal 4 2 2 6 2 2" xfId="2670"/>
    <cellStyle name="Normal 4 2 2 6 2 3" xfId="2677"/>
    <cellStyle name="Normal 4 2 2 6 2 4" xfId="2678"/>
    <cellStyle name="Normal 4 2 2 6 2 5" xfId="2679"/>
    <cellStyle name="Normal 4 2 2 6 2 6" xfId="2680"/>
    <cellStyle name="Normal 4 2 2 6 2 7" xfId="2681"/>
    <cellStyle name="Normal 4 2 2 6 2 8" xfId="2682"/>
    <cellStyle name="Normal 4 2 2 6 2 9" xfId="2683"/>
    <cellStyle name="Normal 4 2 2 6 20" xfId="2684"/>
    <cellStyle name="Normal 4 2 2 6 21" xfId="2685"/>
    <cellStyle name="Normal 4 2 2 6 22" xfId="2686"/>
    <cellStyle name="Normal 4 2 2 6 23" xfId="9735"/>
    <cellStyle name="Normal 4 2 2 6 3" xfId="166"/>
    <cellStyle name="Normal 4 2 2 6 3 10" xfId="2688"/>
    <cellStyle name="Normal 4 2 2 6 3 11" xfId="2689"/>
    <cellStyle name="Normal 4 2 2 6 3 12" xfId="2690"/>
    <cellStyle name="Normal 4 2 2 6 3 13" xfId="2691"/>
    <cellStyle name="Normal 4 2 2 6 3 14" xfId="2692"/>
    <cellStyle name="Normal 4 2 2 6 3 15" xfId="9693"/>
    <cellStyle name="Normal 4 2 2 6 3 2" xfId="2687"/>
    <cellStyle name="Normal 4 2 2 6 3 3" xfId="2694"/>
    <cellStyle name="Normal 4 2 2 6 3 4" xfId="2695"/>
    <cellStyle name="Normal 4 2 2 6 3 5" xfId="2696"/>
    <cellStyle name="Normal 4 2 2 6 3 6" xfId="2697"/>
    <cellStyle name="Normal 4 2 2 6 3 7" xfId="2698"/>
    <cellStyle name="Normal 4 2 2 6 3 8" xfId="2699"/>
    <cellStyle name="Normal 4 2 2 6 3 9" xfId="2700"/>
    <cellStyle name="Normal 4 2 2 6 4" xfId="167"/>
    <cellStyle name="Normal 4 2 2 6 4 10" xfId="2702"/>
    <cellStyle name="Normal 4 2 2 6 4 11" xfId="2703"/>
    <cellStyle name="Normal 4 2 2 6 4 12" xfId="2704"/>
    <cellStyle name="Normal 4 2 2 6 4 13" xfId="2705"/>
    <cellStyle name="Normal 4 2 2 6 4 14" xfId="2706"/>
    <cellStyle name="Normal 4 2 2 6 4 15" xfId="9679"/>
    <cellStyle name="Normal 4 2 2 6 4 2" xfId="2701"/>
    <cellStyle name="Normal 4 2 2 6 4 3" xfId="2708"/>
    <cellStyle name="Normal 4 2 2 6 4 4" xfId="2709"/>
    <cellStyle name="Normal 4 2 2 6 4 5" xfId="2710"/>
    <cellStyle name="Normal 4 2 2 6 4 6" xfId="2711"/>
    <cellStyle name="Normal 4 2 2 6 4 7" xfId="2712"/>
    <cellStyle name="Normal 4 2 2 6 4 8" xfId="2713"/>
    <cellStyle name="Normal 4 2 2 6 4 9" xfId="2714"/>
    <cellStyle name="Normal 4 2 2 6 5" xfId="168"/>
    <cellStyle name="Normal 4 2 2 6 5 10" xfId="2716"/>
    <cellStyle name="Normal 4 2 2 6 5 11" xfId="2717"/>
    <cellStyle name="Normal 4 2 2 6 5 12" xfId="2718"/>
    <cellStyle name="Normal 4 2 2 6 5 13" xfId="2719"/>
    <cellStyle name="Normal 4 2 2 6 5 14" xfId="2720"/>
    <cellStyle name="Normal 4 2 2 6 5 15" xfId="9665"/>
    <cellStyle name="Normal 4 2 2 6 5 2" xfId="2715"/>
    <cellStyle name="Normal 4 2 2 6 5 3" xfId="2722"/>
    <cellStyle name="Normal 4 2 2 6 5 4" xfId="2723"/>
    <cellStyle name="Normal 4 2 2 6 5 5" xfId="2724"/>
    <cellStyle name="Normal 4 2 2 6 5 6" xfId="2725"/>
    <cellStyle name="Normal 4 2 2 6 5 7" xfId="2726"/>
    <cellStyle name="Normal 4 2 2 6 5 8" xfId="2727"/>
    <cellStyle name="Normal 4 2 2 6 5 9" xfId="2728"/>
    <cellStyle name="Normal 4 2 2 6 6" xfId="169"/>
    <cellStyle name="Normal 4 2 2 6 6 10" xfId="2730"/>
    <cellStyle name="Normal 4 2 2 6 6 11" xfId="2731"/>
    <cellStyle name="Normal 4 2 2 6 6 12" xfId="2732"/>
    <cellStyle name="Normal 4 2 2 6 6 13" xfId="2733"/>
    <cellStyle name="Normal 4 2 2 6 6 14" xfId="2734"/>
    <cellStyle name="Normal 4 2 2 6 6 15" xfId="9648"/>
    <cellStyle name="Normal 4 2 2 6 6 2" xfId="2729"/>
    <cellStyle name="Normal 4 2 2 6 6 3" xfId="2736"/>
    <cellStyle name="Normal 4 2 2 6 6 4" xfId="2737"/>
    <cellStyle name="Normal 4 2 2 6 6 5" xfId="2738"/>
    <cellStyle name="Normal 4 2 2 6 6 6" xfId="2739"/>
    <cellStyle name="Normal 4 2 2 6 6 7" xfId="2740"/>
    <cellStyle name="Normal 4 2 2 6 6 8" xfId="2741"/>
    <cellStyle name="Normal 4 2 2 6 6 9" xfId="2742"/>
    <cellStyle name="Normal 4 2 2 6 7" xfId="170"/>
    <cellStyle name="Normal 4 2 2 6 7 10" xfId="2744"/>
    <cellStyle name="Normal 4 2 2 6 7 11" xfId="2745"/>
    <cellStyle name="Normal 4 2 2 6 7 12" xfId="2746"/>
    <cellStyle name="Normal 4 2 2 6 7 13" xfId="2747"/>
    <cellStyle name="Normal 4 2 2 6 7 14" xfId="2748"/>
    <cellStyle name="Normal 4 2 2 6 7 15" xfId="9633"/>
    <cellStyle name="Normal 4 2 2 6 7 2" xfId="2743"/>
    <cellStyle name="Normal 4 2 2 6 7 3" xfId="2750"/>
    <cellStyle name="Normal 4 2 2 6 7 4" xfId="2751"/>
    <cellStyle name="Normal 4 2 2 6 7 5" xfId="2752"/>
    <cellStyle name="Normal 4 2 2 6 7 6" xfId="2753"/>
    <cellStyle name="Normal 4 2 2 6 7 7" xfId="2754"/>
    <cellStyle name="Normal 4 2 2 6 7 8" xfId="2755"/>
    <cellStyle name="Normal 4 2 2 6 7 9" xfId="2756"/>
    <cellStyle name="Normal 4 2 2 6 8" xfId="171"/>
    <cellStyle name="Normal 4 2 2 6 8 10" xfId="2758"/>
    <cellStyle name="Normal 4 2 2 6 8 11" xfId="2759"/>
    <cellStyle name="Normal 4 2 2 6 8 12" xfId="2760"/>
    <cellStyle name="Normal 4 2 2 6 8 13" xfId="2761"/>
    <cellStyle name="Normal 4 2 2 6 8 14" xfId="2762"/>
    <cellStyle name="Normal 4 2 2 6 8 15" xfId="9622"/>
    <cellStyle name="Normal 4 2 2 6 8 2" xfId="2757"/>
    <cellStyle name="Normal 4 2 2 6 8 3" xfId="2764"/>
    <cellStyle name="Normal 4 2 2 6 8 4" xfId="2765"/>
    <cellStyle name="Normal 4 2 2 6 8 5" xfId="2766"/>
    <cellStyle name="Normal 4 2 2 6 8 6" xfId="2767"/>
    <cellStyle name="Normal 4 2 2 6 8 7" xfId="2768"/>
    <cellStyle name="Normal 4 2 2 6 8 8" xfId="2769"/>
    <cellStyle name="Normal 4 2 2 6 8 9" xfId="2770"/>
    <cellStyle name="Normal 4 2 2 6 9" xfId="172"/>
    <cellStyle name="Normal 4 2 2 6 9 2" xfId="2771"/>
    <cellStyle name="Normal 4 2 2 6 9 3" xfId="9608"/>
    <cellStyle name="Normal 4 2 2 7" xfId="173"/>
    <cellStyle name="Normal 4 2 2 7 10" xfId="2773"/>
    <cellStyle name="Normal 4 2 2 7 11" xfId="2774"/>
    <cellStyle name="Normal 4 2 2 7 12" xfId="2775"/>
    <cellStyle name="Normal 4 2 2 7 13" xfId="2776"/>
    <cellStyle name="Normal 4 2 2 7 14" xfId="2777"/>
    <cellStyle name="Normal 4 2 2 7 15" xfId="9594"/>
    <cellStyle name="Normal 4 2 2 7 2" xfId="2772"/>
    <cellStyle name="Normal 4 2 2 7 3" xfId="2779"/>
    <cellStyle name="Normal 4 2 2 7 4" xfId="2780"/>
    <cellStyle name="Normal 4 2 2 7 5" xfId="2781"/>
    <cellStyle name="Normal 4 2 2 7 6" xfId="2782"/>
    <cellStyle name="Normal 4 2 2 7 7" xfId="2783"/>
    <cellStyle name="Normal 4 2 2 7 8" xfId="2784"/>
    <cellStyle name="Normal 4 2 2 7 9" xfId="2785"/>
    <cellStyle name="Normal 4 2 2 8" xfId="174"/>
    <cellStyle name="Normal 4 2 2 8 10" xfId="2787"/>
    <cellStyle name="Normal 4 2 2 8 11" xfId="2788"/>
    <cellStyle name="Normal 4 2 2 8 12" xfId="2789"/>
    <cellStyle name="Normal 4 2 2 8 13" xfId="2790"/>
    <cellStyle name="Normal 4 2 2 8 14" xfId="2791"/>
    <cellStyle name="Normal 4 2 2 8 15" xfId="9580"/>
    <cellStyle name="Normal 4 2 2 8 2" xfId="2786"/>
    <cellStyle name="Normal 4 2 2 8 3" xfId="2793"/>
    <cellStyle name="Normal 4 2 2 8 4" xfId="2794"/>
    <cellStyle name="Normal 4 2 2 8 5" xfId="2795"/>
    <cellStyle name="Normal 4 2 2 8 6" xfId="2796"/>
    <cellStyle name="Normal 4 2 2 8 7" xfId="2797"/>
    <cellStyle name="Normal 4 2 2 8 8" xfId="2798"/>
    <cellStyle name="Normal 4 2 2 8 9" xfId="2799"/>
    <cellStyle name="Normal 4 2 2 9" xfId="175"/>
    <cellStyle name="Normal 4 2 2 9 10" xfId="2801"/>
    <cellStyle name="Normal 4 2 2 9 11" xfId="2802"/>
    <cellStyle name="Normal 4 2 2 9 12" xfId="2803"/>
    <cellStyle name="Normal 4 2 2 9 13" xfId="2804"/>
    <cellStyle name="Normal 4 2 2 9 14" xfId="2805"/>
    <cellStyle name="Normal 4 2 2 9 15" xfId="9566"/>
    <cellStyle name="Normal 4 2 2 9 2" xfId="2800"/>
    <cellStyle name="Normal 4 2 2 9 3" xfId="2807"/>
    <cellStyle name="Normal 4 2 2 9 4" xfId="2808"/>
    <cellStyle name="Normal 4 2 2 9 5" xfId="2809"/>
    <cellStyle name="Normal 4 2 2 9 6" xfId="2810"/>
    <cellStyle name="Normal 4 2 2 9 7" xfId="2811"/>
    <cellStyle name="Normal 4 2 2 9 8" xfId="2812"/>
    <cellStyle name="Normal 4 2 2 9 9" xfId="2813"/>
    <cellStyle name="Normal 4 2 20" xfId="2814"/>
    <cellStyle name="Normal 4 2 21" xfId="2815"/>
    <cellStyle name="Normal 4 2 22" xfId="2816"/>
    <cellStyle name="Normal 4 2 23" xfId="2817"/>
    <cellStyle name="Normal 4 2 24" xfId="2818"/>
    <cellStyle name="Normal 4 2 25" xfId="2819"/>
    <cellStyle name="Normal 4 2 26" xfId="2820"/>
    <cellStyle name="Normal 4 2 27" xfId="2821"/>
    <cellStyle name="Normal 4 2 28" xfId="2822"/>
    <cellStyle name="Normal 4 2 29" xfId="2823"/>
    <cellStyle name="Normal 4 2 3" xfId="176"/>
    <cellStyle name="Normal 4 2 3 10" xfId="177"/>
    <cellStyle name="Normal 4 2 3 10 10" xfId="2826"/>
    <cellStyle name="Normal 4 2 3 10 11" xfId="2827"/>
    <cellStyle name="Normal 4 2 3 10 12" xfId="2828"/>
    <cellStyle name="Normal 4 2 3 10 13" xfId="2829"/>
    <cellStyle name="Normal 4 2 3 10 14" xfId="2830"/>
    <cellStyle name="Normal 4 2 3 10 15" xfId="9535"/>
    <cellStyle name="Normal 4 2 3 10 2" xfId="2825"/>
    <cellStyle name="Normal 4 2 3 10 3" xfId="2832"/>
    <cellStyle name="Normal 4 2 3 10 4" xfId="2833"/>
    <cellStyle name="Normal 4 2 3 10 5" xfId="2834"/>
    <cellStyle name="Normal 4 2 3 10 6" xfId="2835"/>
    <cellStyle name="Normal 4 2 3 10 7" xfId="2836"/>
    <cellStyle name="Normal 4 2 3 10 8" xfId="2837"/>
    <cellStyle name="Normal 4 2 3 10 9" xfId="2838"/>
    <cellStyle name="Normal 4 2 3 11" xfId="178"/>
    <cellStyle name="Normal 4 2 3 11 10" xfId="2840"/>
    <cellStyle name="Normal 4 2 3 11 11" xfId="2841"/>
    <cellStyle name="Normal 4 2 3 11 12" xfId="2842"/>
    <cellStyle name="Normal 4 2 3 11 13" xfId="2843"/>
    <cellStyle name="Normal 4 2 3 11 14" xfId="2844"/>
    <cellStyle name="Normal 4 2 3 11 15" xfId="9520"/>
    <cellStyle name="Normal 4 2 3 11 2" xfId="2839"/>
    <cellStyle name="Normal 4 2 3 11 3" xfId="2846"/>
    <cellStyle name="Normal 4 2 3 11 4" xfId="2847"/>
    <cellStyle name="Normal 4 2 3 11 5" xfId="2848"/>
    <cellStyle name="Normal 4 2 3 11 6" xfId="2849"/>
    <cellStyle name="Normal 4 2 3 11 7" xfId="2850"/>
    <cellStyle name="Normal 4 2 3 11 8" xfId="2851"/>
    <cellStyle name="Normal 4 2 3 11 9" xfId="2852"/>
    <cellStyle name="Normal 4 2 3 12" xfId="179"/>
    <cellStyle name="Normal 4 2 3 12 10" xfId="2854"/>
    <cellStyle name="Normal 4 2 3 12 11" xfId="2855"/>
    <cellStyle name="Normal 4 2 3 12 12" xfId="2856"/>
    <cellStyle name="Normal 4 2 3 12 13" xfId="2857"/>
    <cellStyle name="Normal 4 2 3 12 14" xfId="2858"/>
    <cellStyle name="Normal 4 2 3 12 15" xfId="9510"/>
    <cellStyle name="Normal 4 2 3 12 2" xfId="2853"/>
    <cellStyle name="Normal 4 2 3 12 3" xfId="2860"/>
    <cellStyle name="Normal 4 2 3 12 4" xfId="2861"/>
    <cellStyle name="Normal 4 2 3 12 5" xfId="2862"/>
    <cellStyle name="Normal 4 2 3 12 6" xfId="2863"/>
    <cellStyle name="Normal 4 2 3 12 7" xfId="2864"/>
    <cellStyle name="Normal 4 2 3 12 8" xfId="2865"/>
    <cellStyle name="Normal 4 2 3 12 9" xfId="2866"/>
    <cellStyle name="Normal 4 2 3 13" xfId="180"/>
    <cellStyle name="Normal 4 2 3 13 10" xfId="2868"/>
    <cellStyle name="Normal 4 2 3 13 11" xfId="2869"/>
    <cellStyle name="Normal 4 2 3 13 12" xfId="2870"/>
    <cellStyle name="Normal 4 2 3 13 13" xfId="2871"/>
    <cellStyle name="Normal 4 2 3 13 14" xfId="2872"/>
    <cellStyle name="Normal 4 2 3 13 15" xfId="9496"/>
    <cellStyle name="Normal 4 2 3 13 2" xfId="2867"/>
    <cellStyle name="Normal 4 2 3 13 3" xfId="2874"/>
    <cellStyle name="Normal 4 2 3 13 4" xfId="2875"/>
    <cellStyle name="Normal 4 2 3 13 5" xfId="2876"/>
    <cellStyle name="Normal 4 2 3 13 6" xfId="2877"/>
    <cellStyle name="Normal 4 2 3 13 7" xfId="2878"/>
    <cellStyle name="Normal 4 2 3 13 8" xfId="2879"/>
    <cellStyle name="Normal 4 2 3 13 9" xfId="2880"/>
    <cellStyle name="Normal 4 2 3 14" xfId="181"/>
    <cellStyle name="Normal 4 2 3 14 2" xfId="2881"/>
    <cellStyle name="Normal 4 2 3 14 3" xfId="9482"/>
    <cellStyle name="Normal 4 2 3 15" xfId="182"/>
    <cellStyle name="Normal 4 2 3 15 2" xfId="2882"/>
    <cellStyle name="Normal 4 2 3 15 3" xfId="9467"/>
    <cellStyle name="Normal 4 2 3 16" xfId="2824"/>
    <cellStyle name="Normal 4 2 3 17" xfId="2884"/>
    <cellStyle name="Normal 4 2 3 18" xfId="2885"/>
    <cellStyle name="Normal 4 2 3 19" xfId="2886"/>
    <cellStyle name="Normal 4 2 3 2" xfId="183"/>
    <cellStyle name="Normal 4 2 3 2 10" xfId="184"/>
    <cellStyle name="Normal 4 2 3 2 10 2" xfId="2888"/>
    <cellStyle name="Normal 4 2 3 2 10 3" xfId="9439"/>
    <cellStyle name="Normal 4 2 3 2 11" xfId="2887"/>
    <cellStyle name="Normal 4 2 3 2 12" xfId="2890"/>
    <cellStyle name="Normal 4 2 3 2 13" xfId="2891"/>
    <cellStyle name="Normal 4 2 3 2 14" xfId="2892"/>
    <cellStyle name="Normal 4 2 3 2 15" xfId="2893"/>
    <cellStyle name="Normal 4 2 3 2 16" xfId="2894"/>
    <cellStyle name="Normal 4 2 3 2 17" xfId="2895"/>
    <cellStyle name="Normal 4 2 3 2 18" xfId="2896"/>
    <cellStyle name="Normal 4 2 3 2 19" xfId="2897"/>
    <cellStyle name="Normal 4 2 3 2 2" xfId="185"/>
    <cellStyle name="Normal 4 2 3 2 2 10" xfId="2899"/>
    <cellStyle name="Normal 4 2 3 2 2 11" xfId="2900"/>
    <cellStyle name="Normal 4 2 3 2 2 12" xfId="2901"/>
    <cellStyle name="Normal 4 2 3 2 2 13" xfId="2902"/>
    <cellStyle name="Normal 4 2 3 2 2 14" xfId="2903"/>
    <cellStyle name="Normal 4 2 3 2 2 15" xfId="9425"/>
    <cellStyle name="Normal 4 2 3 2 2 2" xfId="2898"/>
    <cellStyle name="Normal 4 2 3 2 2 3" xfId="2905"/>
    <cellStyle name="Normal 4 2 3 2 2 4" xfId="2906"/>
    <cellStyle name="Normal 4 2 3 2 2 5" xfId="2907"/>
    <cellStyle name="Normal 4 2 3 2 2 6" xfId="2908"/>
    <cellStyle name="Normal 4 2 3 2 2 7" xfId="2909"/>
    <cellStyle name="Normal 4 2 3 2 2 8" xfId="2910"/>
    <cellStyle name="Normal 4 2 3 2 2 9" xfId="2911"/>
    <cellStyle name="Normal 4 2 3 2 20" xfId="2912"/>
    <cellStyle name="Normal 4 2 3 2 21" xfId="2913"/>
    <cellStyle name="Normal 4 2 3 2 22" xfId="2914"/>
    <cellStyle name="Normal 4 2 3 2 23" xfId="9453"/>
    <cellStyle name="Normal 4 2 3 2 3" xfId="186"/>
    <cellStyle name="Normal 4 2 3 2 3 10" xfId="2916"/>
    <cellStyle name="Normal 4 2 3 2 3 11" xfId="2917"/>
    <cellStyle name="Normal 4 2 3 2 3 12" xfId="2918"/>
    <cellStyle name="Normal 4 2 3 2 3 13" xfId="2919"/>
    <cellStyle name="Normal 4 2 3 2 3 14" xfId="2920"/>
    <cellStyle name="Normal 4 2 3 2 3 15" xfId="9411"/>
    <cellStyle name="Normal 4 2 3 2 3 2" xfId="2915"/>
    <cellStyle name="Normal 4 2 3 2 3 3" xfId="2922"/>
    <cellStyle name="Normal 4 2 3 2 3 4" xfId="2923"/>
    <cellStyle name="Normal 4 2 3 2 3 5" xfId="2924"/>
    <cellStyle name="Normal 4 2 3 2 3 6" xfId="2925"/>
    <cellStyle name="Normal 4 2 3 2 3 7" xfId="2926"/>
    <cellStyle name="Normal 4 2 3 2 3 8" xfId="2927"/>
    <cellStyle name="Normal 4 2 3 2 3 9" xfId="2928"/>
    <cellStyle name="Normal 4 2 3 2 4" xfId="187"/>
    <cellStyle name="Normal 4 2 3 2 4 10" xfId="2930"/>
    <cellStyle name="Normal 4 2 3 2 4 11" xfId="2931"/>
    <cellStyle name="Normal 4 2 3 2 4 12" xfId="2932"/>
    <cellStyle name="Normal 4 2 3 2 4 13" xfId="2933"/>
    <cellStyle name="Normal 4 2 3 2 4 14" xfId="2934"/>
    <cellStyle name="Normal 4 2 3 2 4 15" xfId="9397"/>
    <cellStyle name="Normal 4 2 3 2 4 2" xfId="2929"/>
    <cellStyle name="Normal 4 2 3 2 4 3" xfId="2936"/>
    <cellStyle name="Normal 4 2 3 2 4 4" xfId="2937"/>
    <cellStyle name="Normal 4 2 3 2 4 5" xfId="2938"/>
    <cellStyle name="Normal 4 2 3 2 4 6" xfId="2939"/>
    <cellStyle name="Normal 4 2 3 2 4 7" xfId="2940"/>
    <cellStyle name="Normal 4 2 3 2 4 8" xfId="2941"/>
    <cellStyle name="Normal 4 2 3 2 4 9" xfId="2942"/>
    <cellStyle name="Normal 4 2 3 2 5" xfId="188"/>
    <cellStyle name="Normal 4 2 3 2 5 10" xfId="2944"/>
    <cellStyle name="Normal 4 2 3 2 5 11" xfId="2945"/>
    <cellStyle name="Normal 4 2 3 2 5 12" xfId="2946"/>
    <cellStyle name="Normal 4 2 3 2 5 13" xfId="2947"/>
    <cellStyle name="Normal 4 2 3 2 5 14" xfId="2948"/>
    <cellStyle name="Normal 4 2 3 2 5 15" xfId="9380"/>
    <cellStyle name="Normal 4 2 3 2 5 2" xfId="2943"/>
    <cellStyle name="Normal 4 2 3 2 5 3" xfId="2950"/>
    <cellStyle name="Normal 4 2 3 2 5 4" xfId="2951"/>
    <cellStyle name="Normal 4 2 3 2 5 5" xfId="2952"/>
    <cellStyle name="Normal 4 2 3 2 5 6" xfId="2953"/>
    <cellStyle name="Normal 4 2 3 2 5 7" xfId="2954"/>
    <cellStyle name="Normal 4 2 3 2 5 8" xfId="2955"/>
    <cellStyle name="Normal 4 2 3 2 5 9" xfId="2956"/>
    <cellStyle name="Normal 4 2 3 2 6" xfId="189"/>
    <cellStyle name="Normal 4 2 3 2 6 10" xfId="2958"/>
    <cellStyle name="Normal 4 2 3 2 6 11" xfId="2959"/>
    <cellStyle name="Normal 4 2 3 2 6 12" xfId="2960"/>
    <cellStyle name="Normal 4 2 3 2 6 13" xfId="2961"/>
    <cellStyle name="Normal 4 2 3 2 6 14" xfId="2962"/>
    <cellStyle name="Normal 4 2 3 2 6 15" xfId="9365"/>
    <cellStyle name="Normal 4 2 3 2 6 2" xfId="2957"/>
    <cellStyle name="Normal 4 2 3 2 6 3" xfId="2964"/>
    <cellStyle name="Normal 4 2 3 2 6 4" xfId="2965"/>
    <cellStyle name="Normal 4 2 3 2 6 5" xfId="2966"/>
    <cellStyle name="Normal 4 2 3 2 6 6" xfId="2967"/>
    <cellStyle name="Normal 4 2 3 2 6 7" xfId="2968"/>
    <cellStyle name="Normal 4 2 3 2 6 8" xfId="2969"/>
    <cellStyle name="Normal 4 2 3 2 6 9" xfId="2970"/>
    <cellStyle name="Normal 4 2 3 2 7" xfId="190"/>
    <cellStyle name="Normal 4 2 3 2 7 10" xfId="2972"/>
    <cellStyle name="Normal 4 2 3 2 7 11" xfId="2973"/>
    <cellStyle name="Normal 4 2 3 2 7 12" xfId="2974"/>
    <cellStyle name="Normal 4 2 3 2 7 13" xfId="2975"/>
    <cellStyle name="Normal 4 2 3 2 7 14" xfId="2976"/>
    <cellStyle name="Normal 4 2 3 2 7 15" xfId="9354"/>
    <cellStyle name="Normal 4 2 3 2 7 2" xfId="2971"/>
    <cellStyle name="Normal 4 2 3 2 7 3" xfId="2978"/>
    <cellStyle name="Normal 4 2 3 2 7 4" xfId="2979"/>
    <cellStyle name="Normal 4 2 3 2 7 5" xfId="2980"/>
    <cellStyle name="Normal 4 2 3 2 7 6" xfId="2981"/>
    <cellStyle name="Normal 4 2 3 2 7 7" xfId="2982"/>
    <cellStyle name="Normal 4 2 3 2 7 8" xfId="2983"/>
    <cellStyle name="Normal 4 2 3 2 7 9" xfId="2984"/>
    <cellStyle name="Normal 4 2 3 2 8" xfId="191"/>
    <cellStyle name="Normal 4 2 3 2 8 10" xfId="2986"/>
    <cellStyle name="Normal 4 2 3 2 8 11" xfId="2987"/>
    <cellStyle name="Normal 4 2 3 2 8 12" xfId="2988"/>
    <cellStyle name="Normal 4 2 3 2 8 13" xfId="2989"/>
    <cellStyle name="Normal 4 2 3 2 8 14" xfId="2990"/>
    <cellStyle name="Normal 4 2 3 2 8 15" xfId="9340"/>
    <cellStyle name="Normal 4 2 3 2 8 2" xfId="2985"/>
    <cellStyle name="Normal 4 2 3 2 8 3" xfId="2992"/>
    <cellStyle name="Normal 4 2 3 2 8 4" xfId="2993"/>
    <cellStyle name="Normal 4 2 3 2 8 5" xfId="2994"/>
    <cellStyle name="Normal 4 2 3 2 8 6" xfId="2995"/>
    <cellStyle name="Normal 4 2 3 2 8 7" xfId="2996"/>
    <cellStyle name="Normal 4 2 3 2 8 8" xfId="2997"/>
    <cellStyle name="Normal 4 2 3 2 8 9" xfId="2998"/>
    <cellStyle name="Normal 4 2 3 2 9" xfId="192"/>
    <cellStyle name="Normal 4 2 3 2 9 2" xfId="2999"/>
    <cellStyle name="Normal 4 2 3 2 9 3" xfId="9326"/>
    <cellStyle name="Normal 4 2 3 20" xfId="3000"/>
    <cellStyle name="Normal 4 2 3 21" xfId="3001"/>
    <cellStyle name="Normal 4 2 3 22" xfId="3002"/>
    <cellStyle name="Normal 4 2 3 23" xfId="3003"/>
    <cellStyle name="Normal 4 2 3 24" xfId="3004"/>
    <cellStyle name="Normal 4 2 3 25" xfId="3005"/>
    <cellStyle name="Normal 4 2 3 26" xfId="3006"/>
    <cellStyle name="Normal 4 2 3 27" xfId="3007"/>
    <cellStyle name="Normal 4 2 3 28" xfId="9552"/>
    <cellStyle name="Normal 4 2 3 29" xfId="11031"/>
    <cellStyle name="Normal 4 2 3 3" xfId="193"/>
    <cellStyle name="Normal 4 2 3 3 10" xfId="194"/>
    <cellStyle name="Normal 4 2 3 3 10 2" xfId="3009"/>
    <cellStyle name="Normal 4 2 3 3 10 3" xfId="9298"/>
    <cellStyle name="Normal 4 2 3 3 11" xfId="3008"/>
    <cellStyle name="Normal 4 2 3 3 12" xfId="3011"/>
    <cellStyle name="Normal 4 2 3 3 13" xfId="3012"/>
    <cellStyle name="Normal 4 2 3 3 14" xfId="3013"/>
    <cellStyle name="Normal 4 2 3 3 15" xfId="3014"/>
    <cellStyle name="Normal 4 2 3 3 16" xfId="3015"/>
    <cellStyle name="Normal 4 2 3 3 17" xfId="3016"/>
    <cellStyle name="Normal 4 2 3 3 18" xfId="3017"/>
    <cellStyle name="Normal 4 2 3 3 19" xfId="3018"/>
    <cellStyle name="Normal 4 2 3 3 2" xfId="195"/>
    <cellStyle name="Normal 4 2 3 3 2 10" xfId="3020"/>
    <cellStyle name="Normal 4 2 3 3 2 11" xfId="3021"/>
    <cellStyle name="Normal 4 2 3 3 2 12" xfId="3022"/>
    <cellStyle name="Normal 4 2 3 3 2 13" xfId="3023"/>
    <cellStyle name="Normal 4 2 3 3 2 14" xfId="3024"/>
    <cellStyle name="Normal 4 2 3 3 2 15" xfId="9284"/>
    <cellStyle name="Normal 4 2 3 3 2 2" xfId="3019"/>
    <cellStyle name="Normal 4 2 3 3 2 3" xfId="3026"/>
    <cellStyle name="Normal 4 2 3 3 2 4" xfId="3027"/>
    <cellStyle name="Normal 4 2 3 3 2 5" xfId="3028"/>
    <cellStyle name="Normal 4 2 3 3 2 6" xfId="3029"/>
    <cellStyle name="Normal 4 2 3 3 2 7" xfId="3030"/>
    <cellStyle name="Normal 4 2 3 3 2 8" xfId="3031"/>
    <cellStyle name="Normal 4 2 3 3 2 9" xfId="3032"/>
    <cellStyle name="Normal 4 2 3 3 20" xfId="3033"/>
    <cellStyle name="Normal 4 2 3 3 21" xfId="3034"/>
    <cellStyle name="Normal 4 2 3 3 22" xfId="3035"/>
    <cellStyle name="Normal 4 2 3 3 23" xfId="9312"/>
    <cellStyle name="Normal 4 2 3 3 3" xfId="196"/>
    <cellStyle name="Normal 4 2 3 3 3 10" xfId="3037"/>
    <cellStyle name="Normal 4 2 3 3 3 11" xfId="3038"/>
    <cellStyle name="Normal 4 2 3 3 3 12" xfId="3039"/>
    <cellStyle name="Normal 4 2 3 3 3 13" xfId="3040"/>
    <cellStyle name="Normal 4 2 3 3 3 14" xfId="3041"/>
    <cellStyle name="Normal 4 2 3 3 3 15" xfId="9267"/>
    <cellStyle name="Normal 4 2 3 3 3 2" xfId="3036"/>
    <cellStyle name="Normal 4 2 3 3 3 3" xfId="3043"/>
    <cellStyle name="Normal 4 2 3 3 3 4" xfId="3044"/>
    <cellStyle name="Normal 4 2 3 3 3 5" xfId="3045"/>
    <cellStyle name="Normal 4 2 3 3 3 6" xfId="3046"/>
    <cellStyle name="Normal 4 2 3 3 3 7" xfId="3047"/>
    <cellStyle name="Normal 4 2 3 3 3 8" xfId="3048"/>
    <cellStyle name="Normal 4 2 3 3 3 9" xfId="3049"/>
    <cellStyle name="Normal 4 2 3 3 4" xfId="197"/>
    <cellStyle name="Normal 4 2 3 3 4 10" xfId="3051"/>
    <cellStyle name="Normal 4 2 3 3 4 11" xfId="3052"/>
    <cellStyle name="Normal 4 2 3 3 4 12" xfId="3053"/>
    <cellStyle name="Normal 4 2 3 3 4 13" xfId="3054"/>
    <cellStyle name="Normal 4 2 3 3 4 14" xfId="3055"/>
    <cellStyle name="Normal 4 2 3 3 4 15" xfId="9252"/>
    <cellStyle name="Normal 4 2 3 3 4 2" xfId="3050"/>
    <cellStyle name="Normal 4 2 3 3 4 3" xfId="3057"/>
    <cellStyle name="Normal 4 2 3 3 4 4" xfId="3058"/>
    <cellStyle name="Normal 4 2 3 3 4 5" xfId="3059"/>
    <cellStyle name="Normal 4 2 3 3 4 6" xfId="3060"/>
    <cellStyle name="Normal 4 2 3 3 4 7" xfId="3061"/>
    <cellStyle name="Normal 4 2 3 3 4 8" xfId="3062"/>
    <cellStyle name="Normal 4 2 3 3 4 9" xfId="3063"/>
    <cellStyle name="Normal 4 2 3 3 5" xfId="198"/>
    <cellStyle name="Normal 4 2 3 3 5 10" xfId="3065"/>
    <cellStyle name="Normal 4 2 3 3 5 11" xfId="3066"/>
    <cellStyle name="Normal 4 2 3 3 5 12" xfId="3067"/>
    <cellStyle name="Normal 4 2 3 3 5 13" xfId="3068"/>
    <cellStyle name="Normal 4 2 3 3 5 14" xfId="3069"/>
    <cellStyle name="Normal 4 2 3 3 5 15" xfId="9241"/>
    <cellStyle name="Normal 4 2 3 3 5 2" xfId="3064"/>
    <cellStyle name="Normal 4 2 3 3 5 3" xfId="3071"/>
    <cellStyle name="Normal 4 2 3 3 5 4" xfId="3072"/>
    <cellStyle name="Normal 4 2 3 3 5 5" xfId="3073"/>
    <cellStyle name="Normal 4 2 3 3 5 6" xfId="3074"/>
    <cellStyle name="Normal 4 2 3 3 5 7" xfId="3075"/>
    <cellStyle name="Normal 4 2 3 3 5 8" xfId="3076"/>
    <cellStyle name="Normal 4 2 3 3 5 9" xfId="3077"/>
    <cellStyle name="Normal 4 2 3 3 6" xfId="199"/>
    <cellStyle name="Normal 4 2 3 3 6 10" xfId="3079"/>
    <cellStyle name="Normal 4 2 3 3 6 11" xfId="3080"/>
    <cellStyle name="Normal 4 2 3 3 6 12" xfId="3081"/>
    <cellStyle name="Normal 4 2 3 3 6 13" xfId="3082"/>
    <cellStyle name="Normal 4 2 3 3 6 14" xfId="3083"/>
    <cellStyle name="Normal 4 2 3 3 6 15" xfId="9227"/>
    <cellStyle name="Normal 4 2 3 3 6 2" xfId="3078"/>
    <cellStyle name="Normal 4 2 3 3 6 3" xfId="3085"/>
    <cellStyle name="Normal 4 2 3 3 6 4" xfId="3086"/>
    <cellStyle name="Normal 4 2 3 3 6 5" xfId="3087"/>
    <cellStyle name="Normal 4 2 3 3 6 6" xfId="3088"/>
    <cellStyle name="Normal 4 2 3 3 6 7" xfId="3089"/>
    <cellStyle name="Normal 4 2 3 3 6 8" xfId="3090"/>
    <cellStyle name="Normal 4 2 3 3 6 9" xfId="3091"/>
    <cellStyle name="Normal 4 2 3 3 7" xfId="200"/>
    <cellStyle name="Normal 4 2 3 3 7 10" xfId="3093"/>
    <cellStyle name="Normal 4 2 3 3 7 11" xfId="3094"/>
    <cellStyle name="Normal 4 2 3 3 7 12" xfId="3095"/>
    <cellStyle name="Normal 4 2 3 3 7 13" xfId="3096"/>
    <cellStyle name="Normal 4 2 3 3 7 14" xfId="3097"/>
    <cellStyle name="Normal 4 2 3 3 7 15" xfId="9213"/>
    <cellStyle name="Normal 4 2 3 3 7 2" xfId="3092"/>
    <cellStyle name="Normal 4 2 3 3 7 3" xfId="3099"/>
    <cellStyle name="Normal 4 2 3 3 7 4" xfId="3100"/>
    <cellStyle name="Normal 4 2 3 3 7 5" xfId="3101"/>
    <cellStyle name="Normal 4 2 3 3 7 6" xfId="3102"/>
    <cellStyle name="Normal 4 2 3 3 7 7" xfId="3103"/>
    <cellStyle name="Normal 4 2 3 3 7 8" xfId="3104"/>
    <cellStyle name="Normal 4 2 3 3 7 9" xfId="3105"/>
    <cellStyle name="Normal 4 2 3 3 8" xfId="201"/>
    <cellStyle name="Normal 4 2 3 3 8 10" xfId="3107"/>
    <cellStyle name="Normal 4 2 3 3 8 11" xfId="3108"/>
    <cellStyle name="Normal 4 2 3 3 8 12" xfId="3109"/>
    <cellStyle name="Normal 4 2 3 3 8 13" xfId="3110"/>
    <cellStyle name="Normal 4 2 3 3 8 14" xfId="3111"/>
    <cellStyle name="Normal 4 2 3 3 8 15" xfId="9199"/>
    <cellStyle name="Normal 4 2 3 3 8 2" xfId="3106"/>
    <cellStyle name="Normal 4 2 3 3 8 3" xfId="3113"/>
    <cellStyle name="Normal 4 2 3 3 8 4" xfId="3114"/>
    <cellStyle name="Normal 4 2 3 3 8 5" xfId="3115"/>
    <cellStyle name="Normal 4 2 3 3 8 6" xfId="3116"/>
    <cellStyle name="Normal 4 2 3 3 8 7" xfId="3117"/>
    <cellStyle name="Normal 4 2 3 3 8 8" xfId="3118"/>
    <cellStyle name="Normal 4 2 3 3 8 9" xfId="3119"/>
    <cellStyle name="Normal 4 2 3 3 9" xfId="202"/>
    <cellStyle name="Normal 4 2 3 3 9 2" xfId="3120"/>
    <cellStyle name="Normal 4 2 3 3 9 3" xfId="9185"/>
    <cellStyle name="Normal 4 2 3 30" xfId="33542"/>
    <cellStyle name="Normal 4 2 3 31" xfId="47093"/>
    <cellStyle name="Normal 4 2 3 4" xfId="203"/>
    <cellStyle name="Normal 4 2 3 4 10" xfId="204"/>
    <cellStyle name="Normal 4 2 3 4 10 2" xfId="3122"/>
    <cellStyle name="Normal 4 2 3 4 10 3" xfId="9154"/>
    <cellStyle name="Normal 4 2 3 4 11" xfId="3121"/>
    <cellStyle name="Normal 4 2 3 4 12" xfId="3124"/>
    <cellStyle name="Normal 4 2 3 4 13" xfId="3125"/>
    <cellStyle name="Normal 4 2 3 4 14" xfId="3126"/>
    <cellStyle name="Normal 4 2 3 4 15" xfId="3127"/>
    <cellStyle name="Normal 4 2 3 4 16" xfId="3128"/>
    <cellStyle name="Normal 4 2 3 4 17" xfId="3129"/>
    <cellStyle name="Normal 4 2 3 4 18" xfId="3130"/>
    <cellStyle name="Normal 4 2 3 4 19" xfId="3131"/>
    <cellStyle name="Normal 4 2 3 4 2" xfId="205"/>
    <cellStyle name="Normal 4 2 3 4 2 10" xfId="3133"/>
    <cellStyle name="Normal 4 2 3 4 2 11" xfId="3134"/>
    <cellStyle name="Normal 4 2 3 4 2 12" xfId="3135"/>
    <cellStyle name="Normal 4 2 3 4 2 13" xfId="3136"/>
    <cellStyle name="Normal 4 2 3 4 2 14" xfId="3137"/>
    <cellStyle name="Normal 4 2 3 4 2 15" xfId="9139"/>
    <cellStyle name="Normal 4 2 3 4 2 2" xfId="3132"/>
    <cellStyle name="Normal 4 2 3 4 2 3" xfId="3139"/>
    <cellStyle name="Normal 4 2 3 4 2 4" xfId="3140"/>
    <cellStyle name="Normal 4 2 3 4 2 5" xfId="3141"/>
    <cellStyle name="Normal 4 2 3 4 2 6" xfId="3142"/>
    <cellStyle name="Normal 4 2 3 4 2 7" xfId="3143"/>
    <cellStyle name="Normal 4 2 3 4 2 8" xfId="3144"/>
    <cellStyle name="Normal 4 2 3 4 2 9" xfId="3145"/>
    <cellStyle name="Normal 4 2 3 4 20" xfId="3146"/>
    <cellStyle name="Normal 4 2 3 4 21" xfId="3147"/>
    <cellStyle name="Normal 4 2 3 4 22" xfId="3148"/>
    <cellStyle name="Normal 4 2 3 4 23" xfId="9171"/>
    <cellStyle name="Normal 4 2 3 4 3" xfId="206"/>
    <cellStyle name="Normal 4 2 3 4 3 10" xfId="3150"/>
    <cellStyle name="Normal 4 2 3 4 3 11" xfId="3151"/>
    <cellStyle name="Normal 4 2 3 4 3 12" xfId="3152"/>
    <cellStyle name="Normal 4 2 3 4 3 13" xfId="3153"/>
    <cellStyle name="Normal 4 2 3 4 3 14" xfId="3154"/>
    <cellStyle name="Normal 4 2 3 4 3 15" xfId="9128"/>
    <cellStyle name="Normal 4 2 3 4 3 2" xfId="3149"/>
    <cellStyle name="Normal 4 2 3 4 3 3" xfId="3156"/>
    <cellStyle name="Normal 4 2 3 4 3 4" xfId="3157"/>
    <cellStyle name="Normal 4 2 3 4 3 5" xfId="3158"/>
    <cellStyle name="Normal 4 2 3 4 3 6" xfId="3159"/>
    <cellStyle name="Normal 4 2 3 4 3 7" xfId="3160"/>
    <cellStyle name="Normal 4 2 3 4 3 8" xfId="3161"/>
    <cellStyle name="Normal 4 2 3 4 3 9" xfId="3162"/>
    <cellStyle name="Normal 4 2 3 4 4" xfId="207"/>
    <cellStyle name="Normal 4 2 3 4 4 10" xfId="3164"/>
    <cellStyle name="Normal 4 2 3 4 4 11" xfId="3165"/>
    <cellStyle name="Normal 4 2 3 4 4 12" xfId="3166"/>
    <cellStyle name="Normal 4 2 3 4 4 13" xfId="3167"/>
    <cellStyle name="Normal 4 2 3 4 4 14" xfId="3168"/>
    <cellStyle name="Normal 4 2 3 4 4 15" xfId="9114"/>
    <cellStyle name="Normal 4 2 3 4 4 2" xfId="3163"/>
    <cellStyle name="Normal 4 2 3 4 4 3" xfId="3170"/>
    <cellStyle name="Normal 4 2 3 4 4 4" xfId="3171"/>
    <cellStyle name="Normal 4 2 3 4 4 5" xfId="3172"/>
    <cellStyle name="Normal 4 2 3 4 4 6" xfId="3173"/>
    <cellStyle name="Normal 4 2 3 4 4 7" xfId="3174"/>
    <cellStyle name="Normal 4 2 3 4 4 8" xfId="3175"/>
    <cellStyle name="Normal 4 2 3 4 4 9" xfId="3176"/>
    <cellStyle name="Normal 4 2 3 4 5" xfId="208"/>
    <cellStyle name="Normal 4 2 3 4 5 10" xfId="3178"/>
    <cellStyle name="Normal 4 2 3 4 5 11" xfId="3179"/>
    <cellStyle name="Normal 4 2 3 4 5 12" xfId="3180"/>
    <cellStyle name="Normal 4 2 3 4 5 13" xfId="3181"/>
    <cellStyle name="Normal 4 2 3 4 5 14" xfId="3182"/>
    <cellStyle name="Normal 4 2 3 4 5 15" xfId="9100"/>
    <cellStyle name="Normal 4 2 3 4 5 2" xfId="3177"/>
    <cellStyle name="Normal 4 2 3 4 5 3" xfId="3184"/>
    <cellStyle name="Normal 4 2 3 4 5 4" xfId="3185"/>
    <cellStyle name="Normal 4 2 3 4 5 5" xfId="3186"/>
    <cellStyle name="Normal 4 2 3 4 5 6" xfId="3187"/>
    <cellStyle name="Normal 4 2 3 4 5 7" xfId="3188"/>
    <cellStyle name="Normal 4 2 3 4 5 8" xfId="3189"/>
    <cellStyle name="Normal 4 2 3 4 5 9" xfId="3190"/>
    <cellStyle name="Normal 4 2 3 4 6" xfId="209"/>
    <cellStyle name="Normal 4 2 3 4 6 10" xfId="3192"/>
    <cellStyle name="Normal 4 2 3 4 6 11" xfId="3193"/>
    <cellStyle name="Normal 4 2 3 4 6 12" xfId="3194"/>
    <cellStyle name="Normal 4 2 3 4 6 13" xfId="3195"/>
    <cellStyle name="Normal 4 2 3 4 6 14" xfId="3196"/>
    <cellStyle name="Normal 4 2 3 4 6 15" xfId="9086"/>
    <cellStyle name="Normal 4 2 3 4 6 2" xfId="3191"/>
    <cellStyle name="Normal 4 2 3 4 6 3" xfId="3198"/>
    <cellStyle name="Normal 4 2 3 4 6 4" xfId="3199"/>
    <cellStyle name="Normal 4 2 3 4 6 5" xfId="3200"/>
    <cellStyle name="Normal 4 2 3 4 6 6" xfId="3201"/>
    <cellStyle name="Normal 4 2 3 4 6 7" xfId="3202"/>
    <cellStyle name="Normal 4 2 3 4 6 8" xfId="3203"/>
    <cellStyle name="Normal 4 2 3 4 6 9" xfId="3204"/>
    <cellStyle name="Normal 4 2 3 4 7" xfId="210"/>
    <cellStyle name="Normal 4 2 3 4 7 10" xfId="3206"/>
    <cellStyle name="Normal 4 2 3 4 7 11" xfId="3207"/>
    <cellStyle name="Normal 4 2 3 4 7 12" xfId="3208"/>
    <cellStyle name="Normal 4 2 3 4 7 13" xfId="3209"/>
    <cellStyle name="Normal 4 2 3 4 7 14" xfId="3210"/>
    <cellStyle name="Normal 4 2 3 4 7 15" xfId="9072"/>
    <cellStyle name="Normal 4 2 3 4 7 2" xfId="3205"/>
    <cellStyle name="Normal 4 2 3 4 7 3" xfId="3212"/>
    <cellStyle name="Normal 4 2 3 4 7 4" xfId="3213"/>
    <cellStyle name="Normal 4 2 3 4 7 5" xfId="3214"/>
    <cellStyle name="Normal 4 2 3 4 7 6" xfId="3215"/>
    <cellStyle name="Normal 4 2 3 4 7 7" xfId="3216"/>
    <cellStyle name="Normal 4 2 3 4 7 8" xfId="3217"/>
    <cellStyle name="Normal 4 2 3 4 7 9" xfId="3218"/>
    <cellStyle name="Normal 4 2 3 4 8" xfId="211"/>
    <cellStyle name="Normal 4 2 3 4 8 10" xfId="3220"/>
    <cellStyle name="Normal 4 2 3 4 8 11" xfId="3221"/>
    <cellStyle name="Normal 4 2 3 4 8 12" xfId="3222"/>
    <cellStyle name="Normal 4 2 3 4 8 13" xfId="3223"/>
    <cellStyle name="Normal 4 2 3 4 8 14" xfId="3224"/>
    <cellStyle name="Normal 4 2 3 4 8 15" xfId="9058"/>
    <cellStyle name="Normal 4 2 3 4 8 2" xfId="3219"/>
    <cellStyle name="Normal 4 2 3 4 8 3" xfId="3226"/>
    <cellStyle name="Normal 4 2 3 4 8 4" xfId="3227"/>
    <cellStyle name="Normal 4 2 3 4 8 5" xfId="3228"/>
    <cellStyle name="Normal 4 2 3 4 8 6" xfId="3229"/>
    <cellStyle name="Normal 4 2 3 4 8 7" xfId="3230"/>
    <cellStyle name="Normal 4 2 3 4 8 8" xfId="3231"/>
    <cellStyle name="Normal 4 2 3 4 8 9" xfId="3232"/>
    <cellStyle name="Normal 4 2 3 4 9" xfId="212"/>
    <cellStyle name="Normal 4 2 3 4 9 2" xfId="3233"/>
    <cellStyle name="Normal 4 2 3 4 9 3" xfId="9041"/>
    <cellStyle name="Normal 4 2 3 5" xfId="213"/>
    <cellStyle name="Normal 4 2 3 5 10" xfId="214"/>
    <cellStyle name="Normal 4 2 3 5 10 2" xfId="3235"/>
    <cellStyle name="Normal 4 2 3 5 10 3" xfId="9007"/>
    <cellStyle name="Normal 4 2 3 5 11" xfId="3234"/>
    <cellStyle name="Normal 4 2 3 5 12" xfId="3237"/>
    <cellStyle name="Normal 4 2 3 5 13" xfId="3238"/>
    <cellStyle name="Normal 4 2 3 5 14" xfId="3239"/>
    <cellStyle name="Normal 4 2 3 5 15" xfId="3240"/>
    <cellStyle name="Normal 4 2 3 5 16" xfId="3241"/>
    <cellStyle name="Normal 4 2 3 5 17" xfId="3242"/>
    <cellStyle name="Normal 4 2 3 5 18" xfId="3243"/>
    <cellStyle name="Normal 4 2 3 5 19" xfId="3244"/>
    <cellStyle name="Normal 4 2 3 5 2" xfId="215"/>
    <cellStyle name="Normal 4 2 3 5 2 10" xfId="3246"/>
    <cellStyle name="Normal 4 2 3 5 2 11" xfId="3247"/>
    <cellStyle name="Normal 4 2 3 5 2 12" xfId="3248"/>
    <cellStyle name="Normal 4 2 3 5 2 13" xfId="3249"/>
    <cellStyle name="Normal 4 2 3 5 2 14" xfId="3250"/>
    <cellStyle name="Normal 4 2 3 5 2 15" xfId="8993"/>
    <cellStyle name="Normal 4 2 3 5 2 2" xfId="3245"/>
    <cellStyle name="Normal 4 2 3 5 2 3" xfId="3252"/>
    <cellStyle name="Normal 4 2 3 5 2 4" xfId="3253"/>
    <cellStyle name="Normal 4 2 3 5 2 5" xfId="3254"/>
    <cellStyle name="Normal 4 2 3 5 2 6" xfId="3255"/>
    <cellStyle name="Normal 4 2 3 5 2 7" xfId="3256"/>
    <cellStyle name="Normal 4 2 3 5 2 8" xfId="3257"/>
    <cellStyle name="Normal 4 2 3 5 2 9" xfId="3258"/>
    <cellStyle name="Normal 4 2 3 5 20" xfId="3259"/>
    <cellStyle name="Normal 4 2 3 5 21" xfId="3260"/>
    <cellStyle name="Normal 4 2 3 5 22" xfId="3261"/>
    <cellStyle name="Normal 4 2 3 5 23" xfId="9026"/>
    <cellStyle name="Normal 4 2 3 5 3" xfId="216"/>
    <cellStyle name="Normal 4 2 3 5 3 10" xfId="3263"/>
    <cellStyle name="Normal 4 2 3 5 3 11" xfId="3264"/>
    <cellStyle name="Normal 4 2 3 5 3 12" xfId="3265"/>
    <cellStyle name="Normal 4 2 3 5 3 13" xfId="3266"/>
    <cellStyle name="Normal 4 2 3 5 3 14" xfId="3267"/>
    <cellStyle name="Normal 4 2 3 5 3 15" xfId="8979"/>
    <cellStyle name="Normal 4 2 3 5 3 2" xfId="3262"/>
    <cellStyle name="Normal 4 2 3 5 3 3" xfId="3269"/>
    <cellStyle name="Normal 4 2 3 5 3 4" xfId="3270"/>
    <cellStyle name="Normal 4 2 3 5 3 5" xfId="3271"/>
    <cellStyle name="Normal 4 2 3 5 3 6" xfId="3272"/>
    <cellStyle name="Normal 4 2 3 5 3 7" xfId="3273"/>
    <cellStyle name="Normal 4 2 3 5 3 8" xfId="3274"/>
    <cellStyle name="Normal 4 2 3 5 3 9" xfId="3275"/>
    <cellStyle name="Normal 4 2 3 5 4" xfId="217"/>
    <cellStyle name="Normal 4 2 3 5 4 10" xfId="3277"/>
    <cellStyle name="Normal 4 2 3 5 4 11" xfId="3278"/>
    <cellStyle name="Normal 4 2 3 5 4 12" xfId="3279"/>
    <cellStyle name="Normal 4 2 3 5 4 13" xfId="3280"/>
    <cellStyle name="Normal 4 2 3 5 4 14" xfId="3281"/>
    <cellStyle name="Normal 4 2 3 5 4 15" xfId="8965"/>
    <cellStyle name="Normal 4 2 3 5 4 2" xfId="3276"/>
    <cellStyle name="Normal 4 2 3 5 4 3" xfId="3283"/>
    <cellStyle name="Normal 4 2 3 5 4 4" xfId="3284"/>
    <cellStyle name="Normal 4 2 3 5 4 5" xfId="3285"/>
    <cellStyle name="Normal 4 2 3 5 4 6" xfId="3286"/>
    <cellStyle name="Normal 4 2 3 5 4 7" xfId="3287"/>
    <cellStyle name="Normal 4 2 3 5 4 8" xfId="3288"/>
    <cellStyle name="Normal 4 2 3 5 4 9" xfId="3289"/>
    <cellStyle name="Normal 4 2 3 5 5" xfId="218"/>
    <cellStyle name="Normal 4 2 3 5 5 10" xfId="3291"/>
    <cellStyle name="Normal 4 2 3 5 5 11" xfId="3292"/>
    <cellStyle name="Normal 4 2 3 5 5 12" xfId="3293"/>
    <cellStyle name="Normal 4 2 3 5 5 13" xfId="3294"/>
    <cellStyle name="Normal 4 2 3 5 5 14" xfId="3295"/>
    <cellStyle name="Normal 4 2 3 5 5 15" xfId="8951"/>
    <cellStyle name="Normal 4 2 3 5 5 2" xfId="3290"/>
    <cellStyle name="Normal 4 2 3 5 5 3" xfId="3297"/>
    <cellStyle name="Normal 4 2 3 5 5 4" xfId="3298"/>
    <cellStyle name="Normal 4 2 3 5 5 5" xfId="3299"/>
    <cellStyle name="Normal 4 2 3 5 5 6" xfId="3300"/>
    <cellStyle name="Normal 4 2 3 5 5 7" xfId="3301"/>
    <cellStyle name="Normal 4 2 3 5 5 8" xfId="3302"/>
    <cellStyle name="Normal 4 2 3 5 5 9" xfId="3303"/>
    <cellStyle name="Normal 4 2 3 5 6" xfId="219"/>
    <cellStyle name="Normal 4 2 3 5 6 10" xfId="3305"/>
    <cellStyle name="Normal 4 2 3 5 6 11" xfId="3306"/>
    <cellStyle name="Normal 4 2 3 5 6 12" xfId="3307"/>
    <cellStyle name="Normal 4 2 3 5 6 13" xfId="3308"/>
    <cellStyle name="Normal 4 2 3 5 6 14" xfId="3309"/>
    <cellStyle name="Normal 4 2 3 5 6 15" xfId="8937"/>
    <cellStyle name="Normal 4 2 3 5 6 2" xfId="3304"/>
    <cellStyle name="Normal 4 2 3 5 6 3" xfId="3311"/>
    <cellStyle name="Normal 4 2 3 5 6 4" xfId="3312"/>
    <cellStyle name="Normal 4 2 3 5 6 5" xfId="3313"/>
    <cellStyle name="Normal 4 2 3 5 6 6" xfId="3314"/>
    <cellStyle name="Normal 4 2 3 5 6 7" xfId="3315"/>
    <cellStyle name="Normal 4 2 3 5 6 8" xfId="3316"/>
    <cellStyle name="Normal 4 2 3 5 6 9" xfId="3317"/>
    <cellStyle name="Normal 4 2 3 5 7" xfId="220"/>
    <cellStyle name="Normal 4 2 3 5 7 10" xfId="3319"/>
    <cellStyle name="Normal 4 2 3 5 7 11" xfId="3320"/>
    <cellStyle name="Normal 4 2 3 5 7 12" xfId="3321"/>
    <cellStyle name="Normal 4 2 3 5 7 13" xfId="3322"/>
    <cellStyle name="Normal 4 2 3 5 7 14" xfId="3323"/>
    <cellStyle name="Normal 4 2 3 5 7 15" xfId="8920"/>
    <cellStyle name="Normal 4 2 3 5 7 2" xfId="3318"/>
    <cellStyle name="Normal 4 2 3 5 7 3" xfId="3325"/>
    <cellStyle name="Normal 4 2 3 5 7 4" xfId="3326"/>
    <cellStyle name="Normal 4 2 3 5 7 5" xfId="3327"/>
    <cellStyle name="Normal 4 2 3 5 7 6" xfId="3328"/>
    <cellStyle name="Normal 4 2 3 5 7 7" xfId="3329"/>
    <cellStyle name="Normal 4 2 3 5 7 8" xfId="3330"/>
    <cellStyle name="Normal 4 2 3 5 7 9" xfId="3331"/>
    <cellStyle name="Normal 4 2 3 5 8" xfId="221"/>
    <cellStyle name="Normal 4 2 3 5 8 10" xfId="3333"/>
    <cellStyle name="Normal 4 2 3 5 8 11" xfId="3334"/>
    <cellStyle name="Normal 4 2 3 5 8 12" xfId="3335"/>
    <cellStyle name="Normal 4 2 3 5 8 13" xfId="3336"/>
    <cellStyle name="Normal 4 2 3 5 8 14" xfId="3337"/>
    <cellStyle name="Normal 4 2 3 5 8 15" xfId="8905"/>
    <cellStyle name="Normal 4 2 3 5 8 2" xfId="3332"/>
    <cellStyle name="Normal 4 2 3 5 8 3" xfId="3339"/>
    <cellStyle name="Normal 4 2 3 5 8 4" xfId="3340"/>
    <cellStyle name="Normal 4 2 3 5 8 5" xfId="3341"/>
    <cellStyle name="Normal 4 2 3 5 8 6" xfId="3342"/>
    <cellStyle name="Normal 4 2 3 5 8 7" xfId="3343"/>
    <cellStyle name="Normal 4 2 3 5 8 8" xfId="3344"/>
    <cellStyle name="Normal 4 2 3 5 8 9" xfId="3345"/>
    <cellStyle name="Normal 4 2 3 5 9" xfId="222"/>
    <cellStyle name="Normal 4 2 3 5 9 2" xfId="3346"/>
    <cellStyle name="Normal 4 2 3 5 9 3" xfId="8899"/>
    <cellStyle name="Normal 4 2 3 6" xfId="223"/>
    <cellStyle name="Normal 4 2 3 6 10" xfId="224"/>
    <cellStyle name="Normal 4 2 3 6 10 2" xfId="3348"/>
    <cellStyle name="Normal 4 2 3 6 10 3" xfId="8875"/>
    <cellStyle name="Normal 4 2 3 6 11" xfId="3347"/>
    <cellStyle name="Normal 4 2 3 6 12" xfId="3350"/>
    <cellStyle name="Normal 4 2 3 6 13" xfId="3351"/>
    <cellStyle name="Normal 4 2 3 6 14" xfId="3352"/>
    <cellStyle name="Normal 4 2 3 6 15" xfId="3353"/>
    <cellStyle name="Normal 4 2 3 6 16" xfId="3354"/>
    <cellStyle name="Normal 4 2 3 6 17" xfId="3355"/>
    <cellStyle name="Normal 4 2 3 6 18" xfId="3356"/>
    <cellStyle name="Normal 4 2 3 6 19" xfId="3357"/>
    <cellStyle name="Normal 4 2 3 6 2" xfId="225"/>
    <cellStyle name="Normal 4 2 3 6 2 10" xfId="3359"/>
    <cellStyle name="Normal 4 2 3 6 2 11" xfId="3360"/>
    <cellStyle name="Normal 4 2 3 6 2 12" xfId="3361"/>
    <cellStyle name="Normal 4 2 3 6 2 13" xfId="3362"/>
    <cellStyle name="Normal 4 2 3 6 2 14" xfId="3363"/>
    <cellStyle name="Normal 4 2 3 6 2 15" xfId="8861"/>
    <cellStyle name="Normal 4 2 3 6 2 2" xfId="3358"/>
    <cellStyle name="Normal 4 2 3 6 2 3" xfId="3365"/>
    <cellStyle name="Normal 4 2 3 6 2 4" xfId="3366"/>
    <cellStyle name="Normal 4 2 3 6 2 5" xfId="3367"/>
    <cellStyle name="Normal 4 2 3 6 2 6" xfId="3368"/>
    <cellStyle name="Normal 4 2 3 6 2 7" xfId="3369"/>
    <cellStyle name="Normal 4 2 3 6 2 8" xfId="3370"/>
    <cellStyle name="Normal 4 2 3 6 2 9" xfId="3371"/>
    <cellStyle name="Normal 4 2 3 6 20" xfId="3372"/>
    <cellStyle name="Normal 4 2 3 6 21" xfId="3373"/>
    <cellStyle name="Normal 4 2 3 6 22" xfId="3374"/>
    <cellStyle name="Normal 4 2 3 6 23" xfId="8889"/>
    <cellStyle name="Normal 4 2 3 6 3" xfId="226"/>
    <cellStyle name="Normal 4 2 3 6 3 10" xfId="3376"/>
    <cellStyle name="Normal 4 2 3 6 3 11" xfId="3377"/>
    <cellStyle name="Normal 4 2 3 6 3 12" xfId="3378"/>
    <cellStyle name="Normal 4 2 3 6 3 13" xfId="3379"/>
    <cellStyle name="Normal 4 2 3 6 3 14" xfId="3380"/>
    <cellStyle name="Normal 4 2 3 6 3 15" xfId="8847"/>
    <cellStyle name="Normal 4 2 3 6 3 2" xfId="3375"/>
    <cellStyle name="Normal 4 2 3 6 3 3" xfId="3382"/>
    <cellStyle name="Normal 4 2 3 6 3 4" xfId="3383"/>
    <cellStyle name="Normal 4 2 3 6 3 5" xfId="3384"/>
    <cellStyle name="Normal 4 2 3 6 3 6" xfId="3385"/>
    <cellStyle name="Normal 4 2 3 6 3 7" xfId="3386"/>
    <cellStyle name="Normal 4 2 3 6 3 8" xfId="3387"/>
    <cellStyle name="Normal 4 2 3 6 3 9" xfId="3388"/>
    <cellStyle name="Normal 4 2 3 6 4" xfId="227"/>
    <cellStyle name="Normal 4 2 3 6 4 10" xfId="3390"/>
    <cellStyle name="Normal 4 2 3 6 4 11" xfId="3391"/>
    <cellStyle name="Normal 4 2 3 6 4 12" xfId="3392"/>
    <cellStyle name="Normal 4 2 3 6 4 13" xfId="3393"/>
    <cellStyle name="Normal 4 2 3 6 4 14" xfId="3394"/>
    <cellStyle name="Normal 4 2 3 6 4 15" xfId="8832"/>
    <cellStyle name="Normal 4 2 3 6 4 2" xfId="3389"/>
    <cellStyle name="Normal 4 2 3 6 4 3" xfId="3396"/>
    <cellStyle name="Normal 4 2 3 6 4 4" xfId="3397"/>
    <cellStyle name="Normal 4 2 3 6 4 5" xfId="3398"/>
    <cellStyle name="Normal 4 2 3 6 4 6" xfId="3399"/>
    <cellStyle name="Normal 4 2 3 6 4 7" xfId="3400"/>
    <cellStyle name="Normal 4 2 3 6 4 8" xfId="3401"/>
    <cellStyle name="Normal 4 2 3 6 4 9" xfId="3402"/>
    <cellStyle name="Normal 4 2 3 6 5" xfId="228"/>
    <cellStyle name="Normal 4 2 3 6 5 10" xfId="3404"/>
    <cellStyle name="Normal 4 2 3 6 5 11" xfId="3405"/>
    <cellStyle name="Normal 4 2 3 6 5 12" xfId="3406"/>
    <cellStyle name="Normal 4 2 3 6 5 13" xfId="3407"/>
    <cellStyle name="Normal 4 2 3 6 5 14" xfId="3408"/>
    <cellStyle name="Normal 4 2 3 6 5 15" xfId="8818"/>
    <cellStyle name="Normal 4 2 3 6 5 2" xfId="3403"/>
    <cellStyle name="Normal 4 2 3 6 5 3" xfId="3410"/>
    <cellStyle name="Normal 4 2 3 6 5 4" xfId="3411"/>
    <cellStyle name="Normal 4 2 3 6 5 5" xfId="3412"/>
    <cellStyle name="Normal 4 2 3 6 5 6" xfId="3413"/>
    <cellStyle name="Normal 4 2 3 6 5 7" xfId="3414"/>
    <cellStyle name="Normal 4 2 3 6 5 8" xfId="3415"/>
    <cellStyle name="Normal 4 2 3 6 5 9" xfId="3416"/>
    <cellStyle name="Normal 4 2 3 6 6" xfId="229"/>
    <cellStyle name="Normal 4 2 3 6 6 10" xfId="3418"/>
    <cellStyle name="Normal 4 2 3 6 6 11" xfId="3419"/>
    <cellStyle name="Normal 4 2 3 6 6 12" xfId="3420"/>
    <cellStyle name="Normal 4 2 3 6 6 13" xfId="3421"/>
    <cellStyle name="Normal 4 2 3 6 6 14" xfId="3422"/>
    <cellStyle name="Normal 4 2 3 6 6 15" xfId="8804"/>
    <cellStyle name="Normal 4 2 3 6 6 2" xfId="3417"/>
    <cellStyle name="Normal 4 2 3 6 6 3" xfId="3424"/>
    <cellStyle name="Normal 4 2 3 6 6 4" xfId="3425"/>
    <cellStyle name="Normal 4 2 3 6 6 5" xfId="3426"/>
    <cellStyle name="Normal 4 2 3 6 6 6" xfId="3427"/>
    <cellStyle name="Normal 4 2 3 6 6 7" xfId="3428"/>
    <cellStyle name="Normal 4 2 3 6 6 8" xfId="3429"/>
    <cellStyle name="Normal 4 2 3 6 6 9" xfId="3430"/>
    <cellStyle name="Normal 4 2 3 6 7" xfId="230"/>
    <cellStyle name="Normal 4 2 3 6 7 10" xfId="3432"/>
    <cellStyle name="Normal 4 2 3 6 7 11" xfId="3433"/>
    <cellStyle name="Normal 4 2 3 6 7 12" xfId="3434"/>
    <cellStyle name="Normal 4 2 3 6 7 13" xfId="3435"/>
    <cellStyle name="Normal 4 2 3 6 7 14" xfId="3436"/>
    <cellStyle name="Normal 4 2 3 6 7 15" xfId="8789"/>
    <cellStyle name="Normal 4 2 3 6 7 2" xfId="3431"/>
    <cellStyle name="Normal 4 2 3 6 7 3" xfId="3438"/>
    <cellStyle name="Normal 4 2 3 6 7 4" xfId="3439"/>
    <cellStyle name="Normal 4 2 3 6 7 5" xfId="3440"/>
    <cellStyle name="Normal 4 2 3 6 7 6" xfId="3441"/>
    <cellStyle name="Normal 4 2 3 6 7 7" xfId="3442"/>
    <cellStyle name="Normal 4 2 3 6 7 8" xfId="3443"/>
    <cellStyle name="Normal 4 2 3 6 7 9" xfId="3444"/>
    <cellStyle name="Normal 4 2 3 6 8" xfId="231"/>
    <cellStyle name="Normal 4 2 3 6 8 10" xfId="3446"/>
    <cellStyle name="Normal 4 2 3 6 8 11" xfId="3447"/>
    <cellStyle name="Normal 4 2 3 6 8 12" xfId="3448"/>
    <cellStyle name="Normal 4 2 3 6 8 13" xfId="3449"/>
    <cellStyle name="Normal 4 2 3 6 8 14" xfId="3450"/>
    <cellStyle name="Normal 4 2 3 6 8 15" xfId="8775"/>
    <cellStyle name="Normal 4 2 3 6 8 2" xfId="3445"/>
    <cellStyle name="Normal 4 2 3 6 8 3" xfId="3452"/>
    <cellStyle name="Normal 4 2 3 6 8 4" xfId="3453"/>
    <cellStyle name="Normal 4 2 3 6 8 5" xfId="3454"/>
    <cellStyle name="Normal 4 2 3 6 8 6" xfId="3455"/>
    <cellStyle name="Normal 4 2 3 6 8 7" xfId="3456"/>
    <cellStyle name="Normal 4 2 3 6 8 8" xfId="3457"/>
    <cellStyle name="Normal 4 2 3 6 8 9" xfId="3458"/>
    <cellStyle name="Normal 4 2 3 6 9" xfId="232"/>
    <cellStyle name="Normal 4 2 3 6 9 2" xfId="3459"/>
    <cellStyle name="Normal 4 2 3 6 9 3" xfId="8761"/>
    <cellStyle name="Normal 4 2 3 7" xfId="233"/>
    <cellStyle name="Normal 4 2 3 7 10" xfId="3461"/>
    <cellStyle name="Normal 4 2 3 7 11" xfId="3462"/>
    <cellStyle name="Normal 4 2 3 7 12" xfId="3463"/>
    <cellStyle name="Normal 4 2 3 7 13" xfId="3464"/>
    <cellStyle name="Normal 4 2 3 7 14" xfId="3465"/>
    <cellStyle name="Normal 4 2 3 7 15" xfId="8747"/>
    <cellStyle name="Normal 4 2 3 7 2" xfId="3460"/>
    <cellStyle name="Normal 4 2 3 7 3" xfId="3467"/>
    <cellStyle name="Normal 4 2 3 7 4" xfId="3468"/>
    <cellStyle name="Normal 4 2 3 7 5" xfId="3469"/>
    <cellStyle name="Normal 4 2 3 7 6" xfId="3470"/>
    <cellStyle name="Normal 4 2 3 7 7" xfId="3471"/>
    <cellStyle name="Normal 4 2 3 7 8" xfId="3472"/>
    <cellStyle name="Normal 4 2 3 7 9" xfId="3473"/>
    <cellStyle name="Normal 4 2 3 8" xfId="234"/>
    <cellStyle name="Normal 4 2 3 8 10" xfId="3475"/>
    <cellStyle name="Normal 4 2 3 8 11" xfId="3476"/>
    <cellStyle name="Normal 4 2 3 8 12" xfId="3477"/>
    <cellStyle name="Normal 4 2 3 8 13" xfId="3478"/>
    <cellStyle name="Normal 4 2 3 8 14" xfId="3479"/>
    <cellStyle name="Normal 4 2 3 8 15" xfId="8733"/>
    <cellStyle name="Normal 4 2 3 8 2" xfId="3474"/>
    <cellStyle name="Normal 4 2 3 8 3" xfId="3481"/>
    <cellStyle name="Normal 4 2 3 8 4" xfId="3482"/>
    <cellStyle name="Normal 4 2 3 8 5" xfId="3483"/>
    <cellStyle name="Normal 4 2 3 8 6" xfId="3484"/>
    <cellStyle name="Normal 4 2 3 8 7" xfId="3485"/>
    <cellStyle name="Normal 4 2 3 8 8" xfId="3486"/>
    <cellStyle name="Normal 4 2 3 8 9" xfId="3487"/>
    <cellStyle name="Normal 4 2 3 9" xfId="235"/>
    <cellStyle name="Normal 4 2 3 9 10" xfId="3489"/>
    <cellStyle name="Normal 4 2 3 9 11" xfId="3490"/>
    <cellStyle name="Normal 4 2 3 9 12" xfId="3491"/>
    <cellStyle name="Normal 4 2 3 9 13" xfId="3492"/>
    <cellStyle name="Normal 4 2 3 9 14" xfId="3493"/>
    <cellStyle name="Normal 4 2 3 9 15" xfId="8719"/>
    <cellStyle name="Normal 4 2 3 9 2" xfId="3488"/>
    <cellStyle name="Normal 4 2 3 9 3" xfId="3495"/>
    <cellStyle name="Normal 4 2 3 9 4" xfId="3496"/>
    <cellStyle name="Normal 4 2 3 9 5" xfId="3497"/>
    <cellStyle name="Normal 4 2 3 9 6" xfId="3498"/>
    <cellStyle name="Normal 4 2 3 9 7" xfId="3499"/>
    <cellStyle name="Normal 4 2 3 9 8" xfId="3500"/>
    <cellStyle name="Normal 4 2 3 9 9" xfId="3501"/>
    <cellStyle name="Normal 4 2 30" xfId="10531"/>
    <cellStyle name="Normal 4 2 31" xfId="11003"/>
    <cellStyle name="Normal 4 2 32" xfId="33540"/>
    <cellStyle name="Normal 4 2 33" xfId="50867"/>
    <cellStyle name="Normal 4 2 4" xfId="236"/>
    <cellStyle name="Normal 4 2 4 10" xfId="237"/>
    <cellStyle name="Normal 4 2 4 10 2" xfId="3503"/>
    <cellStyle name="Normal 4 2 4 10 3" xfId="8687"/>
    <cellStyle name="Normal 4 2 4 11" xfId="3502"/>
    <cellStyle name="Normal 4 2 4 12" xfId="3505"/>
    <cellStyle name="Normal 4 2 4 13" xfId="3506"/>
    <cellStyle name="Normal 4 2 4 14" xfId="3507"/>
    <cellStyle name="Normal 4 2 4 15" xfId="3508"/>
    <cellStyle name="Normal 4 2 4 16" xfId="3509"/>
    <cellStyle name="Normal 4 2 4 17" xfId="3510"/>
    <cellStyle name="Normal 4 2 4 18" xfId="3511"/>
    <cellStyle name="Normal 4 2 4 19" xfId="3512"/>
    <cellStyle name="Normal 4 2 4 2" xfId="238"/>
    <cellStyle name="Normal 4 2 4 2 10" xfId="3514"/>
    <cellStyle name="Normal 4 2 4 2 11" xfId="3515"/>
    <cellStyle name="Normal 4 2 4 2 12" xfId="3516"/>
    <cellStyle name="Normal 4 2 4 2 13" xfId="3517"/>
    <cellStyle name="Normal 4 2 4 2 14" xfId="3518"/>
    <cellStyle name="Normal 4 2 4 2 15" xfId="8676"/>
    <cellStyle name="Normal 4 2 4 2 2" xfId="3513"/>
    <cellStyle name="Normal 4 2 4 2 3" xfId="3520"/>
    <cellStyle name="Normal 4 2 4 2 4" xfId="3521"/>
    <cellStyle name="Normal 4 2 4 2 5" xfId="3522"/>
    <cellStyle name="Normal 4 2 4 2 6" xfId="3523"/>
    <cellStyle name="Normal 4 2 4 2 7" xfId="3524"/>
    <cellStyle name="Normal 4 2 4 2 8" xfId="3525"/>
    <cellStyle name="Normal 4 2 4 2 9" xfId="3526"/>
    <cellStyle name="Normal 4 2 4 20" xfId="3527"/>
    <cellStyle name="Normal 4 2 4 21" xfId="3528"/>
    <cellStyle name="Normal 4 2 4 22" xfId="3529"/>
    <cellStyle name="Normal 4 2 4 23" xfId="8702"/>
    <cellStyle name="Normal 4 2 4 24" xfId="33543"/>
    <cellStyle name="Normal 4 2 4 3" xfId="239"/>
    <cellStyle name="Normal 4 2 4 3 10" xfId="3531"/>
    <cellStyle name="Normal 4 2 4 3 11" xfId="3532"/>
    <cellStyle name="Normal 4 2 4 3 12" xfId="3533"/>
    <cellStyle name="Normal 4 2 4 3 13" xfId="3534"/>
    <cellStyle name="Normal 4 2 4 3 14" xfId="3535"/>
    <cellStyle name="Normal 4 2 4 3 15" xfId="8662"/>
    <cellStyle name="Normal 4 2 4 3 2" xfId="3530"/>
    <cellStyle name="Normal 4 2 4 3 3" xfId="3537"/>
    <cellStyle name="Normal 4 2 4 3 4" xfId="3538"/>
    <cellStyle name="Normal 4 2 4 3 5" xfId="3539"/>
    <cellStyle name="Normal 4 2 4 3 6" xfId="3540"/>
    <cellStyle name="Normal 4 2 4 3 7" xfId="3541"/>
    <cellStyle name="Normal 4 2 4 3 8" xfId="3542"/>
    <cellStyle name="Normal 4 2 4 3 9" xfId="3543"/>
    <cellStyle name="Normal 4 2 4 4" xfId="240"/>
    <cellStyle name="Normal 4 2 4 4 10" xfId="3545"/>
    <cellStyle name="Normal 4 2 4 4 11" xfId="3546"/>
    <cellStyle name="Normal 4 2 4 4 12" xfId="3547"/>
    <cellStyle name="Normal 4 2 4 4 13" xfId="3548"/>
    <cellStyle name="Normal 4 2 4 4 14" xfId="3549"/>
    <cellStyle name="Normal 4 2 4 4 15" xfId="8648"/>
    <cellStyle name="Normal 4 2 4 4 2" xfId="3544"/>
    <cellStyle name="Normal 4 2 4 4 3" xfId="3551"/>
    <cellStyle name="Normal 4 2 4 4 4" xfId="3552"/>
    <cellStyle name="Normal 4 2 4 4 5" xfId="3553"/>
    <cellStyle name="Normal 4 2 4 4 6" xfId="3554"/>
    <cellStyle name="Normal 4 2 4 4 7" xfId="3555"/>
    <cellStyle name="Normal 4 2 4 4 8" xfId="3556"/>
    <cellStyle name="Normal 4 2 4 4 9" xfId="3557"/>
    <cellStyle name="Normal 4 2 4 5" xfId="241"/>
    <cellStyle name="Normal 4 2 4 5 10" xfId="3559"/>
    <cellStyle name="Normal 4 2 4 5 11" xfId="3560"/>
    <cellStyle name="Normal 4 2 4 5 12" xfId="3561"/>
    <cellStyle name="Normal 4 2 4 5 13" xfId="3562"/>
    <cellStyle name="Normal 4 2 4 5 14" xfId="3563"/>
    <cellStyle name="Normal 4 2 4 5 15" xfId="8634"/>
    <cellStyle name="Normal 4 2 4 5 2" xfId="3558"/>
    <cellStyle name="Normal 4 2 4 5 3" xfId="3565"/>
    <cellStyle name="Normal 4 2 4 5 4" xfId="3566"/>
    <cellStyle name="Normal 4 2 4 5 5" xfId="3567"/>
    <cellStyle name="Normal 4 2 4 5 6" xfId="3568"/>
    <cellStyle name="Normal 4 2 4 5 7" xfId="3569"/>
    <cellStyle name="Normal 4 2 4 5 8" xfId="3570"/>
    <cellStyle name="Normal 4 2 4 5 9" xfId="3571"/>
    <cellStyle name="Normal 4 2 4 6" xfId="242"/>
    <cellStyle name="Normal 4 2 4 6 10" xfId="3573"/>
    <cellStyle name="Normal 4 2 4 6 11" xfId="3574"/>
    <cellStyle name="Normal 4 2 4 6 12" xfId="3575"/>
    <cellStyle name="Normal 4 2 4 6 13" xfId="3576"/>
    <cellStyle name="Normal 4 2 4 6 14" xfId="3577"/>
    <cellStyle name="Normal 4 2 4 6 15" xfId="8620"/>
    <cellStyle name="Normal 4 2 4 6 2" xfId="3572"/>
    <cellStyle name="Normal 4 2 4 6 3" xfId="3579"/>
    <cellStyle name="Normal 4 2 4 6 4" xfId="3580"/>
    <cellStyle name="Normal 4 2 4 6 5" xfId="3581"/>
    <cellStyle name="Normal 4 2 4 6 6" xfId="3582"/>
    <cellStyle name="Normal 4 2 4 6 7" xfId="3583"/>
    <cellStyle name="Normal 4 2 4 6 8" xfId="3584"/>
    <cellStyle name="Normal 4 2 4 6 9" xfId="3585"/>
    <cellStyle name="Normal 4 2 4 7" xfId="243"/>
    <cellStyle name="Normal 4 2 4 7 10" xfId="3587"/>
    <cellStyle name="Normal 4 2 4 7 11" xfId="3588"/>
    <cellStyle name="Normal 4 2 4 7 12" xfId="3589"/>
    <cellStyle name="Normal 4 2 4 7 13" xfId="3590"/>
    <cellStyle name="Normal 4 2 4 7 14" xfId="3591"/>
    <cellStyle name="Normal 4 2 4 7 15" xfId="8606"/>
    <cellStyle name="Normal 4 2 4 7 2" xfId="3586"/>
    <cellStyle name="Normal 4 2 4 7 3" xfId="3593"/>
    <cellStyle name="Normal 4 2 4 7 4" xfId="3594"/>
    <cellStyle name="Normal 4 2 4 7 5" xfId="3595"/>
    <cellStyle name="Normal 4 2 4 7 6" xfId="3596"/>
    <cellStyle name="Normal 4 2 4 7 7" xfId="3597"/>
    <cellStyle name="Normal 4 2 4 7 8" xfId="3598"/>
    <cellStyle name="Normal 4 2 4 7 9" xfId="3599"/>
    <cellStyle name="Normal 4 2 4 8" xfId="244"/>
    <cellStyle name="Normal 4 2 4 8 10" xfId="3601"/>
    <cellStyle name="Normal 4 2 4 8 11" xfId="3602"/>
    <cellStyle name="Normal 4 2 4 8 12" xfId="3603"/>
    <cellStyle name="Normal 4 2 4 8 13" xfId="3604"/>
    <cellStyle name="Normal 4 2 4 8 14" xfId="3605"/>
    <cellStyle name="Normal 4 2 4 8 15" xfId="8589"/>
    <cellStyle name="Normal 4 2 4 8 2" xfId="3600"/>
    <cellStyle name="Normal 4 2 4 8 3" xfId="3607"/>
    <cellStyle name="Normal 4 2 4 8 4" xfId="3608"/>
    <cellStyle name="Normal 4 2 4 8 5" xfId="3609"/>
    <cellStyle name="Normal 4 2 4 8 6" xfId="3610"/>
    <cellStyle name="Normal 4 2 4 8 7" xfId="3611"/>
    <cellStyle name="Normal 4 2 4 8 8" xfId="3612"/>
    <cellStyle name="Normal 4 2 4 8 9" xfId="3613"/>
    <cellStyle name="Normal 4 2 4 9" xfId="245"/>
    <cellStyle name="Normal 4 2 4 9 2" xfId="3614"/>
    <cellStyle name="Normal 4 2 4 9 3" xfId="8574"/>
    <cellStyle name="Normal 4 2 5" xfId="246"/>
    <cellStyle name="Normal 4 2 5 10" xfId="247"/>
    <cellStyle name="Normal 4 2 5 10 2" xfId="3616"/>
    <cellStyle name="Normal 4 2 5 10 3" xfId="8549"/>
    <cellStyle name="Normal 4 2 5 11" xfId="3615"/>
    <cellStyle name="Normal 4 2 5 12" xfId="3618"/>
    <cellStyle name="Normal 4 2 5 13" xfId="3619"/>
    <cellStyle name="Normal 4 2 5 14" xfId="3620"/>
    <cellStyle name="Normal 4 2 5 15" xfId="3621"/>
    <cellStyle name="Normal 4 2 5 16" xfId="3622"/>
    <cellStyle name="Normal 4 2 5 17" xfId="3623"/>
    <cellStyle name="Normal 4 2 5 18" xfId="3624"/>
    <cellStyle name="Normal 4 2 5 19" xfId="3625"/>
    <cellStyle name="Normal 4 2 5 2" xfId="248"/>
    <cellStyle name="Normal 4 2 5 2 10" xfId="3627"/>
    <cellStyle name="Normal 4 2 5 2 11" xfId="3628"/>
    <cellStyle name="Normal 4 2 5 2 12" xfId="3629"/>
    <cellStyle name="Normal 4 2 5 2 13" xfId="3630"/>
    <cellStyle name="Normal 4 2 5 2 14" xfId="3631"/>
    <cellStyle name="Normal 4 2 5 2 15" xfId="8535"/>
    <cellStyle name="Normal 4 2 5 2 2" xfId="3626"/>
    <cellStyle name="Normal 4 2 5 2 3" xfId="3633"/>
    <cellStyle name="Normal 4 2 5 2 4" xfId="3634"/>
    <cellStyle name="Normal 4 2 5 2 5" xfId="3635"/>
    <cellStyle name="Normal 4 2 5 2 6" xfId="3636"/>
    <cellStyle name="Normal 4 2 5 2 7" xfId="3637"/>
    <cellStyle name="Normal 4 2 5 2 8" xfId="3638"/>
    <cellStyle name="Normal 4 2 5 2 9" xfId="3639"/>
    <cellStyle name="Normal 4 2 5 20" xfId="3640"/>
    <cellStyle name="Normal 4 2 5 21" xfId="3641"/>
    <cellStyle name="Normal 4 2 5 22" xfId="3642"/>
    <cellStyle name="Normal 4 2 5 23" xfId="8563"/>
    <cellStyle name="Normal 4 2 5 24" xfId="33544"/>
    <cellStyle name="Normal 4 2 5 3" xfId="249"/>
    <cellStyle name="Normal 4 2 5 3 10" xfId="3644"/>
    <cellStyle name="Normal 4 2 5 3 11" xfId="3645"/>
    <cellStyle name="Normal 4 2 5 3 12" xfId="3646"/>
    <cellStyle name="Normal 4 2 5 3 13" xfId="3647"/>
    <cellStyle name="Normal 4 2 5 3 14" xfId="3648"/>
    <cellStyle name="Normal 4 2 5 3 15" xfId="8521"/>
    <cellStyle name="Normal 4 2 5 3 2" xfId="3643"/>
    <cellStyle name="Normal 4 2 5 3 3" xfId="3650"/>
    <cellStyle name="Normal 4 2 5 3 4" xfId="3651"/>
    <cellStyle name="Normal 4 2 5 3 5" xfId="3652"/>
    <cellStyle name="Normal 4 2 5 3 6" xfId="3653"/>
    <cellStyle name="Normal 4 2 5 3 7" xfId="3654"/>
    <cellStyle name="Normal 4 2 5 3 8" xfId="3655"/>
    <cellStyle name="Normal 4 2 5 3 9" xfId="3656"/>
    <cellStyle name="Normal 4 2 5 4" xfId="250"/>
    <cellStyle name="Normal 4 2 5 4 10" xfId="3658"/>
    <cellStyle name="Normal 4 2 5 4 11" xfId="3659"/>
    <cellStyle name="Normal 4 2 5 4 12" xfId="3660"/>
    <cellStyle name="Normal 4 2 5 4 13" xfId="3661"/>
    <cellStyle name="Normal 4 2 5 4 14" xfId="3662"/>
    <cellStyle name="Normal 4 2 5 4 15" xfId="8507"/>
    <cellStyle name="Normal 4 2 5 4 2" xfId="3657"/>
    <cellStyle name="Normal 4 2 5 4 3" xfId="3664"/>
    <cellStyle name="Normal 4 2 5 4 4" xfId="3665"/>
    <cellStyle name="Normal 4 2 5 4 5" xfId="3666"/>
    <cellStyle name="Normal 4 2 5 4 6" xfId="3667"/>
    <cellStyle name="Normal 4 2 5 4 7" xfId="3668"/>
    <cellStyle name="Normal 4 2 5 4 8" xfId="3669"/>
    <cellStyle name="Normal 4 2 5 4 9" xfId="3670"/>
    <cellStyle name="Normal 4 2 5 5" xfId="251"/>
    <cellStyle name="Normal 4 2 5 5 10" xfId="3672"/>
    <cellStyle name="Normal 4 2 5 5 11" xfId="3673"/>
    <cellStyle name="Normal 4 2 5 5 12" xfId="3674"/>
    <cellStyle name="Normal 4 2 5 5 13" xfId="3675"/>
    <cellStyle name="Normal 4 2 5 5 14" xfId="3676"/>
    <cellStyle name="Normal 4 2 5 5 15" xfId="8493"/>
    <cellStyle name="Normal 4 2 5 5 2" xfId="3671"/>
    <cellStyle name="Normal 4 2 5 5 3" xfId="3678"/>
    <cellStyle name="Normal 4 2 5 5 4" xfId="3679"/>
    <cellStyle name="Normal 4 2 5 5 5" xfId="3680"/>
    <cellStyle name="Normal 4 2 5 5 6" xfId="3681"/>
    <cellStyle name="Normal 4 2 5 5 7" xfId="3682"/>
    <cellStyle name="Normal 4 2 5 5 8" xfId="3683"/>
    <cellStyle name="Normal 4 2 5 5 9" xfId="3684"/>
    <cellStyle name="Normal 4 2 5 6" xfId="252"/>
    <cellStyle name="Normal 4 2 5 6 10" xfId="3686"/>
    <cellStyle name="Normal 4 2 5 6 11" xfId="3687"/>
    <cellStyle name="Normal 4 2 5 6 12" xfId="3688"/>
    <cellStyle name="Normal 4 2 5 6 13" xfId="3689"/>
    <cellStyle name="Normal 4 2 5 6 14" xfId="3690"/>
    <cellStyle name="Normal 4 2 5 6 15" xfId="8476"/>
    <cellStyle name="Normal 4 2 5 6 2" xfId="3685"/>
    <cellStyle name="Normal 4 2 5 6 3" xfId="3692"/>
    <cellStyle name="Normal 4 2 5 6 4" xfId="3693"/>
    <cellStyle name="Normal 4 2 5 6 5" xfId="3694"/>
    <cellStyle name="Normal 4 2 5 6 6" xfId="3695"/>
    <cellStyle name="Normal 4 2 5 6 7" xfId="3696"/>
    <cellStyle name="Normal 4 2 5 6 8" xfId="3697"/>
    <cellStyle name="Normal 4 2 5 6 9" xfId="3698"/>
    <cellStyle name="Normal 4 2 5 7" xfId="253"/>
    <cellStyle name="Normal 4 2 5 7 10" xfId="3700"/>
    <cellStyle name="Normal 4 2 5 7 11" xfId="3701"/>
    <cellStyle name="Normal 4 2 5 7 12" xfId="3702"/>
    <cellStyle name="Normal 4 2 5 7 13" xfId="3703"/>
    <cellStyle name="Normal 4 2 5 7 14" xfId="3704"/>
    <cellStyle name="Normal 4 2 5 7 15" xfId="8461"/>
    <cellStyle name="Normal 4 2 5 7 2" xfId="3699"/>
    <cellStyle name="Normal 4 2 5 7 3" xfId="3706"/>
    <cellStyle name="Normal 4 2 5 7 4" xfId="3707"/>
    <cellStyle name="Normal 4 2 5 7 5" xfId="3708"/>
    <cellStyle name="Normal 4 2 5 7 6" xfId="3709"/>
    <cellStyle name="Normal 4 2 5 7 7" xfId="3710"/>
    <cellStyle name="Normal 4 2 5 7 8" xfId="3711"/>
    <cellStyle name="Normal 4 2 5 7 9" xfId="3712"/>
    <cellStyle name="Normal 4 2 5 8" xfId="254"/>
    <cellStyle name="Normal 4 2 5 8 10" xfId="3714"/>
    <cellStyle name="Normal 4 2 5 8 11" xfId="3715"/>
    <cellStyle name="Normal 4 2 5 8 12" xfId="3716"/>
    <cellStyle name="Normal 4 2 5 8 13" xfId="3717"/>
    <cellStyle name="Normal 4 2 5 8 14" xfId="3718"/>
    <cellStyle name="Normal 4 2 5 8 15" xfId="8450"/>
    <cellStyle name="Normal 4 2 5 8 2" xfId="3713"/>
    <cellStyle name="Normal 4 2 5 8 3" xfId="3720"/>
    <cellStyle name="Normal 4 2 5 8 4" xfId="3721"/>
    <cellStyle name="Normal 4 2 5 8 5" xfId="3722"/>
    <cellStyle name="Normal 4 2 5 8 6" xfId="3723"/>
    <cellStyle name="Normal 4 2 5 8 7" xfId="3724"/>
    <cellStyle name="Normal 4 2 5 8 8" xfId="3725"/>
    <cellStyle name="Normal 4 2 5 8 9" xfId="3726"/>
    <cellStyle name="Normal 4 2 5 9" xfId="255"/>
    <cellStyle name="Normal 4 2 5 9 2" xfId="3727"/>
    <cellStyle name="Normal 4 2 5 9 3" xfId="8436"/>
    <cellStyle name="Normal 4 2 6" xfId="256"/>
    <cellStyle name="Normal 4 2 6 10" xfId="257"/>
    <cellStyle name="Normal 4 2 6 10 2" xfId="3729"/>
    <cellStyle name="Normal 4 2 6 10 3" xfId="8408"/>
    <cellStyle name="Normal 4 2 6 11" xfId="3728"/>
    <cellStyle name="Normal 4 2 6 12" xfId="3731"/>
    <cellStyle name="Normal 4 2 6 13" xfId="3732"/>
    <cellStyle name="Normal 4 2 6 14" xfId="3733"/>
    <cellStyle name="Normal 4 2 6 15" xfId="3734"/>
    <cellStyle name="Normal 4 2 6 16" xfId="3735"/>
    <cellStyle name="Normal 4 2 6 17" xfId="3736"/>
    <cellStyle name="Normal 4 2 6 18" xfId="3737"/>
    <cellStyle name="Normal 4 2 6 19" xfId="3738"/>
    <cellStyle name="Normal 4 2 6 2" xfId="258"/>
    <cellStyle name="Normal 4 2 6 2 10" xfId="3740"/>
    <cellStyle name="Normal 4 2 6 2 11" xfId="3741"/>
    <cellStyle name="Normal 4 2 6 2 12" xfId="3742"/>
    <cellStyle name="Normal 4 2 6 2 13" xfId="3743"/>
    <cellStyle name="Normal 4 2 6 2 14" xfId="3744"/>
    <cellStyle name="Normal 4 2 6 2 15" xfId="8394"/>
    <cellStyle name="Normal 4 2 6 2 2" xfId="3739"/>
    <cellStyle name="Normal 4 2 6 2 3" xfId="3746"/>
    <cellStyle name="Normal 4 2 6 2 4" xfId="3747"/>
    <cellStyle name="Normal 4 2 6 2 5" xfId="3748"/>
    <cellStyle name="Normal 4 2 6 2 6" xfId="3749"/>
    <cellStyle name="Normal 4 2 6 2 7" xfId="3750"/>
    <cellStyle name="Normal 4 2 6 2 8" xfId="3751"/>
    <cellStyle name="Normal 4 2 6 2 9" xfId="3752"/>
    <cellStyle name="Normal 4 2 6 20" xfId="3753"/>
    <cellStyle name="Normal 4 2 6 21" xfId="3754"/>
    <cellStyle name="Normal 4 2 6 22" xfId="3755"/>
    <cellStyle name="Normal 4 2 6 23" xfId="8422"/>
    <cellStyle name="Normal 4 2 6 3" xfId="259"/>
    <cellStyle name="Normal 4 2 6 3 10" xfId="3757"/>
    <cellStyle name="Normal 4 2 6 3 11" xfId="3758"/>
    <cellStyle name="Normal 4 2 6 3 12" xfId="3759"/>
    <cellStyle name="Normal 4 2 6 3 13" xfId="3760"/>
    <cellStyle name="Normal 4 2 6 3 14" xfId="3761"/>
    <cellStyle name="Normal 4 2 6 3 15" xfId="8380"/>
    <cellStyle name="Normal 4 2 6 3 2" xfId="3756"/>
    <cellStyle name="Normal 4 2 6 3 3" xfId="3763"/>
    <cellStyle name="Normal 4 2 6 3 4" xfId="3764"/>
    <cellStyle name="Normal 4 2 6 3 5" xfId="3765"/>
    <cellStyle name="Normal 4 2 6 3 6" xfId="3766"/>
    <cellStyle name="Normal 4 2 6 3 7" xfId="3767"/>
    <cellStyle name="Normal 4 2 6 3 8" xfId="3768"/>
    <cellStyle name="Normal 4 2 6 3 9" xfId="3769"/>
    <cellStyle name="Normal 4 2 6 4" xfId="260"/>
    <cellStyle name="Normal 4 2 6 4 10" xfId="3771"/>
    <cellStyle name="Normal 4 2 6 4 11" xfId="3772"/>
    <cellStyle name="Normal 4 2 6 4 12" xfId="3773"/>
    <cellStyle name="Normal 4 2 6 4 13" xfId="3774"/>
    <cellStyle name="Normal 4 2 6 4 14" xfId="3775"/>
    <cellStyle name="Normal 4 2 6 4 15" xfId="8363"/>
    <cellStyle name="Normal 4 2 6 4 2" xfId="3770"/>
    <cellStyle name="Normal 4 2 6 4 3" xfId="3777"/>
    <cellStyle name="Normal 4 2 6 4 4" xfId="3778"/>
    <cellStyle name="Normal 4 2 6 4 5" xfId="3779"/>
    <cellStyle name="Normal 4 2 6 4 6" xfId="3780"/>
    <cellStyle name="Normal 4 2 6 4 7" xfId="3781"/>
    <cellStyle name="Normal 4 2 6 4 8" xfId="3782"/>
    <cellStyle name="Normal 4 2 6 4 9" xfId="3783"/>
    <cellStyle name="Normal 4 2 6 5" xfId="261"/>
    <cellStyle name="Normal 4 2 6 5 10" xfId="3785"/>
    <cellStyle name="Normal 4 2 6 5 11" xfId="3786"/>
    <cellStyle name="Normal 4 2 6 5 12" xfId="3787"/>
    <cellStyle name="Normal 4 2 6 5 13" xfId="3788"/>
    <cellStyle name="Normal 4 2 6 5 14" xfId="3789"/>
    <cellStyle name="Normal 4 2 6 5 15" xfId="8348"/>
    <cellStyle name="Normal 4 2 6 5 2" xfId="3784"/>
    <cellStyle name="Normal 4 2 6 5 3" xfId="3791"/>
    <cellStyle name="Normal 4 2 6 5 4" xfId="3792"/>
    <cellStyle name="Normal 4 2 6 5 5" xfId="3793"/>
    <cellStyle name="Normal 4 2 6 5 6" xfId="3794"/>
    <cellStyle name="Normal 4 2 6 5 7" xfId="3795"/>
    <cellStyle name="Normal 4 2 6 5 8" xfId="3796"/>
    <cellStyle name="Normal 4 2 6 5 9" xfId="3797"/>
    <cellStyle name="Normal 4 2 6 6" xfId="262"/>
    <cellStyle name="Normal 4 2 6 6 10" xfId="3799"/>
    <cellStyle name="Normal 4 2 6 6 11" xfId="3800"/>
    <cellStyle name="Normal 4 2 6 6 12" xfId="3801"/>
    <cellStyle name="Normal 4 2 6 6 13" xfId="3802"/>
    <cellStyle name="Normal 4 2 6 6 14" xfId="3803"/>
    <cellStyle name="Normal 4 2 6 6 15" xfId="8329"/>
    <cellStyle name="Normal 4 2 6 6 2" xfId="3798"/>
    <cellStyle name="Normal 4 2 6 6 3" xfId="3805"/>
    <cellStyle name="Normal 4 2 6 6 4" xfId="3806"/>
    <cellStyle name="Normal 4 2 6 6 5" xfId="3807"/>
    <cellStyle name="Normal 4 2 6 6 6" xfId="3808"/>
    <cellStyle name="Normal 4 2 6 6 7" xfId="3809"/>
    <cellStyle name="Normal 4 2 6 6 8" xfId="3810"/>
    <cellStyle name="Normal 4 2 6 6 9" xfId="3811"/>
    <cellStyle name="Normal 4 2 6 7" xfId="263"/>
    <cellStyle name="Normal 4 2 6 7 10" xfId="3813"/>
    <cellStyle name="Normal 4 2 6 7 11" xfId="3814"/>
    <cellStyle name="Normal 4 2 6 7 12" xfId="3815"/>
    <cellStyle name="Normal 4 2 6 7 13" xfId="3816"/>
    <cellStyle name="Normal 4 2 6 7 14" xfId="3817"/>
    <cellStyle name="Normal 4 2 6 7 15" xfId="8315"/>
    <cellStyle name="Normal 4 2 6 7 2" xfId="3812"/>
    <cellStyle name="Normal 4 2 6 7 3" xfId="3819"/>
    <cellStyle name="Normal 4 2 6 7 4" xfId="3820"/>
    <cellStyle name="Normal 4 2 6 7 5" xfId="3821"/>
    <cellStyle name="Normal 4 2 6 7 6" xfId="3822"/>
    <cellStyle name="Normal 4 2 6 7 7" xfId="3823"/>
    <cellStyle name="Normal 4 2 6 7 8" xfId="3824"/>
    <cellStyle name="Normal 4 2 6 7 9" xfId="3825"/>
    <cellStyle name="Normal 4 2 6 8" xfId="264"/>
    <cellStyle name="Normal 4 2 6 8 10" xfId="3827"/>
    <cellStyle name="Normal 4 2 6 8 11" xfId="3828"/>
    <cellStyle name="Normal 4 2 6 8 12" xfId="3829"/>
    <cellStyle name="Normal 4 2 6 8 13" xfId="3830"/>
    <cellStyle name="Normal 4 2 6 8 14" xfId="3831"/>
    <cellStyle name="Normal 4 2 6 8 15" xfId="8301"/>
    <cellStyle name="Normal 4 2 6 8 2" xfId="3826"/>
    <cellStyle name="Normal 4 2 6 8 3" xfId="3833"/>
    <cellStyle name="Normal 4 2 6 8 4" xfId="3834"/>
    <cellStyle name="Normal 4 2 6 8 5" xfId="3835"/>
    <cellStyle name="Normal 4 2 6 8 6" xfId="3836"/>
    <cellStyle name="Normal 4 2 6 8 7" xfId="3837"/>
    <cellStyle name="Normal 4 2 6 8 8" xfId="3838"/>
    <cellStyle name="Normal 4 2 6 8 9" xfId="3839"/>
    <cellStyle name="Normal 4 2 6 9" xfId="265"/>
    <cellStyle name="Normal 4 2 6 9 2" xfId="3840"/>
    <cellStyle name="Normal 4 2 6 9 3" xfId="8287"/>
    <cellStyle name="Normal 4 2 7" xfId="266"/>
    <cellStyle name="Normal 4 2 7 10" xfId="267"/>
    <cellStyle name="Normal 4 2 7 10 2" xfId="3842"/>
    <cellStyle name="Normal 4 2 7 10 3" xfId="8259"/>
    <cellStyle name="Normal 4 2 7 11" xfId="3841"/>
    <cellStyle name="Normal 4 2 7 12" xfId="3844"/>
    <cellStyle name="Normal 4 2 7 13" xfId="3845"/>
    <cellStyle name="Normal 4 2 7 14" xfId="3846"/>
    <cellStyle name="Normal 4 2 7 15" xfId="3847"/>
    <cellStyle name="Normal 4 2 7 16" xfId="3848"/>
    <cellStyle name="Normal 4 2 7 17" xfId="3849"/>
    <cellStyle name="Normal 4 2 7 18" xfId="3850"/>
    <cellStyle name="Normal 4 2 7 19" xfId="3851"/>
    <cellStyle name="Normal 4 2 7 2" xfId="268"/>
    <cellStyle name="Normal 4 2 7 2 10" xfId="3853"/>
    <cellStyle name="Normal 4 2 7 2 11" xfId="3854"/>
    <cellStyle name="Normal 4 2 7 2 12" xfId="3855"/>
    <cellStyle name="Normal 4 2 7 2 13" xfId="3856"/>
    <cellStyle name="Normal 4 2 7 2 14" xfId="3857"/>
    <cellStyle name="Normal 4 2 7 2 15" xfId="8242"/>
    <cellStyle name="Normal 4 2 7 2 2" xfId="3852"/>
    <cellStyle name="Normal 4 2 7 2 3" xfId="3859"/>
    <cellStyle name="Normal 4 2 7 2 4" xfId="3860"/>
    <cellStyle name="Normal 4 2 7 2 5" xfId="3861"/>
    <cellStyle name="Normal 4 2 7 2 6" xfId="3862"/>
    <cellStyle name="Normal 4 2 7 2 7" xfId="3863"/>
    <cellStyle name="Normal 4 2 7 2 8" xfId="3864"/>
    <cellStyle name="Normal 4 2 7 2 9" xfId="3865"/>
    <cellStyle name="Normal 4 2 7 20" xfId="3866"/>
    <cellStyle name="Normal 4 2 7 21" xfId="3867"/>
    <cellStyle name="Normal 4 2 7 22" xfId="3868"/>
    <cellStyle name="Normal 4 2 7 23" xfId="8273"/>
    <cellStyle name="Normal 4 2 7 3" xfId="269"/>
    <cellStyle name="Normal 4 2 7 3 10" xfId="3870"/>
    <cellStyle name="Normal 4 2 7 3 11" xfId="3871"/>
    <cellStyle name="Normal 4 2 7 3 12" xfId="3872"/>
    <cellStyle name="Normal 4 2 7 3 13" xfId="3873"/>
    <cellStyle name="Normal 4 2 7 3 14" xfId="3874"/>
    <cellStyle name="Normal 4 2 7 3 15" xfId="8227"/>
    <cellStyle name="Normal 4 2 7 3 2" xfId="3869"/>
    <cellStyle name="Normal 4 2 7 3 3" xfId="3876"/>
    <cellStyle name="Normal 4 2 7 3 4" xfId="3877"/>
    <cellStyle name="Normal 4 2 7 3 5" xfId="3878"/>
    <cellStyle name="Normal 4 2 7 3 6" xfId="3879"/>
    <cellStyle name="Normal 4 2 7 3 7" xfId="3880"/>
    <cellStyle name="Normal 4 2 7 3 8" xfId="3881"/>
    <cellStyle name="Normal 4 2 7 3 9" xfId="3882"/>
    <cellStyle name="Normal 4 2 7 4" xfId="270"/>
    <cellStyle name="Normal 4 2 7 4 10" xfId="3884"/>
    <cellStyle name="Normal 4 2 7 4 11" xfId="3885"/>
    <cellStyle name="Normal 4 2 7 4 12" xfId="3886"/>
    <cellStyle name="Normal 4 2 7 4 13" xfId="3887"/>
    <cellStyle name="Normal 4 2 7 4 14" xfId="3888"/>
    <cellStyle name="Normal 4 2 7 4 15" xfId="8221"/>
    <cellStyle name="Normal 4 2 7 4 2" xfId="3883"/>
    <cellStyle name="Normal 4 2 7 4 3" xfId="3890"/>
    <cellStyle name="Normal 4 2 7 4 4" xfId="3891"/>
    <cellStyle name="Normal 4 2 7 4 5" xfId="3892"/>
    <cellStyle name="Normal 4 2 7 4 6" xfId="3893"/>
    <cellStyle name="Normal 4 2 7 4 7" xfId="3894"/>
    <cellStyle name="Normal 4 2 7 4 8" xfId="3895"/>
    <cellStyle name="Normal 4 2 7 4 9" xfId="3896"/>
    <cellStyle name="Normal 4 2 7 5" xfId="271"/>
    <cellStyle name="Normal 4 2 7 5 10" xfId="3898"/>
    <cellStyle name="Normal 4 2 7 5 11" xfId="3899"/>
    <cellStyle name="Normal 4 2 7 5 12" xfId="3900"/>
    <cellStyle name="Normal 4 2 7 5 13" xfId="3901"/>
    <cellStyle name="Normal 4 2 7 5 14" xfId="3902"/>
    <cellStyle name="Normal 4 2 7 5 15" xfId="8211"/>
    <cellStyle name="Normal 4 2 7 5 2" xfId="3897"/>
    <cellStyle name="Normal 4 2 7 5 3" xfId="3904"/>
    <cellStyle name="Normal 4 2 7 5 4" xfId="3905"/>
    <cellStyle name="Normal 4 2 7 5 5" xfId="3906"/>
    <cellStyle name="Normal 4 2 7 5 6" xfId="3907"/>
    <cellStyle name="Normal 4 2 7 5 7" xfId="3908"/>
    <cellStyle name="Normal 4 2 7 5 8" xfId="3909"/>
    <cellStyle name="Normal 4 2 7 5 9" xfId="3910"/>
    <cellStyle name="Normal 4 2 7 6" xfId="272"/>
    <cellStyle name="Normal 4 2 7 6 10" xfId="3912"/>
    <cellStyle name="Normal 4 2 7 6 11" xfId="3913"/>
    <cellStyle name="Normal 4 2 7 6 12" xfId="3914"/>
    <cellStyle name="Normal 4 2 7 6 13" xfId="3915"/>
    <cellStyle name="Normal 4 2 7 6 14" xfId="3916"/>
    <cellStyle name="Normal 4 2 7 6 15" xfId="8197"/>
    <cellStyle name="Normal 4 2 7 6 2" xfId="3911"/>
    <cellStyle name="Normal 4 2 7 6 3" xfId="3918"/>
    <cellStyle name="Normal 4 2 7 6 4" xfId="3919"/>
    <cellStyle name="Normal 4 2 7 6 5" xfId="3920"/>
    <cellStyle name="Normal 4 2 7 6 6" xfId="3921"/>
    <cellStyle name="Normal 4 2 7 6 7" xfId="3922"/>
    <cellStyle name="Normal 4 2 7 6 8" xfId="3923"/>
    <cellStyle name="Normal 4 2 7 6 9" xfId="3924"/>
    <cellStyle name="Normal 4 2 7 7" xfId="273"/>
    <cellStyle name="Normal 4 2 7 7 10" xfId="3926"/>
    <cellStyle name="Normal 4 2 7 7 11" xfId="3927"/>
    <cellStyle name="Normal 4 2 7 7 12" xfId="3928"/>
    <cellStyle name="Normal 4 2 7 7 13" xfId="3929"/>
    <cellStyle name="Normal 4 2 7 7 14" xfId="3930"/>
    <cellStyle name="Normal 4 2 7 7 15" xfId="8183"/>
    <cellStyle name="Normal 4 2 7 7 2" xfId="3925"/>
    <cellStyle name="Normal 4 2 7 7 3" xfId="3932"/>
    <cellStyle name="Normal 4 2 7 7 4" xfId="3933"/>
    <cellStyle name="Normal 4 2 7 7 5" xfId="3934"/>
    <cellStyle name="Normal 4 2 7 7 6" xfId="3935"/>
    <cellStyle name="Normal 4 2 7 7 7" xfId="3936"/>
    <cellStyle name="Normal 4 2 7 7 8" xfId="3937"/>
    <cellStyle name="Normal 4 2 7 7 9" xfId="3938"/>
    <cellStyle name="Normal 4 2 7 8" xfId="274"/>
    <cellStyle name="Normal 4 2 7 8 10" xfId="3940"/>
    <cellStyle name="Normal 4 2 7 8 11" xfId="3941"/>
    <cellStyle name="Normal 4 2 7 8 12" xfId="3942"/>
    <cellStyle name="Normal 4 2 7 8 13" xfId="3943"/>
    <cellStyle name="Normal 4 2 7 8 14" xfId="3944"/>
    <cellStyle name="Normal 4 2 7 8 15" xfId="8169"/>
    <cellStyle name="Normal 4 2 7 8 2" xfId="3939"/>
    <cellStyle name="Normal 4 2 7 8 3" xfId="3946"/>
    <cellStyle name="Normal 4 2 7 8 4" xfId="3947"/>
    <cellStyle name="Normal 4 2 7 8 5" xfId="3948"/>
    <cellStyle name="Normal 4 2 7 8 6" xfId="3949"/>
    <cellStyle name="Normal 4 2 7 8 7" xfId="3950"/>
    <cellStyle name="Normal 4 2 7 8 8" xfId="3951"/>
    <cellStyle name="Normal 4 2 7 8 9" xfId="3952"/>
    <cellStyle name="Normal 4 2 7 9" xfId="275"/>
    <cellStyle name="Normal 4 2 7 9 2" xfId="3953"/>
    <cellStyle name="Normal 4 2 7 9 3" xfId="8154"/>
    <cellStyle name="Normal 4 2 8" xfId="276"/>
    <cellStyle name="Normal 4 2 8 10" xfId="277"/>
    <cellStyle name="Normal 4 2 8 10 2" xfId="3955"/>
    <cellStyle name="Normal 4 2 8 10 3" xfId="8125"/>
    <cellStyle name="Normal 4 2 8 11" xfId="3954"/>
    <cellStyle name="Normal 4 2 8 12" xfId="3957"/>
    <cellStyle name="Normal 4 2 8 13" xfId="3958"/>
    <cellStyle name="Normal 4 2 8 14" xfId="3959"/>
    <cellStyle name="Normal 4 2 8 15" xfId="3960"/>
    <cellStyle name="Normal 4 2 8 16" xfId="3961"/>
    <cellStyle name="Normal 4 2 8 17" xfId="3962"/>
    <cellStyle name="Normal 4 2 8 18" xfId="3963"/>
    <cellStyle name="Normal 4 2 8 19" xfId="3964"/>
    <cellStyle name="Normal 4 2 8 2" xfId="278"/>
    <cellStyle name="Normal 4 2 8 2 10" xfId="3966"/>
    <cellStyle name="Normal 4 2 8 2 11" xfId="3967"/>
    <cellStyle name="Normal 4 2 8 2 12" xfId="3968"/>
    <cellStyle name="Normal 4 2 8 2 13" xfId="3969"/>
    <cellStyle name="Normal 4 2 8 2 14" xfId="3970"/>
    <cellStyle name="Normal 4 2 8 2 15" xfId="8111"/>
    <cellStyle name="Normal 4 2 8 2 2" xfId="3965"/>
    <cellStyle name="Normal 4 2 8 2 3" xfId="3972"/>
    <cellStyle name="Normal 4 2 8 2 4" xfId="3973"/>
    <cellStyle name="Normal 4 2 8 2 5" xfId="3974"/>
    <cellStyle name="Normal 4 2 8 2 6" xfId="3975"/>
    <cellStyle name="Normal 4 2 8 2 7" xfId="3976"/>
    <cellStyle name="Normal 4 2 8 2 8" xfId="3977"/>
    <cellStyle name="Normal 4 2 8 2 9" xfId="3978"/>
    <cellStyle name="Normal 4 2 8 20" xfId="3979"/>
    <cellStyle name="Normal 4 2 8 21" xfId="3980"/>
    <cellStyle name="Normal 4 2 8 22" xfId="3981"/>
    <cellStyle name="Normal 4 2 8 23" xfId="8139"/>
    <cellStyle name="Normal 4 2 8 3" xfId="279"/>
    <cellStyle name="Normal 4 2 8 3 10" xfId="3983"/>
    <cellStyle name="Normal 4 2 8 3 11" xfId="3984"/>
    <cellStyle name="Normal 4 2 8 3 12" xfId="3985"/>
    <cellStyle name="Normal 4 2 8 3 13" xfId="3986"/>
    <cellStyle name="Normal 4 2 8 3 14" xfId="3987"/>
    <cellStyle name="Normal 4 2 8 3 15" xfId="8097"/>
    <cellStyle name="Normal 4 2 8 3 2" xfId="3982"/>
    <cellStyle name="Normal 4 2 8 3 3" xfId="3989"/>
    <cellStyle name="Normal 4 2 8 3 4" xfId="3990"/>
    <cellStyle name="Normal 4 2 8 3 5" xfId="3991"/>
    <cellStyle name="Normal 4 2 8 3 6" xfId="3992"/>
    <cellStyle name="Normal 4 2 8 3 7" xfId="3993"/>
    <cellStyle name="Normal 4 2 8 3 8" xfId="3994"/>
    <cellStyle name="Normal 4 2 8 3 9" xfId="3995"/>
    <cellStyle name="Normal 4 2 8 4" xfId="280"/>
    <cellStyle name="Normal 4 2 8 4 10" xfId="3997"/>
    <cellStyle name="Normal 4 2 8 4 11" xfId="3998"/>
    <cellStyle name="Normal 4 2 8 4 12" xfId="3999"/>
    <cellStyle name="Normal 4 2 8 4 13" xfId="4000"/>
    <cellStyle name="Normal 4 2 8 4 14" xfId="4001"/>
    <cellStyle name="Normal 4 2 8 4 15" xfId="8083"/>
    <cellStyle name="Normal 4 2 8 4 2" xfId="3996"/>
    <cellStyle name="Normal 4 2 8 4 3" xfId="4003"/>
    <cellStyle name="Normal 4 2 8 4 4" xfId="4004"/>
    <cellStyle name="Normal 4 2 8 4 5" xfId="4005"/>
    <cellStyle name="Normal 4 2 8 4 6" xfId="4006"/>
    <cellStyle name="Normal 4 2 8 4 7" xfId="4007"/>
    <cellStyle name="Normal 4 2 8 4 8" xfId="4008"/>
    <cellStyle name="Normal 4 2 8 4 9" xfId="4009"/>
    <cellStyle name="Normal 4 2 8 5" xfId="281"/>
    <cellStyle name="Normal 4 2 8 5 10" xfId="4011"/>
    <cellStyle name="Normal 4 2 8 5 11" xfId="4012"/>
    <cellStyle name="Normal 4 2 8 5 12" xfId="4013"/>
    <cellStyle name="Normal 4 2 8 5 13" xfId="4014"/>
    <cellStyle name="Normal 4 2 8 5 14" xfId="4015"/>
    <cellStyle name="Normal 4 2 8 5 15" xfId="8069"/>
    <cellStyle name="Normal 4 2 8 5 2" xfId="4010"/>
    <cellStyle name="Normal 4 2 8 5 3" xfId="4017"/>
    <cellStyle name="Normal 4 2 8 5 4" xfId="4018"/>
    <cellStyle name="Normal 4 2 8 5 5" xfId="4019"/>
    <cellStyle name="Normal 4 2 8 5 6" xfId="4020"/>
    <cellStyle name="Normal 4 2 8 5 7" xfId="4021"/>
    <cellStyle name="Normal 4 2 8 5 8" xfId="4022"/>
    <cellStyle name="Normal 4 2 8 5 9" xfId="4023"/>
    <cellStyle name="Normal 4 2 8 6" xfId="282"/>
    <cellStyle name="Normal 4 2 8 6 10" xfId="4025"/>
    <cellStyle name="Normal 4 2 8 6 11" xfId="4026"/>
    <cellStyle name="Normal 4 2 8 6 12" xfId="4027"/>
    <cellStyle name="Normal 4 2 8 6 13" xfId="4028"/>
    <cellStyle name="Normal 4 2 8 6 14" xfId="4029"/>
    <cellStyle name="Normal 4 2 8 6 15" xfId="8052"/>
    <cellStyle name="Normal 4 2 8 6 2" xfId="4024"/>
    <cellStyle name="Normal 4 2 8 6 3" xfId="4031"/>
    <cellStyle name="Normal 4 2 8 6 4" xfId="4032"/>
    <cellStyle name="Normal 4 2 8 6 5" xfId="4033"/>
    <cellStyle name="Normal 4 2 8 6 6" xfId="4034"/>
    <cellStyle name="Normal 4 2 8 6 7" xfId="4035"/>
    <cellStyle name="Normal 4 2 8 6 8" xfId="4036"/>
    <cellStyle name="Normal 4 2 8 6 9" xfId="4037"/>
    <cellStyle name="Normal 4 2 8 7" xfId="283"/>
    <cellStyle name="Normal 4 2 8 7 10" xfId="4039"/>
    <cellStyle name="Normal 4 2 8 7 11" xfId="4040"/>
    <cellStyle name="Normal 4 2 8 7 12" xfId="4041"/>
    <cellStyle name="Normal 4 2 8 7 13" xfId="4042"/>
    <cellStyle name="Normal 4 2 8 7 14" xfId="4043"/>
    <cellStyle name="Normal 4 2 8 7 15" xfId="8037"/>
    <cellStyle name="Normal 4 2 8 7 2" xfId="4038"/>
    <cellStyle name="Normal 4 2 8 7 3" xfId="4045"/>
    <cellStyle name="Normal 4 2 8 7 4" xfId="4046"/>
    <cellStyle name="Normal 4 2 8 7 5" xfId="4047"/>
    <cellStyle name="Normal 4 2 8 7 6" xfId="4048"/>
    <cellStyle name="Normal 4 2 8 7 7" xfId="4049"/>
    <cellStyle name="Normal 4 2 8 7 8" xfId="4050"/>
    <cellStyle name="Normal 4 2 8 7 9" xfId="4051"/>
    <cellStyle name="Normal 4 2 8 8" xfId="284"/>
    <cellStyle name="Normal 4 2 8 8 10" xfId="4053"/>
    <cellStyle name="Normal 4 2 8 8 11" xfId="4054"/>
    <cellStyle name="Normal 4 2 8 8 12" xfId="4055"/>
    <cellStyle name="Normal 4 2 8 8 13" xfId="4056"/>
    <cellStyle name="Normal 4 2 8 8 14" xfId="4057"/>
    <cellStyle name="Normal 4 2 8 8 15" xfId="8026"/>
    <cellStyle name="Normal 4 2 8 8 2" xfId="4052"/>
    <cellStyle name="Normal 4 2 8 8 3" xfId="4059"/>
    <cellStyle name="Normal 4 2 8 8 4" xfId="4060"/>
    <cellStyle name="Normal 4 2 8 8 5" xfId="4061"/>
    <cellStyle name="Normal 4 2 8 8 6" xfId="4062"/>
    <cellStyle name="Normal 4 2 8 8 7" xfId="4063"/>
    <cellStyle name="Normal 4 2 8 8 8" xfId="4064"/>
    <cellStyle name="Normal 4 2 8 8 9" xfId="4065"/>
    <cellStyle name="Normal 4 2 8 9" xfId="285"/>
    <cellStyle name="Normal 4 2 8 9 2" xfId="4066"/>
    <cellStyle name="Normal 4 2 8 9 3" xfId="8012"/>
    <cellStyle name="Normal 4 2 9" xfId="286"/>
    <cellStyle name="Normal 4 2 9 10" xfId="4068"/>
    <cellStyle name="Normal 4 2 9 11" xfId="4069"/>
    <cellStyle name="Normal 4 2 9 12" xfId="4070"/>
    <cellStyle name="Normal 4 2 9 13" xfId="4071"/>
    <cellStyle name="Normal 4 2 9 14" xfId="4072"/>
    <cellStyle name="Normal 4 2 9 15" xfId="7998"/>
    <cellStyle name="Normal 4 2 9 2" xfId="4067"/>
    <cellStyle name="Normal 4 2 9 3" xfId="4074"/>
    <cellStyle name="Normal 4 2 9 4" xfId="4075"/>
    <cellStyle name="Normal 4 2 9 5" xfId="4076"/>
    <cellStyle name="Normal 4 2 9 6" xfId="4077"/>
    <cellStyle name="Normal 4 2 9 7" xfId="4078"/>
    <cellStyle name="Normal 4 2 9 8" xfId="4079"/>
    <cellStyle name="Normal 4 2 9 9" xfId="4080"/>
    <cellStyle name="Normal 4 20" xfId="287"/>
    <cellStyle name="Normal 4 20 2" xfId="4081"/>
    <cellStyle name="Normal 4 20 3" xfId="7984"/>
    <cellStyle name="Normal 4 21" xfId="1002"/>
    <cellStyle name="Normal 4 21 2" xfId="4082"/>
    <cellStyle name="Normal 4 22" xfId="1013"/>
    <cellStyle name="Normal 4 22 2" xfId="4083"/>
    <cellStyle name="Normal 4 23" xfId="1027"/>
    <cellStyle name="Normal 4 23 2" xfId="4084"/>
    <cellStyle name="Normal 4 24" xfId="1721"/>
    <cellStyle name="Normal 4 25" xfId="4086"/>
    <cellStyle name="Normal 4 26" xfId="4087"/>
    <cellStyle name="Normal 4 27" xfId="4088"/>
    <cellStyle name="Normal 4 28" xfId="4089"/>
    <cellStyle name="Normal 4 29" xfId="4090"/>
    <cellStyle name="Normal 4 3" xfId="288"/>
    <cellStyle name="Normal 4 3 10" xfId="289"/>
    <cellStyle name="Normal 4 3 10 10" xfId="4093"/>
    <cellStyle name="Normal 4 3 10 11" xfId="4094"/>
    <cellStyle name="Normal 4 3 10 12" xfId="4095"/>
    <cellStyle name="Normal 4 3 10 13" xfId="4096"/>
    <cellStyle name="Normal 4 3 10 14" xfId="4097"/>
    <cellStyle name="Normal 4 3 10 15" xfId="7956"/>
    <cellStyle name="Normal 4 3 10 2" xfId="4092"/>
    <cellStyle name="Normal 4 3 10 3" xfId="4099"/>
    <cellStyle name="Normal 4 3 10 4" xfId="4100"/>
    <cellStyle name="Normal 4 3 10 5" xfId="4101"/>
    <cellStyle name="Normal 4 3 10 6" xfId="4102"/>
    <cellStyle name="Normal 4 3 10 7" xfId="4103"/>
    <cellStyle name="Normal 4 3 10 8" xfId="4104"/>
    <cellStyle name="Normal 4 3 10 9" xfId="4105"/>
    <cellStyle name="Normal 4 3 11" xfId="290"/>
    <cellStyle name="Normal 4 3 11 10" xfId="4107"/>
    <cellStyle name="Normal 4 3 11 11" xfId="4108"/>
    <cellStyle name="Normal 4 3 11 12" xfId="4109"/>
    <cellStyle name="Normal 4 3 11 13" xfId="4110"/>
    <cellStyle name="Normal 4 3 11 14" xfId="4111"/>
    <cellStyle name="Normal 4 3 11 15" xfId="7939"/>
    <cellStyle name="Normal 4 3 11 2" xfId="4106"/>
    <cellStyle name="Normal 4 3 11 3" xfId="4113"/>
    <cellStyle name="Normal 4 3 11 4" xfId="4114"/>
    <cellStyle name="Normal 4 3 11 5" xfId="4115"/>
    <cellStyle name="Normal 4 3 11 6" xfId="4116"/>
    <cellStyle name="Normal 4 3 11 7" xfId="4117"/>
    <cellStyle name="Normal 4 3 11 8" xfId="4118"/>
    <cellStyle name="Normal 4 3 11 9" xfId="4119"/>
    <cellStyle name="Normal 4 3 12" xfId="291"/>
    <cellStyle name="Normal 4 3 12 10" xfId="4121"/>
    <cellStyle name="Normal 4 3 12 11" xfId="4122"/>
    <cellStyle name="Normal 4 3 12 12" xfId="4123"/>
    <cellStyle name="Normal 4 3 12 13" xfId="4124"/>
    <cellStyle name="Normal 4 3 12 14" xfId="4125"/>
    <cellStyle name="Normal 4 3 12 15" xfId="7924"/>
    <cellStyle name="Normal 4 3 12 2" xfId="4120"/>
    <cellStyle name="Normal 4 3 12 3" xfId="4127"/>
    <cellStyle name="Normal 4 3 12 4" xfId="4128"/>
    <cellStyle name="Normal 4 3 12 5" xfId="4129"/>
    <cellStyle name="Normal 4 3 12 6" xfId="4130"/>
    <cellStyle name="Normal 4 3 12 7" xfId="4131"/>
    <cellStyle name="Normal 4 3 12 8" xfId="4132"/>
    <cellStyle name="Normal 4 3 12 9" xfId="4133"/>
    <cellStyle name="Normal 4 3 13" xfId="292"/>
    <cellStyle name="Normal 4 3 13 10" xfId="4135"/>
    <cellStyle name="Normal 4 3 13 11" xfId="4136"/>
    <cellStyle name="Normal 4 3 13 12" xfId="4137"/>
    <cellStyle name="Normal 4 3 13 13" xfId="4138"/>
    <cellStyle name="Normal 4 3 13 14" xfId="4139"/>
    <cellStyle name="Normal 4 3 13 15" xfId="7913"/>
    <cellStyle name="Normal 4 3 13 2" xfId="4134"/>
    <cellStyle name="Normal 4 3 13 3" xfId="4141"/>
    <cellStyle name="Normal 4 3 13 4" xfId="4142"/>
    <cellStyle name="Normal 4 3 13 5" xfId="4143"/>
    <cellStyle name="Normal 4 3 13 6" xfId="4144"/>
    <cellStyle name="Normal 4 3 13 7" xfId="4145"/>
    <cellStyle name="Normal 4 3 13 8" xfId="4146"/>
    <cellStyle name="Normal 4 3 13 9" xfId="4147"/>
    <cellStyle name="Normal 4 3 14" xfId="293"/>
    <cellStyle name="Normal 4 3 14 10" xfId="4149"/>
    <cellStyle name="Normal 4 3 14 11" xfId="4150"/>
    <cellStyle name="Normal 4 3 14 12" xfId="4151"/>
    <cellStyle name="Normal 4 3 14 13" xfId="4152"/>
    <cellStyle name="Normal 4 3 14 14" xfId="4153"/>
    <cellStyle name="Normal 4 3 14 15" xfId="7899"/>
    <cellStyle name="Normal 4 3 14 2" xfId="4148"/>
    <cellStyle name="Normal 4 3 14 3" xfId="4155"/>
    <cellStyle name="Normal 4 3 14 4" xfId="4156"/>
    <cellStyle name="Normal 4 3 14 5" xfId="4157"/>
    <cellStyle name="Normal 4 3 14 6" xfId="4158"/>
    <cellStyle name="Normal 4 3 14 7" xfId="4159"/>
    <cellStyle name="Normal 4 3 14 8" xfId="4160"/>
    <cellStyle name="Normal 4 3 14 9" xfId="4161"/>
    <cellStyle name="Normal 4 3 15" xfId="294"/>
    <cellStyle name="Normal 4 3 15 10" xfId="4163"/>
    <cellStyle name="Normal 4 3 15 11" xfId="4164"/>
    <cellStyle name="Normal 4 3 15 12" xfId="4165"/>
    <cellStyle name="Normal 4 3 15 13" xfId="4166"/>
    <cellStyle name="Normal 4 3 15 14" xfId="4167"/>
    <cellStyle name="Normal 4 3 15 15" xfId="7885"/>
    <cellStyle name="Normal 4 3 15 2" xfId="4162"/>
    <cellStyle name="Normal 4 3 15 3" xfId="4169"/>
    <cellStyle name="Normal 4 3 15 4" xfId="4170"/>
    <cellStyle name="Normal 4 3 15 5" xfId="4171"/>
    <cellStyle name="Normal 4 3 15 6" xfId="4172"/>
    <cellStyle name="Normal 4 3 15 7" xfId="4173"/>
    <cellStyle name="Normal 4 3 15 8" xfId="4174"/>
    <cellStyle name="Normal 4 3 15 9" xfId="4175"/>
    <cellStyle name="Normal 4 3 16" xfId="295"/>
    <cellStyle name="Normal 4 3 16 2" xfId="4176"/>
    <cellStyle name="Normal 4 3 16 3" xfId="7871"/>
    <cellStyle name="Normal 4 3 17" xfId="296"/>
    <cellStyle name="Normal 4 3 17 2" xfId="4177"/>
    <cellStyle name="Normal 4 3 17 3" xfId="7857"/>
    <cellStyle name="Normal 4 3 18" xfId="4091"/>
    <cellStyle name="Normal 4 3 19" xfId="4179"/>
    <cellStyle name="Normal 4 3 2" xfId="297"/>
    <cellStyle name="Normal 4 3 2 10" xfId="298"/>
    <cellStyle name="Normal 4 3 2 10 10" xfId="4182"/>
    <cellStyle name="Normal 4 3 2 10 11" xfId="4183"/>
    <cellStyle name="Normal 4 3 2 10 12" xfId="4184"/>
    <cellStyle name="Normal 4 3 2 10 13" xfId="4185"/>
    <cellStyle name="Normal 4 3 2 10 14" xfId="4186"/>
    <cellStyle name="Normal 4 3 2 10 15" xfId="7826"/>
    <cellStyle name="Normal 4 3 2 10 2" xfId="4181"/>
    <cellStyle name="Normal 4 3 2 10 3" xfId="4188"/>
    <cellStyle name="Normal 4 3 2 10 4" xfId="4189"/>
    <cellStyle name="Normal 4 3 2 10 5" xfId="4190"/>
    <cellStyle name="Normal 4 3 2 10 6" xfId="4191"/>
    <cellStyle name="Normal 4 3 2 10 7" xfId="4192"/>
    <cellStyle name="Normal 4 3 2 10 8" xfId="4193"/>
    <cellStyle name="Normal 4 3 2 10 9" xfId="4194"/>
    <cellStyle name="Normal 4 3 2 11" xfId="299"/>
    <cellStyle name="Normal 4 3 2 11 10" xfId="4196"/>
    <cellStyle name="Normal 4 3 2 11 11" xfId="4197"/>
    <cellStyle name="Normal 4 3 2 11 12" xfId="4198"/>
    <cellStyle name="Normal 4 3 2 11 13" xfId="4199"/>
    <cellStyle name="Normal 4 3 2 11 14" xfId="4200"/>
    <cellStyle name="Normal 4 3 2 11 15" xfId="7811"/>
    <cellStyle name="Normal 4 3 2 11 2" xfId="4195"/>
    <cellStyle name="Normal 4 3 2 11 3" xfId="4202"/>
    <cellStyle name="Normal 4 3 2 11 4" xfId="4203"/>
    <cellStyle name="Normal 4 3 2 11 5" xfId="4204"/>
    <cellStyle name="Normal 4 3 2 11 6" xfId="4205"/>
    <cellStyle name="Normal 4 3 2 11 7" xfId="4206"/>
    <cellStyle name="Normal 4 3 2 11 8" xfId="4207"/>
    <cellStyle name="Normal 4 3 2 11 9" xfId="4208"/>
    <cellStyle name="Normal 4 3 2 12" xfId="300"/>
    <cellStyle name="Normal 4 3 2 12 10" xfId="4210"/>
    <cellStyle name="Normal 4 3 2 12 11" xfId="4211"/>
    <cellStyle name="Normal 4 3 2 12 12" xfId="4212"/>
    <cellStyle name="Normal 4 3 2 12 13" xfId="4213"/>
    <cellStyle name="Normal 4 3 2 12 14" xfId="4214"/>
    <cellStyle name="Normal 4 3 2 12 15" xfId="7800"/>
    <cellStyle name="Normal 4 3 2 12 2" xfId="4209"/>
    <cellStyle name="Normal 4 3 2 12 3" xfId="4216"/>
    <cellStyle name="Normal 4 3 2 12 4" xfId="4217"/>
    <cellStyle name="Normal 4 3 2 12 5" xfId="4218"/>
    <cellStyle name="Normal 4 3 2 12 6" xfId="4219"/>
    <cellStyle name="Normal 4 3 2 12 7" xfId="4220"/>
    <cellStyle name="Normal 4 3 2 12 8" xfId="4221"/>
    <cellStyle name="Normal 4 3 2 12 9" xfId="4222"/>
    <cellStyle name="Normal 4 3 2 13" xfId="301"/>
    <cellStyle name="Normal 4 3 2 13 10" xfId="4224"/>
    <cellStyle name="Normal 4 3 2 13 11" xfId="4225"/>
    <cellStyle name="Normal 4 3 2 13 12" xfId="4226"/>
    <cellStyle name="Normal 4 3 2 13 13" xfId="4227"/>
    <cellStyle name="Normal 4 3 2 13 14" xfId="4228"/>
    <cellStyle name="Normal 4 3 2 13 15" xfId="7786"/>
    <cellStyle name="Normal 4 3 2 13 2" xfId="4223"/>
    <cellStyle name="Normal 4 3 2 13 3" xfId="4230"/>
    <cellStyle name="Normal 4 3 2 13 4" xfId="4231"/>
    <cellStyle name="Normal 4 3 2 13 5" xfId="4232"/>
    <cellStyle name="Normal 4 3 2 13 6" xfId="4233"/>
    <cellStyle name="Normal 4 3 2 13 7" xfId="4234"/>
    <cellStyle name="Normal 4 3 2 13 8" xfId="4235"/>
    <cellStyle name="Normal 4 3 2 13 9" xfId="4236"/>
    <cellStyle name="Normal 4 3 2 14" xfId="302"/>
    <cellStyle name="Normal 4 3 2 14 2" xfId="4237"/>
    <cellStyle name="Normal 4 3 2 14 3" xfId="7772"/>
    <cellStyle name="Normal 4 3 2 15" xfId="303"/>
    <cellStyle name="Normal 4 3 2 15 2" xfId="4238"/>
    <cellStyle name="Normal 4 3 2 15 3" xfId="7758"/>
    <cellStyle name="Normal 4 3 2 16" xfId="4180"/>
    <cellStyle name="Normal 4 3 2 17" xfId="4240"/>
    <cellStyle name="Normal 4 3 2 18" xfId="4241"/>
    <cellStyle name="Normal 4 3 2 19" xfId="4242"/>
    <cellStyle name="Normal 4 3 2 2" xfId="304"/>
    <cellStyle name="Normal 4 3 2 2 10" xfId="305"/>
    <cellStyle name="Normal 4 3 2 2 10 2" xfId="4244"/>
    <cellStyle name="Normal 4 3 2 2 10 3" xfId="7730"/>
    <cellStyle name="Normal 4 3 2 2 11" xfId="4243"/>
    <cellStyle name="Normal 4 3 2 2 12" xfId="4246"/>
    <cellStyle name="Normal 4 3 2 2 13" xfId="4247"/>
    <cellStyle name="Normal 4 3 2 2 14" xfId="4248"/>
    <cellStyle name="Normal 4 3 2 2 15" xfId="4249"/>
    <cellStyle name="Normal 4 3 2 2 16" xfId="4250"/>
    <cellStyle name="Normal 4 3 2 2 17" xfId="4251"/>
    <cellStyle name="Normal 4 3 2 2 18" xfId="4252"/>
    <cellStyle name="Normal 4 3 2 2 19" xfId="4253"/>
    <cellStyle name="Normal 4 3 2 2 2" xfId="306"/>
    <cellStyle name="Normal 4 3 2 2 2 10" xfId="4255"/>
    <cellStyle name="Normal 4 3 2 2 2 11" xfId="4256"/>
    <cellStyle name="Normal 4 3 2 2 2 12" xfId="4257"/>
    <cellStyle name="Normal 4 3 2 2 2 13" xfId="4258"/>
    <cellStyle name="Normal 4 3 2 2 2 14" xfId="4259"/>
    <cellStyle name="Normal 4 3 2 2 2 15" xfId="7713"/>
    <cellStyle name="Normal 4 3 2 2 2 2" xfId="4254"/>
    <cellStyle name="Normal 4 3 2 2 2 3" xfId="4261"/>
    <cellStyle name="Normal 4 3 2 2 2 4" xfId="4262"/>
    <cellStyle name="Normal 4 3 2 2 2 5" xfId="4263"/>
    <cellStyle name="Normal 4 3 2 2 2 6" xfId="4264"/>
    <cellStyle name="Normal 4 3 2 2 2 7" xfId="4265"/>
    <cellStyle name="Normal 4 3 2 2 2 8" xfId="4266"/>
    <cellStyle name="Normal 4 3 2 2 2 9" xfId="4267"/>
    <cellStyle name="Normal 4 3 2 2 20" xfId="4268"/>
    <cellStyle name="Normal 4 3 2 2 21" xfId="4269"/>
    <cellStyle name="Normal 4 3 2 2 22" xfId="4270"/>
    <cellStyle name="Normal 4 3 2 2 23" xfId="7744"/>
    <cellStyle name="Normal 4 3 2 2 3" xfId="307"/>
    <cellStyle name="Normal 4 3 2 2 3 10" xfId="4272"/>
    <cellStyle name="Normal 4 3 2 2 3 11" xfId="4273"/>
    <cellStyle name="Normal 4 3 2 2 3 12" xfId="4274"/>
    <cellStyle name="Normal 4 3 2 2 3 13" xfId="4275"/>
    <cellStyle name="Normal 4 3 2 2 3 14" xfId="4276"/>
    <cellStyle name="Normal 4 3 2 2 3 15" xfId="7698"/>
    <cellStyle name="Normal 4 3 2 2 3 2" xfId="4271"/>
    <cellStyle name="Normal 4 3 2 2 3 3" xfId="4278"/>
    <cellStyle name="Normal 4 3 2 2 3 4" xfId="4279"/>
    <cellStyle name="Normal 4 3 2 2 3 5" xfId="4280"/>
    <cellStyle name="Normal 4 3 2 2 3 6" xfId="4281"/>
    <cellStyle name="Normal 4 3 2 2 3 7" xfId="4282"/>
    <cellStyle name="Normal 4 3 2 2 3 8" xfId="4283"/>
    <cellStyle name="Normal 4 3 2 2 3 9" xfId="4284"/>
    <cellStyle name="Normal 4 3 2 2 4" xfId="308"/>
    <cellStyle name="Normal 4 3 2 2 4 10" xfId="4286"/>
    <cellStyle name="Normal 4 3 2 2 4 11" xfId="4287"/>
    <cellStyle name="Normal 4 3 2 2 4 12" xfId="4288"/>
    <cellStyle name="Normal 4 3 2 2 4 13" xfId="4289"/>
    <cellStyle name="Normal 4 3 2 2 4 14" xfId="4290"/>
    <cellStyle name="Normal 4 3 2 2 4 15" xfId="7687"/>
    <cellStyle name="Normal 4 3 2 2 4 2" xfId="4285"/>
    <cellStyle name="Normal 4 3 2 2 4 3" xfId="4292"/>
    <cellStyle name="Normal 4 3 2 2 4 4" xfId="4293"/>
    <cellStyle name="Normal 4 3 2 2 4 5" xfId="4294"/>
    <cellStyle name="Normal 4 3 2 2 4 6" xfId="4295"/>
    <cellStyle name="Normal 4 3 2 2 4 7" xfId="4296"/>
    <cellStyle name="Normal 4 3 2 2 4 8" xfId="4297"/>
    <cellStyle name="Normal 4 3 2 2 4 9" xfId="4298"/>
    <cellStyle name="Normal 4 3 2 2 5" xfId="309"/>
    <cellStyle name="Normal 4 3 2 2 5 10" xfId="4300"/>
    <cellStyle name="Normal 4 3 2 2 5 11" xfId="4301"/>
    <cellStyle name="Normal 4 3 2 2 5 12" xfId="4302"/>
    <cellStyle name="Normal 4 3 2 2 5 13" xfId="4303"/>
    <cellStyle name="Normal 4 3 2 2 5 14" xfId="4304"/>
    <cellStyle name="Normal 4 3 2 2 5 15" xfId="7673"/>
    <cellStyle name="Normal 4 3 2 2 5 2" xfId="4299"/>
    <cellStyle name="Normal 4 3 2 2 5 3" xfId="4306"/>
    <cellStyle name="Normal 4 3 2 2 5 4" xfId="4307"/>
    <cellStyle name="Normal 4 3 2 2 5 5" xfId="4308"/>
    <cellStyle name="Normal 4 3 2 2 5 6" xfId="4309"/>
    <cellStyle name="Normal 4 3 2 2 5 7" xfId="4310"/>
    <cellStyle name="Normal 4 3 2 2 5 8" xfId="4311"/>
    <cellStyle name="Normal 4 3 2 2 5 9" xfId="4312"/>
    <cellStyle name="Normal 4 3 2 2 6" xfId="310"/>
    <cellStyle name="Normal 4 3 2 2 6 10" xfId="4314"/>
    <cellStyle name="Normal 4 3 2 2 6 11" xfId="4315"/>
    <cellStyle name="Normal 4 3 2 2 6 12" xfId="4316"/>
    <cellStyle name="Normal 4 3 2 2 6 13" xfId="4317"/>
    <cellStyle name="Normal 4 3 2 2 6 14" xfId="4318"/>
    <cellStyle name="Normal 4 3 2 2 6 15" xfId="7659"/>
    <cellStyle name="Normal 4 3 2 2 6 2" xfId="4313"/>
    <cellStyle name="Normal 4 3 2 2 6 3" xfId="4320"/>
    <cellStyle name="Normal 4 3 2 2 6 4" xfId="4321"/>
    <cellStyle name="Normal 4 3 2 2 6 5" xfId="4322"/>
    <cellStyle name="Normal 4 3 2 2 6 6" xfId="4323"/>
    <cellStyle name="Normal 4 3 2 2 6 7" xfId="4324"/>
    <cellStyle name="Normal 4 3 2 2 6 8" xfId="4325"/>
    <cellStyle name="Normal 4 3 2 2 6 9" xfId="4326"/>
    <cellStyle name="Normal 4 3 2 2 7" xfId="311"/>
    <cellStyle name="Normal 4 3 2 2 7 10" xfId="4328"/>
    <cellStyle name="Normal 4 3 2 2 7 11" xfId="4329"/>
    <cellStyle name="Normal 4 3 2 2 7 12" xfId="4330"/>
    <cellStyle name="Normal 4 3 2 2 7 13" xfId="4331"/>
    <cellStyle name="Normal 4 3 2 2 7 14" xfId="4332"/>
    <cellStyle name="Normal 4 3 2 2 7 15" xfId="7645"/>
    <cellStyle name="Normal 4 3 2 2 7 2" xfId="4327"/>
    <cellStyle name="Normal 4 3 2 2 7 3" xfId="4334"/>
    <cellStyle name="Normal 4 3 2 2 7 4" xfId="4335"/>
    <cellStyle name="Normal 4 3 2 2 7 5" xfId="4336"/>
    <cellStyle name="Normal 4 3 2 2 7 6" xfId="4337"/>
    <cellStyle name="Normal 4 3 2 2 7 7" xfId="4338"/>
    <cellStyle name="Normal 4 3 2 2 7 8" xfId="4339"/>
    <cellStyle name="Normal 4 3 2 2 7 9" xfId="4340"/>
    <cellStyle name="Normal 4 3 2 2 8" xfId="312"/>
    <cellStyle name="Normal 4 3 2 2 8 10" xfId="4342"/>
    <cellStyle name="Normal 4 3 2 2 8 11" xfId="4343"/>
    <cellStyle name="Normal 4 3 2 2 8 12" xfId="4344"/>
    <cellStyle name="Normal 4 3 2 2 8 13" xfId="4345"/>
    <cellStyle name="Normal 4 3 2 2 8 14" xfId="4346"/>
    <cellStyle name="Normal 4 3 2 2 8 15" xfId="7631"/>
    <cellStyle name="Normal 4 3 2 2 8 2" xfId="4341"/>
    <cellStyle name="Normal 4 3 2 2 8 3" xfId="4348"/>
    <cellStyle name="Normal 4 3 2 2 8 4" xfId="4349"/>
    <cellStyle name="Normal 4 3 2 2 8 5" xfId="4350"/>
    <cellStyle name="Normal 4 3 2 2 8 6" xfId="4351"/>
    <cellStyle name="Normal 4 3 2 2 8 7" xfId="4352"/>
    <cellStyle name="Normal 4 3 2 2 8 8" xfId="4353"/>
    <cellStyle name="Normal 4 3 2 2 8 9" xfId="4354"/>
    <cellStyle name="Normal 4 3 2 2 9" xfId="313"/>
    <cellStyle name="Normal 4 3 2 2 9 2" xfId="4355"/>
    <cellStyle name="Normal 4 3 2 2 9 3" xfId="7617"/>
    <cellStyle name="Normal 4 3 2 20" xfId="4356"/>
    <cellStyle name="Normal 4 3 2 21" xfId="4357"/>
    <cellStyle name="Normal 4 3 2 22" xfId="4358"/>
    <cellStyle name="Normal 4 3 2 23" xfId="4359"/>
    <cellStyle name="Normal 4 3 2 24" xfId="4360"/>
    <cellStyle name="Normal 4 3 2 25" xfId="4361"/>
    <cellStyle name="Normal 4 3 2 26" xfId="4362"/>
    <cellStyle name="Normal 4 3 2 27" xfId="4363"/>
    <cellStyle name="Normal 4 3 2 28" xfId="7843"/>
    <cellStyle name="Normal 4 3 2 29" xfId="12079"/>
    <cellStyle name="Normal 4 3 2 3" xfId="314"/>
    <cellStyle name="Normal 4 3 2 3 10" xfId="315"/>
    <cellStyle name="Normal 4 3 2 3 10 2" xfId="4365"/>
    <cellStyle name="Normal 4 3 2 3 10 3" xfId="7585"/>
    <cellStyle name="Normal 4 3 2 3 11" xfId="4364"/>
    <cellStyle name="Normal 4 3 2 3 12" xfId="4367"/>
    <cellStyle name="Normal 4 3 2 3 13" xfId="4368"/>
    <cellStyle name="Normal 4 3 2 3 14" xfId="4369"/>
    <cellStyle name="Normal 4 3 2 3 15" xfId="4370"/>
    <cellStyle name="Normal 4 3 2 3 16" xfId="4371"/>
    <cellStyle name="Normal 4 3 2 3 17" xfId="4372"/>
    <cellStyle name="Normal 4 3 2 3 18" xfId="4373"/>
    <cellStyle name="Normal 4 3 2 3 19" xfId="4374"/>
    <cellStyle name="Normal 4 3 2 3 2" xfId="316"/>
    <cellStyle name="Normal 4 3 2 3 2 10" xfId="4376"/>
    <cellStyle name="Normal 4 3 2 3 2 11" xfId="4377"/>
    <cellStyle name="Normal 4 3 2 3 2 12" xfId="4378"/>
    <cellStyle name="Normal 4 3 2 3 2 13" xfId="4379"/>
    <cellStyle name="Normal 4 3 2 3 2 14" xfId="4380"/>
    <cellStyle name="Normal 4 3 2 3 2 15" xfId="7575"/>
    <cellStyle name="Normal 4 3 2 3 2 2" xfId="4375"/>
    <cellStyle name="Normal 4 3 2 3 2 3" xfId="4382"/>
    <cellStyle name="Normal 4 3 2 3 2 4" xfId="4383"/>
    <cellStyle name="Normal 4 3 2 3 2 5" xfId="4384"/>
    <cellStyle name="Normal 4 3 2 3 2 6" xfId="4385"/>
    <cellStyle name="Normal 4 3 2 3 2 7" xfId="4386"/>
    <cellStyle name="Normal 4 3 2 3 2 8" xfId="4387"/>
    <cellStyle name="Normal 4 3 2 3 2 9" xfId="4388"/>
    <cellStyle name="Normal 4 3 2 3 20" xfId="4389"/>
    <cellStyle name="Normal 4 3 2 3 21" xfId="4390"/>
    <cellStyle name="Normal 4 3 2 3 22" xfId="4391"/>
    <cellStyle name="Normal 4 3 2 3 23" xfId="7600"/>
    <cellStyle name="Normal 4 3 2 3 3" xfId="317"/>
    <cellStyle name="Normal 4 3 2 3 3 10" xfId="4393"/>
    <cellStyle name="Normal 4 3 2 3 3 11" xfId="4394"/>
    <cellStyle name="Normal 4 3 2 3 3 12" xfId="4395"/>
    <cellStyle name="Normal 4 3 2 3 3 13" xfId="4396"/>
    <cellStyle name="Normal 4 3 2 3 3 14" xfId="4397"/>
    <cellStyle name="Normal 4 3 2 3 3 15" xfId="7561"/>
    <cellStyle name="Normal 4 3 2 3 3 2" xfId="4392"/>
    <cellStyle name="Normal 4 3 2 3 3 3" xfId="4399"/>
    <cellStyle name="Normal 4 3 2 3 3 4" xfId="4400"/>
    <cellStyle name="Normal 4 3 2 3 3 5" xfId="4401"/>
    <cellStyle name="Normal 4 3 2 3 3 6" xfId="4402"/>
    <cellStyle name="Normal 4 3 2 3 3 7" xfId="4403"/>
    <cellStyle name="Normal 4 3 2 3 3 8" xfId="4404"/>
    <cellStyle name="Normal 4 3 2 3 3 9" xfId="4405"/>
    <cellStyle name="Normal 4 3 2 3 4" xfId="318"/>
    <cellStyle name="Normal 4 3 2 3 4 10" xfId="4407"/>
    <cellStyle name="Normal 4 3 2 3 4 11" xfId="4408"/>
    <cellStyle name="Normal 4 3 2 3 4 12" xfId="4409"/>
    <cellStyle name="Normal 4 3 2 3 4 13" xfId="4410"/>
    <cellStyle name="Normal 4 3 2 3 4 14" xfId="4411"/>
    <cellStyle name="Normal 4 3 2 3 4 15" xfId="7547"/>
    <cellStyle name="Normal 4 3 2 3 4 2" xfId="4406"/>
    <cellStyle name="Normal 4 3 2 3 4 3" xfId="4413"/>
    <cellStyle name="Normal 4 3 2 3 4 4" xfId="4414"/>
    <cellStyle name="Normal 4 3 2 3 4 5" xfId="4415"/>
    <cellStyle name="Normal 4 3 2 3 4 6" xfId="4416"/>
    <cellStyle name="Normal 4 3 2 3 4 7" xfId="4417"/>
    <cellStyle name="Normal 4 3 2 3 4 8" xfId="4418"/>
    <cellStyle name="Normal 4 3 2 3 4 9" xfId="4419"/>
    <cellStyle name="Normal 4 3 2 3 5" xfId="319"/>
    <cellStyle name="Normal 4 3 2 3 5 10" xfId="4421"/>
    <cellStyle name="Normal 4 3 2 3 5 11" xfId="4422"/>
    <cellStyle name="Normal 4 3 2 3 5 12" xfId="4423"/>
    <cellStyle name="Normal 4 3 2 3 5 13" xfId="4424"/>
    <cellStyle name="Normal 4 3 2 3 5 14" xfId="4425"/>
    <cellStyle name="Normal 4 3 2 3 5 15" xfId="7532"/>
    <cellStyle name="Normal 4 3 2 3 5 2" xfId="4420"/>
    <cellStyle name="Normal 4 3 2 3 5 3" xfId="4427"/>
    <cellStyle name="Normal 4 3 2 3 5 4" xfId="4428"/>
    <cellStyle name="Normal 4 3 2 3 5 5" xfId="4429"/>
    <cellStyle name="Normal 4 3 2 3 5 6" xfId="4430"/>
    <cellStyle name="Normal 4 3 2 3 5 7" xfId="4431"/>
    <cellStyle name="Normal 4 3 2 3 5 8" xfId="4432"/>
    <cellStyle name="Normal 4 3 2 3 5 9" xfId="4433"/>
    <cellStyle name="Normal 4 3 2 3 6" xfId="320"/>
    <cellStyle name="Normal 4 3 2 3 6 10" xfId="4435"/>
    <cellStyle name="Normal 4 3 2 3 6 11" xfId="4436"/>
    <cellStyle name="Normal 4 3 2 3 6 12" xfId="4437"/>
    <cellStyle name="Normal 4 3 2 3 6 13" xfId="4438"/>
    <cellStyle name="Normal 4 3 2 3 6 14" xfId="4439"/>
    <cellStyle name="Normal 4 3 2 3 6 15" xfId="7518"/>
    <cellStyle name="Normal 4 3 2 3 6 2" xfId="4434"/>
    <cellStyle name="Normal 4 3 2 3 6 3" xfId="4441"/>
    <cellStyle name="Normal 4 3 2 3 6 4" xfId="4442"/>
    <cellStyle name="Normal 4 3 2 3 6 5" xfId="4443"/>
    <cellStyle name="Normal 4 3 2 3 6 6" xfId="4444"/>
    <cellStyle name="Normal 4 3 2 3 6 7" xfId="4445"/>
    <cellStyle name="Normal 4 3 2 3 6 8" xfId="4446"/>
    <cellStyle name="Normal 4 3 2 3 6 9" xfId="4447"/>
    <cellStyle name="Normal 4 3 2 3 7" xfId="321"/>
    <cellStyle name="Normal 4 3 2 3 7 10" xfId="4449"/>
    <cellStyle name="Normal 4 3 2 3 7 11" xfId="4450"/>
    <cellStyle name="Normal 4 3 2 3 7 12" xfId="4451"/>
    <cellStyle name="Normal 4 3 2 3 7 13" xfId="4452"/>
    <cellStyle name="Normal 4 3 2 3 7 14" xfId="4453"/>
    <cellStyle name="Normal 4 3 2 3 7 15" xfId="7504"/>
    <cellStyle name="Normal 4 3 2 3 7 2" xfId="4448"/>
    <cellStyle name="Normal 4 3 2 3 7 3" xfId="4455"/>
    <cellStyle name="Normal 4 3 2 3 7 4" xfId="4456"/>
    <cellStyle name="Normal 4 3 2 3 7 5" xfId="4457"/>
    <cellStyle name="Normal 4 3 2 3 7 6" xfId="4458"/>
    <cellStyle name="Normal 4 3 2 3 7 7" xfId="4459"/>
    <cellStyle name="Normal 4 3 2 3 7 8" xfId="4460"/>
    <cellStyle name="Normal 4 3 2 3 7 9" xfId="4461"/>
    <cellStyle name="Normal 4 3 2 3 8" xfId="322"/>
    <cellStyle name="Normal 4 3 2 3 8 10" xfId="4463"/>
    <cellStyle name="Normal 4 3 2 3 8 11" xfId="4464"/>
    <cellStyle name="Normal 4 3 2 3 8 12" xfId="4465"/>
    <cellStyle name="Normal 4 3 2 3 8 13" xfId="4466"/>
    <cellStyle name="Normal 4 3 2 3 8 14" xfId="4467"/>
    <cellStyle name="Normal 4 3 2 3 8 15" xfId="7490"/>
    <cellStyle name="Normal 4 3 2 3 8 2" xfId="4462"/>
    <cellStyle name="Normal 4 3 2 3 8 3" xfId="4469"/>
    <cellStyle name="Normal 4 3 2 3 8 4" xfId="4470"/>
    <cellStyle name="Normal 4 3 2 3 8 5" xfId="4471"/>
    <cellStyle name="Normal 4 3 2 3 8 6" xfId="4472"/>
    <cellStyle name="Normal 4 3 2 3 8 7" xfId="4473"/>
    <cellStyle name="Normal 4 3 2 3 8 8" xfId="4474"/>
    <cellStyle name="Normal 4 3 2 3 8 9" xfId="4475"/>
    <cellStyle name="Normal 4 3 2 3 9" xfId="323"/>
    <cellStyle name="Normal 4 3 2 3 9 2" xfId="4476"/>
    <cellStyle name="Normal 4 3 2 3 9 3" xfId="7476"/>
    <cellStyle name="Normal 4 3 2 30" xfId="33546"/>
    <cellStyle name="Normal 4 3 2 31" xfId="46015"/>
    <cellStyle name="Normal 4 3 2 4" xfId="324"/>
    <cellStyle name="Normal 4 3 2 4 10" xfId="325"/>
    <cellStyle name="Normal 4 3 2 4 10 2" xfId="4478"/>
    <cellStyle name="Normal 4 3 2 4 10 3" xfId="7445"/>
    <cellStyle name="Normal 4 3 2 4 11" xfId="4477"/>
    <cellStyle name="Normal 4 3 2 4 12" xfId="4480"/>
    <cellStyle name="Normal 4 3 2 4 13" xfId="4481"/>
    <cellStyle name="Normal 4 3 2 4 14" xfId="4482"/>
    <cellStyle name="Normal 4 3 2 4 15" xfId="4483"/>
    <cellStyle name="Normal 4 3 2 4 16" xfId="4484"/>
    <cellStyle name="Normal 4 3 2 4 17" xfId="4485"/>
    <cellStyle name="Normal 4 3 2 4 18" xfId="4486"/>
    <cellStyle name="Normal 4 3 2 4 19" xfId="4487"/>
    <cellStyle name="Normal 4 3 2 4 2" xfId="326"/>
    <cellStyle name="Normal 4 3 2 4 2 10" xfId="4489"/>
    <cellStyle name="Normal 4 3 2 4 2 11" xfId="4490"/>
    <cellStyle name="Normal 4 3 2 4 2 12" xfId="4491"/>
    <cellStyle name="Normal 4 3 2 4 2 13" xfId="4492"/>
    <cellStyle name="Normal 4 3 2 4 2 14" xfId="4493"/>
    <cellStyle name="Normal 4 3 2 4 2 15" xfId="7430"/>
    <cellStyle name="Normal 4 3 2 4 2 2" xfId="4488"/>
    <cellStyle name="Normal 4 3 2 4 2 3" xfId="4495"/>
    <cellStyle name="Normal 4 3 2 4 2 4" xfId="4496"/>
    <cellStyle name="Normal 4 3 2 4 2 5" xfId="4497"/>
    <cellStyle name="Normal 4 3 2 4 2 6" xfId="4498"/>
    <cellStyle name="Normal 4 3 2 4 2 7" xfId="4499"/>
    <cellStyle name="Normal 4 3 2 4 2 8" xfId="4500"/>
    <cellStyle name="Normal 4 3 2 4 2 9" xfId="4501"/>
    <cellStyle name="Normal 4 3 2 4 20" xfId="4502"/>
    <cellStyle name="Normal 4 3 2 4 21" xfId="4503"/>
    <cellStyle name="Normal 4 3 2 4 22" xfId="4504"/>
    <cellStyle name="Normal 4 3 2 4 23" xfId="7462"/>
    <cellStyle name="Normal 4 3 2 4 3" xfId="327"/>
    <cellStyle name="Normal 4 3 2 4 3 10" xfId="4506"/>
    <cellStyle name="Normal 4 3 2 4 3 11" xfId="4507"/>
    <cellStyle name="Normal 4 3 2 4 3 12" xfId="4508"/>
    <cellStyle name="Normal 4 3 2 4 3 13" xfId="4509"/>
    <cellStyle name="Normal 4 3 2 4 3 14" xfId="4510"/>
    <cellStyle name="Normal 4 3 2 4 3 15" xfId="7419"/>
    <cellStyle name="Normal 4 3 2 4 3 2" xfId="4505"/>
    <cellStyle name="Normal 4 3 2 4 3 3" xfId="4512"/>
    <cellStyle name="Normal 4 3 2 4 3 4" xfId="4513"/>
    <cellStyle name="Normal 4 3 2 4 3 5" xfId="4514"/>
    <cellStyle name="Normal 4 3 2 4 3 6" xfId="4515"/>
    <cellStyle name="Normal 4 3 2 4 3 7" xfId="4516"/>
    <cellStyle name="Normal 4 3 2 4 3 8" xfId="4517"/>
    <cellStyle name="Normal 4 3 2 4 3 9" xfId="4518"/>
    <cellStyle name="Normal 4 3 2 4 4" xfId="328"/>
    <cellStyle name="Normal 4 3 2 4 4 10" xfId="4520"/>
    <cellStyle name="Normal 4 3 2 4 4 11" xfId="4521"/>
    <cellStyle name="Normal 4 3 2 4 4 12" xfId="4522"/>
    <cellStyle name="Normal 4 3 2 4 4 13" xfId="4523"/>
    <cellStyle name="Normal 4 3 2 4 4 14" xfId="4524"/>
    <cellStyle name="Normal 4 3 2 4 4 15" xfId="7405"/>
    <cellStyle name="Normal 4 3 2 4 4 2" xfId="4519"/>
    <cellStyle name="Normal 4 3 2 4 4 3" xfId="4526"/>
    <cellStyle name="Normal 4 3 2 4 4 4" xfId="4527"/>
    <cellStyle name="Normal 4 3 2 4 4 5" xfId="4528"/>
    <cellStyle name="Normal 4 3 2 4 4 6" xfId="4529"/>
    <cellStyle name="Normal 4 3 2 4 4 7" xfId="4530"/>
    <cellStyle name="Normal 4 3 2 4 4 8" xfId="4531"/>
    <cellStyle name="Normal 4 3 2 4 4 9" xfId="4532"/>
    <cellStyle name="Normal 4 3 2 4 5" xfId="329"/>
    <cellStyle name="Normal 4 3 2 4 5 10" xfId="4534"/>
    <cellStyle name="Normal 4 3 2 4 5 11" xfId="4535"/>
    <cellStyle name="Normal 4 3 2 4 5 12" xfId="4536"/>
    <cellStyle name="Normal 4 3 2 4 5 13" xfId="4537"/>
    <cellStyle name="Normal 4 3 2 4 5 14" xfId="4538"/>
    <cellStyle name="Normal 4 3 2 4 5 15" xfId="7391"/>
    <cellStyle name="Normal 4 3 2 4 5 2" xfId="4533"/>
    <cellStyle name="Normal 4 3 2 4 5 3" xfId="4540"/>
    <cellStyle name="Normal 4 3 2 4 5 4" xfId="4541"/>
    <cellStyle name="Normal 4 3 2 4 5 5" xfId="4542"/>
    <cellStyle name="Normal 4 3 2 4 5 6" xfId="4543"/>
    <cellStyle name="Normal 4 3 2 4 5 7" xfId="4544"/>
    <cellStyle name="Normal 4 3 2 4 5 8" xfId="4545"/>
    <cellStyle name="Normal 4 3 2 4 5 9" xfId="4546"/>
    <cellStyle name="Normal 4 3 2 4 6" xfId="330"/>
    <cellStyle name="Normal 4 3 2 4 6 10" xfId="4548"/>
    <cellStyle name="Normal 4 3 2 4 6 11" xfId="4549"/>
    <cellStyle name="Normal 4 3 2 4 6 12" xfId="4550"/>
    <cellStyle name="Normal 4 3 2 4 6 13" xfId="4551"/>
    <cellStyle name="Normal 4 3 2 4 6 14" xfId="4552"/>
    <cellStyle name="Normal 4 3 2 4 6 15" xfId="7377"/>
    <cellStyle name="Normal 4 3 2 4 6 2" xfId="4547"/>
    <cellStyle name="Normal 4 3 2 4 6 3" xfId="4554"/>
    <cellStyle name="Normal 4 3 2 4 6 4" xfId="4555"/>
    <cellStyle name="Normal 4 3 2 4 6 5" xfId="4556"/>
    <cellStyle name="Normal 4 3 2 4 6 6" xfId="4557"/>
    <cellStyle name="Normal 4 3 2 4 6 7" xfId="4558"/>
    <cellStyle name="Normal 4 3 2 4 6 8" xfId="4559"/>
    <cellStyle name="Normal 4 3 2 4 6 9" xfId="4560"/>
    <cellStyle name="Normal 4 3 2 4 7" xfId="331"/>
    <cellStyle name="Normal 4 3 2 4 7 10" xfId="4562"/>
    <cellStyle name="Normal 4 3 2 4 7 11" xfId="4563"/>
    <cellStyle name="Normal 4 3 2 4 7 12" xfId="4564"/>
    <cellStyle name="Normal 4 3 2 4 7 13" xfId="4565"/>
    <cellStyle name="Normal 4 3 2 4 7 14" xfId="4566"/>
    <cellStyle name="Normal 4 3 2 4 7 15" xfId="7363"/>
    <cellStyle name="Normal 4 3 2 4 7 2" xfId="4561"/>
    <cellStyle name="Normal 4 3 2 4 7 3" xfId="4568"/>
    <cellStyle name="Normal 4 3 2 4 7 4" xfId="4569"/>
    <cellStyle name="Normal 4 3 2 4 7 5" xfId="4570"/>
    <cellStyle name="Normal 4 3 2 4 7 6" xfId="4571"/>
    <cellStyle name="Normal 4 3 2 4 7 7" xfId="4572"/>
    <cellStyle name="Normal 4 3 2 4 7 8" xfId="4573"/>
    <cellStyle name="Normal 4 3 2 4 7 9" xfId="4574"/>
    <cellStyle name="Normal 4 3 2 4 8" xfId="332"/>
    <cellStyle name="Normal 4 3 2 4 8 10" xfId="4576"/>
    <cellStyle name="Normal 4 3 2 4 8 11" xfId="4577"/>
    <cellStyle name="Normal 4 3 2 4 8 12" xfId="4578"/>
    <cellStyle name="Normal 4 3 2 4 8 13" xfId="4579"/>
    <cellStyle name="Normal 4 3 2 4 8 14" xfId="4580"/>
    <cellStyle name="Normal 4 3 2 4 8 15" xfId="7349"/>
    <cellStyle name="Normal 4 3 2 4 8 2" xfId="4575"/>
    <cellStyle name="Normal 4 3 2 4 8 3" xfId="4582"/>
    <cellStyle name="Normal 4 3 2 4 8 4" xfId="4583"/>
    <cellStyle name="Normal 4 3 2 4 8 5" xfId="4584"/>
    <cellStyle name="Normal 4 3 2 4 8 6" xfId="4585"/>
    <cellStyle name="Normal 4 3 2 4 8 7" xfId="4586"/>
    <cellStyle name="Normal 4 3 2 4 8 8" xfId="4587"/>
    <cellStyle name="Normal 4 3 2 4 8 9" xfId="4588"/>
    <cellStyle name="Normal 4 3 2 4 9" xfId="333"/>
    <cellStyle name="Normal 4 3 2 4 9 2" xfId="4589"/>
    <cellStyle name="Normal 4 3 2 4 9 3" xfId="7332"/>
    <cellStyle name="Normal 4 3 2 5" xfId="334"/>
    <cellStyle name="Normal 4 3 2 5 10" xfId="335"/>
    <cellStyle name="Normal 4 3 2 5 10 2" xfId="4591"/>
    <cellStyle name="Normal 4 3 2 5 10 3" xfId="7306"/>
    <cellStyle name="Normal 4 3 2 5 11" xfId="4590"/>
    <cellStyle name="Normal 4 3 2 5 12" xfId="4593"/>
    <cellStyle name="Normal 4 3 2 5 13" xfId="4594"/>
    <cellStyle name="Normal 4 3 2 5 14" xfId="4595"/>
    <cellStyle name="Normal 4 3 2 5 15" xfId="4596"/>
    <cellStyle name="Normal 4 3 2 5 16" xfId="4597"/>
    <cellStyle name="Normal 4 3 2 5 17" xfId="4598"/>
    <cellStyle name="Normal 4 3 2 5 18" xfId="4599"/>
    <cellStyle name="Normal 4 3 2 5 19" xfId="4600"/>
    <cellStyle name="Normal 4 3 2 5 2" xfId="336"/>
    <cellStyle name="Normal 4 3 2 5 2 10" xfId="4602"/>
    <cellStyle name="Normal 4 3 2 5 2 11" xfId="4603"/>
    <cellStyle name="Normal 4 3 2 5 2 12" xfId="4604"/>
    <cellStyle name="Normal 4 3 2 5 2 13" xfId="4605"/>
    <cellStyle name="Normal 4 3 2 5 2 14" xfId="4606"/>
    <cellStyle name="Normal 4 3 2 5 2 15" xfId="7292"/>
    <cellStyle name="Normal 4 3 2 5 2 2" xfId="4601"/>
    <cellStyle name="Normal 4 3 2 5 2 3" xfId="4608"/>
    <cellStyle name="Normal 4 3 2 5 2 4" xfId="4609"/>
    <cellStyle name="Normal 4 3 2 5 2 5" xfId="4610"/>
    <cellStyle name="Normal 4 3 2 5 2 6" xfId="4611"/>
    <cellStyle name="Normal 4 3 2 5 2 7" xfId="4612"/>
    <cellStyle name="Normal 4 3 2 5 2 8" xfId="4613"/>
    <cellStyle name="Normal 4 3 2 5 2 9" xfId="4614"/>
    <cellStyle name="Normal 4 3 2 5 20" xfId="4615"/>
    <cellStyle name="Normal 4 3 2 5 21" xfId="4616"/>
    <cellStyle name="Normal 4 3 2 5 22" xfId="4617"/>
    <cellStyle name="Normal 4 3 2 5 23" xfId="7317"/>
    <cellStyle name="Normal 4 3 2 5 3" xfId="337"/>
    <cellStyle name="Normal 4 3 2 5 3 10" xfId="4619"/>
    <cellStyle name="Normal 4 3 2 5 3 11" xfId="4620"/>
    <cellStyle name="Normal 4 3 2 5 3 12" xfId="4621"/>
    <cellStyle name="Normal 4 3 2 5 3 13" xfId="4622"/>
    <cellStyle name="Normal 4 3 2 5 3 14" xfId="4623"/>
    <cellStyle name="Normal 4 3 2 5 3 15" xfId="7278"/>
    <cellStyle name="Normal 4 3 2 5 3 2" xfId="4618"/>
    <cellStyle name="Normal 4 3 2 5 3 3" xfId="4625"/>
    <cellStyle name="Normal 4 3 2 5 3 4" xfId="4626"/>
    <cellStyle name="Normal 4 3 2 5 3 5" xfId="4627"/>
    <cellStyle name="Normal 4 3 2 5 3 6" xfId="4628"/>
    <cellStyle name="Normal 4 3 2 5 3 7" xfId="4629"/>
    <cellStyle name="Normal 4 3 2 5 3 8" xfId="4630"/>
    <cellStyle name="Normal 4 3 2 5 3 9" xfId="4631"/>
    <cellStyle name="Normal 4 3 2 5 4" xfId="338"/>
    <cellStyle name="Normal 4 3 2 5 4 10" xfId="4633"/>
    <cellStyle name="Normal 4 3 2 5 4 11" xfId="4634"/>
    <cellStyle name="Normal 4 3 2 5 4 12" xfId="4635"/>
    <cellStyle name="Normal 4 3 2 5 4 13" xfId="4636"/>
    <cellStyle name="Normal 4 3 2 5 4 14" xfId="4637"/>
    <cellStyle name="Normal 4 3 2 5 4 15" xfId="7264"/>
    <cellStyle name="Normal 4 3 2 5 4 2" xfId="4632"/>
    <cellStyle name="Normal 4 3 2 5 4 3" xfId="4639"/>
    <cellStyle name="Normal 4 3 2 5 4 4" xfId="4640"/>
    <cellStyle name="Normal 4 3 2 5 4 5" xfId="4641"/>
    <cellStyle name="Normal 4 3 2 5 4 6" xfId="4642"/>
    <cellStyle name="Normal 4 3 2 5 4 7" xfId="4643"/>
    <cellStyle name="Normal 4 3 2 5 4 8" xfId="4644"/>
    <cellStyle name="Normal 4 3 2 5 4 9" xfId="4645"/>
    <cellStyle name="Normal 4 3 2 5 5" xfId="339"/>
    <cellStyle name="Normal 4 3 2 5 5 10" xfId="4647"/>
    <cellStyle name="Normal 4 3 2 5 5 11" xfId="4648"/>
    <cellStyle name="Normal 4 3 2 5 5 12" xfId="4649"/>
    <cellStyle name="Normal 4 3 2 5 5 13" xfId="4650"/>
    <cellStyle name="Normal 4 3 2 5 5 14" xfId="4651"/>
    <cellStyle name="Normal 4 3 2 5 5 15" xfId="7250"/>
    <cellStyle name="Normal 4 3 2 5 5 2" xfId="4646"/>
    <cellStyle name="Normal 4 3 2 5 5 3" xfId="4653"/>
    <cellStyle name="Normal 4 3 2 5 5 4" xfId="4654"/>
    <cellStyle name="Normal 4 3 2 5 5 5" xfId="4655"/>
    <cellStyle name="Normal 4 3 2 5 5 6" xfId="4656"/>
    <cellStyle name="Normal 4 3 2 5 5 7" xfId="4657"/>
    <cellStyle name="Normal 4 3 2 5 5 8" xfId="4658"/>
    <cellStyle name="Normal 4 3 2 5 5 9" xfId="4659"/>
    <cellStyle name="Normal 4 3 2 5 6" xfId="340"/>
    <cellStyle name="Normal 4 3 2 5 6 10" xfId="4661"/>
    <cellStyle name="Normal 4 3 2 5 6 11" xfId="4662"/>
    <cellStyle name="Normal 4 3 2 5 6 12" xfId="4663"/>
    <cellStyle name="Normal 4 3 2 5 6 13" xfId="4664"/>
    <cellStyle name="Normal 4 3 2 5 6 14" xfId="4665"/>
    <cellStyle name="Normal 4 3 2 5 6 15" xfId="7236"/>
    <cellStyle name="Normal 4 3 2 5 6 2" xfId="4660"/>
    <cellStyle name="Normal 4 3 2 5 6 3" xfId="4667"/>
    <cellStyle name="Normal 4 3 2 5 6 4" xfId="4668"/>
    <cellStyle name="Normal 4 3 2 5 6 5" xfId="4669"/>
    <cellStyle name="Normal 4 3 2 5 6 6" xfId="4670"/>
    <cellStyle name="Normal 4 3 2 5 6 7" xfId="4671"/>
    <cellStyle name="Normal 4 3 2 5 6 8" xfId="4672"/>
    <cellStyle name="Normal 4 3 2 5 6 9" xfId="4673"/>
    <cellStyle name="Normal 4 3 2 5 7" xfId="341"/>
    <cellStyle name="Normal 4 3 2 5 7 10" xfId="4675"/>
    <cellStyle name="Normal 4 3 2 5 7 11" xfId="4676"/>
    <cellStyle name="Normal 4 3 2 5 7 12" xfId="4677"/>
    <cellStyle name="Normal 4 3 2 5 7 13" xfId="4678"/>
    <cellStyle name="Normal 4 3 2 5 7 14" xfId="4679"/>
    <cellStyle name="Normal 4 3 2 5 7 15" xfId="7219"/>
    <cellStyle name="Normal 4 3 2 5 7 2" xfId="4674"/>
    <cellStyle name="Normal 4 3 2 5 7 3" xfId="4681"/>
    <cellStyle name="Normal 4 3 2 5 7 4" xfId="4682"/>
    <cellStyle name="Normal 4 3 2 5 7 5" xfId="4683"/>
    <cellStyle name="Normal 4 3 2 5 7 6" xfId="4684"/>
    <cellStyle name="Normal 4 3 2 5 7 7" xfId="4685"/>
    <cellStyle name="Normal 4 3 2 5 7 8" xfId="4686"/>
    <cellStyle name="Normal 4 3 2 5 7 9" xfId="4687"/>
    <cellStyle name="Normal 4 3 2 5 8" xfId="342"/>
    <cellStyle name="Normal 4 3 2 5 8 10" xfId="4689"/>
    <cellStyle name="Normal 4 3 2 5 8 11" xfId="4690"/>
    <cellStyle name="Normal 4 3 2 5 8 12" xfId="4691"/>
    <cellStyle name="Normal 4 3 2 5 8 13" xfId="4692"/>
    <cellStyle name="Normal 4 3 2 5 8 14" xfId="4693"/>
    <cellStyle name="Normal 4 3 2 5 8 15" xfId="7204"/>
    <cellStyle name="Normal 4 3 2 5 8 2" xfId="4688"/>
    <cellStyle name="Normal 4 3 2 5 8 3" xfId="4695"/>
    <cellStyle name="Normal 4 3 2 5 8 4" xfId="4696"/>
    <cellStyle name="Normal 4 3 2 5 8 5" xfId="4697"/>
    <cellStyle name="Normal 4 3 2 5 8 6" xfId="4698"/>
    <cellStyle name="Normal 4 3 2 5 8 7" xfId="4699"/>
    <cellStyle name="Normal 4 3 2 5 8 8" xfId="4700"/>
    <cellStyle name="Normal 4 3 2 5 8 9" xfId="4701"/>
    <cellStyle name="Normal 4 3 2 5 9" xfId="343"/>
    <cellStyle name="Normal 4 3 2 5 9 2" xfId="4702"/>
    <cellStyle name="Normal 4 3 2 5 9 3" xfId="7193"/>
    <cellStyle name="Normal 4 3 2 6" xfId="344"/>
    <cellStyle name="Normal 4 3 2 6 10" xfId="345"/>
    <cellStyle name="Normal 4 3 2 6 10 2" xfId="4704"/>
    <cellStyle name="Normal 4 3 2 6 10 3" xfId="7165"/>
    <cellStyle name="Normal 4 3 2 6 11" xfId="4703"/>
    <cellStyle name="Normal 4 3 2 6 12" xfId="4706"/>
    <cellStyle name="Normal 4 3 2 6 13" xfId="4707"/>
    <cellStyle name="Normal 4 3 2 6 14" xfId="4708"/>
    <cellStyle name="Normal 4 3 2 6 15" xfId="4709"/>
    <cellStyle name="Normal 4 3 2 6 16" xfId="4710"/>
    <cellStyle name="Normal 4 3 2 6 17" xfId="4711"/>
    <cellStyle name="Normal 4 3 2 6 18" xfId="4712"/>
    <cellStyle name="Normal 4 3 2 6 19" xfId="4713"/>
    <cellStyle name="Normal 4 3 2 6 2" xfId="346"/>
    <cellStyle name="Normal 4 3 2 6 2 10" xfId="4715"/>
    <cellStyle name="Normal 4 3 2 6 2 11" xfId="4716"/>
    <cellStyle name="Normal 4 3 2 6 2 12" xfId="4717"/>
    <cellStyle name="Normal 4 3 2 6 2 13" xfId="4718"/>
    <cellStyle name="Normal 4 3 2 6 2 14" xfId="4719"/>
    <cellStyle name="Normal 4 3 2 6 2 15" xfId="7151"/>
    <cellStyle name="Normal 4 3 2 6 2 2" xfId="4714"/>
    <cellStyle name="Normal 4 3 2 6 2 3" xfId="4721"/>
    <cellStyle name="Normal 4 3 2 6 2 4" xfId="4722"/>
    <cellStyle name="Normal 4 3 2 6 2 5" xfId="4723"/>
    <cellStyle name="Normal 4 3 2 6 2 6" xfId="4724"/>
    <cellStyle name="Normal 4 3 2 6 2 7" xfId="4725"/>
    <cellStyle name="Normal 4 3 2 6 2 8" xfId="4726"/>
    <cellStyle name="Normal 4 3 2 6 2 9" xfId="4727"/>
    <cellStyle name="Normal 4 3 2 6 20" xfId="4728"/>
    <cellStyle name="Normal 4 3 2 6 21" xfId="4729"/>
    <cellStyle name="Normal 4 3 2 6 22" xfId="4730"/>
    <cellStyle name="Normal 4 3 2 6 23" xfId="7179"/>
    <cellStyle name="Normal 4 3 2 6 3" xfId="347"/>
    <cellStyle name="Normal 4 3 2 6 3 10" xfId="4732"/>
    <cellStyle name="Normal 4 3 2 6 3 11" xfId="4733"/>
    <cellStyle name="Normal 4 3 2 6 3 12" xfId="4734"/>
    <cellStyle name="Normal 4 3 2 6 3 13" xfId="4735"/>
    <cellStyle name="Normal 4 3 2 6 3 14" xfId="4736"/>
    <cellStyle name="Normal 4 3 2 6 3 15" xfId="7137"/>
    <cellStyle name="Normal 4 3 2 6 3 2" xfId="4731"/>
    <cellStyle name="Normal 4 3 2 6 3 3" xfId="4738"/>
    <cellStyle name="Normal 4 3 2 6 3 4" xfId="4739"/>
    <cellStyle name="Normal 4 3 2 6 3 5" xfId="4740"/>
    <cellStyle name="Normal 4 3 2 6 3 6" xfId="4741"/>
    <cellStyle name="Normal 4 3 2 6 3 7" xfId="4742"/>
    <cellStyle name="Normal 4 3 2 6 3 8" xfId="4743"/>
    <cellStyle name="Normal 4 3 2 6 3 9" xfId="4744"/>
    <cellStyle name="Normal 4 3 2 6 4" xfId="348"/>
    <cellStyle name="Normal 4 3 2 6 4 10" xfId="4746"/>
    <cellStyle name="Normal 4 3 2 6 4 11" xfId="4747"/>
    <cellStyle name="Normal 4 3 2 6 4 12" xfId="4748"/>
    <cellStyle name="Normal 4 3 2 6 4 13" xfId="4749"/>
    <cellStyle name="Normal 4 3 2 6 4 14" xfId="4750"/>
    <cellStyle name="Normal 4 3 2 6 4 15" xfId="7123"/>
    <cellStyle name="Normal 4 3 2 6 4 2" xfId="4745"/>
    <cellStyle name="Normal 4 3 2 6 4 3" xfId="4752"/>
    <cellStyle name="Normal 4 3 2 6 4 4" xfId="4753"/>
    <cellStyle name="Normal 4 3 2 6 4 5" xfId="4754"/>
    <cellStyle name="Normal 4 3 2 6 4 6" xfId="4755"/>
    <cellStyle name="Normal 4 3 2 6 4 7" xfId="4756"/>
    <cellStyle name="Normal 4 3 2 6 4 8" xfId="4757"/>
    <cellStyle name="Normal 4 3 2 6 4 9" xfId="4758"/>
    <cellStyle name="Normal 4 3 2 6 5" xfId="349"/>
    <cellStyle name="Normal 4 3 2 6 5 10" xfId="4760"/>
    <cellStyle name="Normal 4 3 2 6 5 11" xfId="4761"/>
    <cellStyle name="Normal 4 3 2 6 5 12" xfId="4762"/>
    <cellStyle name="Normal 4 3 2 6 5 13" xfId="4763"/>
    <cellStyle name="Normal 4 3 2 6 5 14" xfId="4764"/>
    <cellStyle name="Normal 4 3 2 6 5 15" xfId="7106"/>
    <cellStyle name="Normal 4 3 2 6 5 2" xfId="4759"/>
    <cellStyle name="Normal 4 3 2 6 5 3" xfId="4766"/>
    <cellStyle name="Normal 4 3 2 6 5 4" xfId="4767"/>
    <cellStyle name="Normal 4 3 2 6 5 5" xfId="4768"/>
    <cellStyle name="Normal 4 3 2 6 5 6" xfId="4769"/>
    <cellStyle name="Normal 4 3 2 6 5 7" xfId="4770"/>
    <cellStyle name="Normal 4 3 2 6 5 8" xfId="4771"/>
    <cellStyle name="Normal 4 3 2 6 5 9" xfId="4772"/>
    <cellStyle name="Normal 4 3 2 6 6" xfId="350"/>
    <cellStyle name="Normal 4 3 2 6 6 10" xfId="4774"/>
    <cellStyle name="Normal 4 3 2 6 6 11" xfId="4775"/>
    <cellStyle name="Normal 4 3 2 6 6 12" xfId="4776"/>
    <cellStyle name="Normal 4 3 2 6 6 13" xfId="4777"/>
    <cellStyle name="Normal 4 3 2 6 6 14" xfId="4778"/>
    <cellStyle name="Normal 4 3 2 6 6 15" xfId="7091"/>
    <cellStyle name="Normal 4 3 2 6 6 2" xfId="4773"/>
    <cellStyle name="Normal 4 3 2 6 6 3" xfId="4780"/>
    <cellStyle name="Normal 4 3 2 6 6 4" xfId="4781"/>
    <cellStyle name="Normal 4 3 2 6 6 5" xfId="4782"/>
    <cellStyle name="Normal 4 3 2 6 6 6" xfId="4783"/>
    <cellStyle name="Normal 4 3 2 6 6 7" xfId="4784"/>
    <cellStyle name="Normal 4 3 2 6 6 8" xfId="4785"/>
    <cellStyle name="Normal 4 3 2 6 6 9" xfId="4786"/>
    <cellStyle name="Normal 4 3 2 6 7" xfId="351"/>
    <cellStyle name="Normal 4 3 2 6 7 10" xfId="4788"/>
    <cellStyle name="Normal 4 3 2 6 7 11" xfId="4789"/>
    <cellStyle name="Normal 4 3 2 6 7 12" xfId="4790"/>
    <cellStyle name="Normal 4 3 2 6 7 13" xfId="4791"/>
    <cellStyle name="Normal 4 3 2 6 7 14" xfId="4792"/>
    <cellStyle name="Normal 4 3 2 6 7 15" xfId="7072"/>
    <cellStyle name="Normal 4 3 2 6 7 2" xfId="4787"/>
    <cellStyle name="Normal 4 3 2 6 7 3" xfId="4794"/>
    <cellStyle name="Normal 4 3 2 6 7 4" xfId="4795"/>
    <cellStyle name="Normal 4 3 2 6 7 5" xfId="4796"/>
    <cellStyle name="Normal 4 3 2 6 7 6" xfId="4797"/>
    <cellStyle name="Normal 4 3 2 6 7 7" xfId="4798"/>
    <cellStyle name="Normal 4 3 2 6 7 8" xfId="4799"/>
    <cellStyle name="Normal 4 3 2 6 7 9" xfId="4800"/>
    <cellStyle name="Normal 4 3 2 6 8" xfId="352"/>
    <cellStyle name="Normal 4 3 2 6 8 10" xfId="4802"/>
    <cellStyle name="Normal 4 3 2 6 8 11" xfId="4803"/>
    <cellStyle name="Normal 4 3 2 6 8 12" xfId="4804"/>
    <cellStyle name="Normal 4 3 2 6 8 13" xfId="4805"/>
    <cellStyle name="Normal 4 3 2 6 8 14" xfId="4806"/>
    <cellStyle name="Normal 4 3 2 6 8 15" xfId="7058"/>
    <cellStyle name="Normal 4 3 2 6 8 2" xfId="4801"/>
    <cellStyle name="Normal 4 3 2 6 8 3" xfId="4808"/>
    <cellStyle name="Normal 4 3 2 6 8 4" xfId="4809"/>
    <cellStyle name="Normal 4 3 2 6 8 5" xfId="4810"/>
    <cellStyle name="Normal 4 3 2 6 8 6" xfId="4811"/>
    <cellStyle name="Normal 4 3 2 6 8 7" xfId="4812"/>
    <cellStyle name="Normal 4 3 2 6 8 8" xfId="4813"/>
    <cellStyle name="Normal 4 3 2 6 8 9" xfId="4814"/>
    <cellStyle name="Normal 4 3 2 6 9" xfId="353"/>
    <cellStyle name="Normal 4 3 2 6 9 2" xfId="4815"/>
    <cellStyle name="Normal 4 3 2 6 9 3" xfId="7044"/>
    <cellStyle name="Normal 4 3 2 7" xfId="354"/>
    <cellStyle name="Normal 4 3 2 7 10" xfId="4817"/>
    <cellStyle name="Normal 4 3 2 7 11" xfId="4818"/>
    <cellStyle name="Normal 4 3 2 7 12" xfId="4819"/>
    <cellStyle name="Normal 4 3 2 7 13" xfId="4820"/>
    <cellStyle name="Normal 4 3 2 7 14" xfId="4821"/>
    <cellStyle name="Normal 4 3 2 7 15" xfId="7030"/>
    <cellStyle name="Normal 4 3 2 7 2" xfId="4816"/>
    <cellStyle name="Normal 4 3 2 7 3" xfId="4823"/>
    <cellStyle name="Normal 4 3 2 7 4" xfId="4824"/>
    <cellStyle name="Normal 4 3 2 7 5" xfId="4825"/>
    <cellStyle name="Normal 4 3 2 7 6" xfId="4826"/>
    <cellStyle name="Normal 4 3 2 7 7" xfId="4827"/>
    <cellStyle name="Normal 4 3 2 7 8" xfId="4828"/>
    <cellStyle name="Normal 4 3 2 7 9" xfId="4829"/>
    <cellStyle name="Normal 4 3 2 8" xfId="355"/>
    <cellStyle name="Normal 4 3 2 8 10" xfId="4831"/>
    <cellStyle name="Normal 4 3 2 8 11" xfId="4832"/>
    <cellStyle name="Normal 4 3 2 8 12" xfId="4833"/>
    <cellStyle name="Normal 4 3 2 8 13" xfId="4834"/>
    <cellStyle name="Normal 4 3 2 8 14" xfId="4835"/>
    <cellStyle name="Normal 4 3 2 8 15" xfId="7016"/>
    <cellStyle name="Normal 4 3 2 8 2" xfId="4830"/>
    <cellStyle name="Normal 4 3 2 8 3" xfId="4837"/>
    <cellStyle name="Normal 4 3 2 8 4" xfId="4838"/>
    <cellStyle name="Normal 4 3 2 8 5" xfId="4839"/>
    <cellStyle name="Normal 4 3 2 8 6" xfId="4840"/>
    <cellStyle name="Normal 4 3 2 8 7" xfId="4841"/>
    <cellStyle name="Normal 4 3 2 8 8" xfId="4842"/>
    <cellStyle name="Normal 4 3 2 8 9" xfId="4843"/>
    <cellStyle name="Normal 4 3 2 9" xfId="356"/>
    <cellStyle name="Normal 4 3 2 9 10" xfId="4845"/>
    <cellStyle name="Normal 4 3 2 9 11" xfId="4846"/>
    <cellStyle name="Normal 4 3 2 9 12" xfId="4847"/>
    <cellStyle name="Normal 4 3 2 9 13" xfId="4848"/>
    <cellStyle name="Normal 4 3 2 9 14" xfId="4849"/>
    <cellStyle name="Normal 4 3 2 9 15" xfId="7002"/>
    <cellStyle name="Normal 4 3 2 9 2" xfId="4844"/>
    <cellStyle name="Normal 4 3 2 9 3" xfId="4851"/>
    <cellStyle name="Normal 4 3 2 9 4" xfId="4852"/>
    <cellStyle name="Normal 4 3 2 9 5" xfId="4853"/>
    <cellStyle name="Normal 4 3 2 9 6" xfId="4854"/>
    <cellStyle name="Normal 4 3 2 9 7" xfId="4855"/>
    <cellStyle name="Normal 4 3 2 9 8" xfId="4856"/>
    <cellStyle name="Normal 4 3 2 9 9" xfId="4857"/>
    <cellStyle name="Normal 4 3 20" xfId="4858"/>
    <cellStyle name="Normal 4 3 21" xfId="4859"/>
    <cellStyle name="Normal 4 3 22" xfId="4860"/>
    <cellStyle name="Normal 4 3 23" xfId="4861"/>
    <cellStyle name="Normal 4 3 24" xfId="4862"/>
    <cellStyle name="Normal 4 3 25" xfId="4863"/>
    <cellStyle name="Normal 4 3 26" xfId="4864"/>
    <cellStyle name="Normal 4 3 27" xfId="4865"/>
    <cellStyle name="Normal 4 3 28" xfId="4866"/>
    <cellStyle name="Normal 4 3 29" xfId="4867"/>
    <cellStyle name="Normal 4 3 3" xfId="357"/>
    <cellStyle name="Normal 4 3 3 10" xfId="358"/>
    <cellStyle name="Normal 4 3 3 10 10" xfId="4870"/>
    <cellStyle name="Normal 4 3 3 10 11" xfId="4871"/>
    <cellStyle name="Normal 4 3 3 10 12" xfId="4872"/>
    <cellStyle name="Normal 4 3 3 10 13" xfId="4873"/>
    <cellStyle name="Normal 4 3 3 10 14" xfId="4874"/>
    <cellStyle name="Normal 4 3 3 10 15" xfId="6970"/>
    <cellStyle name="Normal 4 3 3 10 2" xfId="4869"/>
    <cellStyle name="Normal 4 3 3 10 3" xfId="4876"/>
    <cellStyle name="Normal 4 3 3 10 4" xfId="4877"/>
    <cellStyle name="Normal 4 3 3 10 5" xfId="4878"/>
    <cellStyle name="Normal 4 3 3 10 6" xfId="4879"/>
    <cellStyle name="Normal 4 3 3 10 7" xfId="4880"/>
    <cellStyle name="Normal 4 3 3 10 8" xfId="4881"/>
    <cellStyle name="Normal 4 3 3 10 9" xfId="4882"/>
    <cellStyle name="Normal 4 3 3 11" xfId="359"/>
    <cellStyle name="Normal 4 3 3 11 10" xfId="4884"/>
    <cellStyle name="Normal 4 3 3 11 11" xfId="4885"/>
    <cellStyle name="Normal 4 3 3 11 12" xfId="4886"/>
    <cellStyle name="Normal 4 3 3 11 13" xfId="4887"/>
    <cellStyle name="Normal 4 3 3 11 14" xfId="4888"/>
    <cellStyle name="Normal 4 3 3 11 15" xfId="6964"/>
    <cellStyle name="Normal 4 3 3 11 2" xfId="4883"/>
    <cellStyle name="Normal 4 3 3 11 3" xfId="4890"/>
    <cellStyle name="Normal 4 3 3 11 4" xfId="4891"/>
    <cellStyle name="Normal 4 3 3 11 5" xfId="4892"/>
    <cellStyle name="Normal 4 3 3 11 6" xfId="4893"/>
    <cellStyle name="Normal 4 3 3 11 7" xfId="4894"/>
    <cellStyle name="Normal 4 3 3 11 8" xfId="4895"/>
    <cellStyle name="Normal 4 3 3 11 9" xfId="4896"/>
    <cellStyle name="Normal 4 3 3 12" xfId="360"/>
    <cellStyle name="Normal 4 3 3 12 10" xfId="4898"/>
    <cellStyle name="Normal 4 3 3 12 11" xfId="4899"/>
    <cellStyle name="Normal 4 3 3 12 12" xfId="4900"/>
    <cellStyle name="Normal 4 3 3 12 13" xfId="4901"/>
    <cellStyle name="Normal 4 3 3 12 14" xfId="4902"/>
    <cellStyle name="Normal 4 3 3 12 15" xfId="6954"/>
    <cellStyle name="Normal 4 3 3 12 2" xfId="4897"/>
    <cellStyle name="Normal 4 3 3 12 3" xfId="4904"/>
    <cellStyle name="Normal 4 3 3 12 4" xfId="4905"/>
    <cellStyle name="Normal 4 3 3 12 5" xfId="4906"/>
    <cellStyle name="Normal 4 3 3 12 6" xfId="4907"/>
    <cellStyle name="Normal 4 3 3 12 7" xfId="4908"/>
    <cellStyle name="Normal 4 3 3 12 8" xfId="4909"/>
    <cellStyle name="Normal 4 3 3 12 9" xfId="4910"/>
    <cellStyle name="Normal 4 3 3 13" xfId="361"/>
    <cellStyle name="Normal 4 3 3 13 10" xfId="4912"/>
    <cellStyle name="Normal 4 3 3 13 11" xfId="4913"/>
    <cellStyle name="Normal 4 3 3 13 12" xfId="4914"/>
    <cellStyle name="Normal 4 3 3 13 13" xfId="4915"/>
    <cellStyle name="Normal 4 3 3 13 14" xfId="4916"/>
    <cellStyle name="Normal 4 3 3 13 15" xfId="6940"/>
    <cellStyle name="Normal 4 3 3 13 2" xfId="4911"/>
    <cellStyle name="Normal 4 3 3 13 3" xfId="4918"/>
    <cellStyle name="Normal 4 3 3 13 4" xfId="4919"/>
    <cellStyle name="Normal 4 3 3 13 5" xfId="4920"/>
    <cellStyle name="Normal 4 3 3 13 6" xfId="4921"/>
    <cellStyle name="Normal 4 3 3 13 7" xfId="4922"/>
    <cellStyle name="Normal 4 3 3 13 8" xfId="4923"/>
    <cellStyle name="Normal 4 3 3 13 9" xfId="4924"/>
    <cellStyle name="Normal 4 3 3 14" xfId="362"/>
    <cellStyle name="Normal 4 3 3 14 2" xfId="4925"/>
    <cellStyle name="Normal 4 3 3 14 3" xfId="6926"/>
    <cellStyle name="Normal 4 3 3 15" xfId="363"/>
    <cellStyle name="Normal 4 3 3 15 2" xfId="4926"/>
    <cellStyle name="Normal 4 3 3 15 3" xfId="6912"/>
    <cellStyle name="Normal 4 3 3 16" xfId="4868"/>
    <cellStyle name="Normal 4 3 3 17" xfId="4928"/>
    <cellStyle name="Normal 4 3 3 18" xfId="4929"/>
    <cellStyle name="Normal 4 3 3 19" xfId="4930"/>
    <cellStyle name="Normal 4 3 3 2" xfId="364"/>
    <cellStyle name="Normal 4 3 3 2 10" xfId="365"/>
    <cellStyle name="Normal 4 3 3 2 10 2" xfId="4932"/>
    <cellStyle name="Normal 4 3 3 2 10 3" xfId="6873"/>
    <cellStyle name="Normal 4 3 3 2 11" xfId="4931"/>
    <cellStyle name="Normal 4 3 3 2 12" xfId="4934"/>
    <cellStyle name="Normal 4 3 3 2 13" xfId="4935"/>
    <cellStyle name="Normal 4 3 3 2 14" xfId="4936"/>
    <cellStyle name="Normal 4 3 3 2 15" xfId="4937"/>
    <cellStyle name="Normal 4 3 3 2 16" xfId="4938"/>
    <cellStyle name="Normal 4 3 3 2 17" xfId="4939"/>
    <cellStyle name="Normal 4 3 3 2 18" xfId="4940"/>
    <cellStyle name="Normal 4 3 3 2 19" xfId="4941"/>
    <cellStyle name="Normal 4 3 3 2 2" xfId="366"/>
    <cellStyle name="Normal 4 3 3 2 2 10" xfId="4943"/>
    <cellStyle name="Normal 4 3 3 2 2 11" xfId="4944"/>
    <cellStyle name="Normal 4 3 3 2 2 12" xfId="4945"/>
    <cellStyle name="Normal 4 3 3 2 2 13" xfId="4946"/>
    <cellStyle name="Normal 4 3 3 2 2 14" xfId="4947"/>
    <cellStyle name="Normal 4 3 3 2 2 15" xfId="6859"/>
    <cellStyle name="Normal 4 3 3 2 2 2" xfId="4942"/>
    <cellStyle name="Normal 4 3 3 2 2 3" xfId="4949"/>
    <cellStyle name="Normal 4 3 3 2 2 4" xfId="4950"/>
    <cellStyle name="Normal 4 3 3 2 2 5" xfId="4951"/>
    <cellStyle name="Normal 4 3 3 2 2 6" xfId="4952"/>
    <cellStyle name="Normal 4 3 3 2 2 7" xfId="4953"/>
    <cellStyle name="Normal 4 3 3 2 2 8" xfId="4954"/>
    <cellStyle name="Normal 4 3 3 2 2 9" xfId="4955"/>
    <cellStyle name="Normal 4 3 3 2 20" xfId="4956"/>
    <cellStyle name="Normal 4 3 3 2 21" xfId="4957"/>
    <cellStyle name="Normal 4 3 3 2 22" xfId="4958"/>
    <cellStyle name="Normal 4 3 3 2 23" xfId="6887"/>
    <cellStyle name="Normal 4 3 3 2 3" xfId="367"/>
    <cellStyle name="Normal 4 3 3 2 3 10" xfId="4960"/>
    <cellStyle name="Normal 4 3 3 2 3 11" xfId="4961"/>
    <cellStyle name="Normal 4 3 3 2 3 12" xfId="4962"/>
    <cellStyle name="Normal 4 3 3 2 3 13" xfId="4963"/>
    <cellStyle name="Normal 4 3 3 2 3 14" xfId="4964"/>
    <cellStyle name="Normal 4 3 3 2 3 15" xfId="6844"/>
    <cellStyle name="Normal 4 3 3 2 3 2" xfId="4959"/>
    <cellStyle name="Normal 4 3 3 2 3 3" xfId="4966"/>
    <cellStyle name="Normal 4 3 3 2 3 4" xfId="4967"/>
    <cellStyle name="Normal 4 3 3 2 3 5" xfId="4968"/>
    <cellStyle name="Normal 4 3 3 2 3 6" xfId="4969"/>
    <cellStyle name="Normal 4 3 3 2 3 7" xfId="4970"/>
    <cellStyle name="Normal 4 3 3 2 3 8" xfId="4971"/>
    <cellStyle name="Normal 4 3 3 2 3 9" xfId="4972"/>
    <cellStyle name="Normal 4 3 3 2 4" xfId="368"/>
    <cellStyle name="Normal 4 3 3 2 4 10" xfId="4974"/>
    <cellStyle name="Normal 4 3 3 2 4 11" xfId="4975"/>
    <cellStyle name="Normal 4 3 3 2 4 12" xfId="4976"/>
    <cellStyle name="Normal 4 3 3 2 4 13" xfId="4977"/>
    <cellStyle name="Normal 4 3 3 2 4 14" xfId="4978"/>
    <cellStyle name="Normal 4 3 3 2 4 15" xfId="6830"/>
    <cellStyle name="Normal 4 3 3 2 4 2" xfId="4973"/>
    <cellStyle name="Normal 4 3 3 2 4 3" xfId="4980"/>
    <cellStyle name="Normal 4 3 3 2 4 4" xfId="4981"/>
    <cellStyle name="Normal 4 3 3 2 4 5" xfId="4982"/>
    <cellStyle name="Normal 4 3 3 2 4 6" xfId="4983"/>
    <cellStyle name="Normal 4 3 3 2 4 7" xfId="4984"/>
    <cellStyle name="Normal 4 3 3 2 4 8" xfId="4985"/>
    <cellStyle name="Normal 4 3 3 2 4 9" xfId="4986"/>
    <cellStyle name="Normal 4 3 3 2 5" xfId="369"/>
    <cellStyle name="Normal 4 3 3 2 5 10" xfId="4988"/>
    <cellStyle name="Normal 4 3 3 2 5 11" xfId="4989"/>
    <cellStyle name="Normal 4 3 3 2 5 12" xfId="4990"/>
    <cellStyle name="Normal 4 3 3 2 5 13" xfId="4991"/>
    <cellStyle name="Normal 4 3 3 2 5 14" xfId="4992"/>
    <cellStyle name="Normal 4 3 3 2 5 15" xfId="6816"/>
    <cellStyle name="Normal 4 3 3 2 5 2" xfId="4987"/>
    <cellStyle name="Normal 4 3 3 2 5 3" xfId="4994"/>
    <cellStyle name="Normal 4 3 3 2 5 4" xfId="4995"/>
    <cellStyle name="Normal 4 3 3 2 5 5" xfId="4996"/>
    <cellStyle name="Normal 4 3 3 2 5 6" xfId="4997"/>
    <cellStyle name="Normal 4 3 3 2 5 7" xfId="4998"/>
    <cellStyle name="Normal 4 3 3 2 5 8" xfId="4999"/>
    <cellStyle name="Normal 4 3 3 2 5 9" xfId="5000"/>
    <cellStyle name="Normal 4 3 3 2 6" xfId="370"/>
    <cellStyle name="Normal 4 3 3 2 6 10" xfId="5002"/>
    <cellStyle name="Normal 4 3 3 2 6 11" xfId="5003"/>
    <cellStyle name="Normal 4 3 3 2 6 12" xfId="5004"/>
    <cellStyle name="Normal 4 3 3 2 6 13" xfId="5005"/>
    <cellStyle name="Normal 4 3 3 2 6 14" xfId="5006"/>
    <cellStyle name="Normal 4 3 3 2 6 15" xfId="6802"/>
    <cellStyle name="Normal 4 3 3 2 6 2" xfId="5001"/>
    <cellStyle name="Normal 4 3 3 2 6 3" xfId="5008"/>
    <cellStyle name="Normal 4 3 3 2 6 4" xfId="5009"/>
    <cellStyle name="Normal 4 3 3 2 6 5" xfId="5010"/>
    <cellStyle name="Normal 4 3 3 2 6 6" xfId="5011"/>
    <cellStyle name="Normal 4 3 3 2 6 7" xfId="5012"/>
    <cellStyle name="Normal 4 3 3 2 6 8" xfId="5013"/>
    <cellStyle name="Normal 4 3 3 2 6 9" xfId="5014"/>
    <cellStyle name="Normal 4 3 3 2 7" xfId="371"/>
    <cellStyle name="Normal 4 3 3 2 7 10" xfId="5016"/>
    <cellStyle name="Normal 4 3 3 2 7 11" xfId="5017"/>
    <cellStyle name="Normal 4 3 3 2 7 12" xfId="5018"/>
    <cellStyle name="Normal 4 3 3 2 7 13" xfId="5019"/>
    <cellStyle name="Normal 4 3 3 2 7 14" xfId="5020"/>
    <cellStyle name="Normal 4 3 3 2 7 15" xfId="6788"/>
    <cellStyle name="Normal 4 3 3 2 7 2" xfId="5015"/>
    <cellStyle name="Normal 4 3 3 2 7 3" xfId="5022"/>
    <cellStyle name="Normal 4 3 3 2 7 4" xfId="5023"/>
    <cellStyle name="Normal 4 3 3 2 7 5" xfId="5024"/>
    <cellStyle name="Normal 4 3 3 2 7 6" xfId="5025"/>
    <cellStyle name="Normal 4 3 3 2 7 7" xfId="5026"/>
    <cellStyle name="Normal 4 3 3 2 7 8" xfId="5027"/>
    <cellStyle name="Normal 4 3 3 2 7 9" xfId="5028"/>
    <cellStyle name="Normal 4 3 3 2 8" xfId="372"/>
    <cellStyle name="Normal 4 3 3 2 8 10" xfId="5030"/>
    <cellStyle name="Normal 4 3 3 2 8 11" xfId="5031"/>
    <cellStyle name="Normal 4 3 3 2 8 12" xfId="5032"/>
    <cellStyle name="Normal 4 3 3 2 8 13" xfId="5033"/>
    <cellStyle name="Normal 4 3 3 2 8 14" xfId="5034"/>
    <cellStyle name="Normal 4 3 3 2 8 15" xfId="6774"/>
    <cellStyle name="Normal 4 3 3 2 8 2" xfId="5029"/>
    <cellStyle name="Normal 4 3 3 2 8 3" xfId="5036"/>
    <cellStyle name="Normal 4 3 3 2 8 4" xfId="5037"/>
    <cellStyle name="Normal 4 3 3 2 8 5" xfId="5038"/>
    <cellStyle name="Normal 4 3 3 2 8 6" xfId="5039"/>
    <cellStyle name="Normal 4 3 3 2 8 7" xfId="5040"/>
    <cellStyle name="Normal 4 3 3 2 8 8" xfId="5041"/>
    <cellStyle name="Normal 4 3 3 2 8 9" xfId="5042"/>
    <cellStyle name="Normal 4 3 3 2 9" xfId="373"/>
    <cellStyle name="Normal 4 3 3 2 9 2" xfId="5043"/>
    <cellStyle name="Normal 4 3 3 2 9 3" xfId="6757"/>
    <cellStyle name="Normal 4 3 3 20" xfId="5044"/>
    <cellStyle name="Normal 4 3 3 21" xfId="5045"/>
    <cellStyle name="Normal 4 3 3 22" xfId="5046"/>
    <cellStyle name="Normal 4 3 3 23" xfId="5047"/>
    <cellStyle name="Normal 4 3 3 24" xfId="5048"/>
    <cellStyle name="Normal 4 3 3 25" xfId="5049"/>
    <cellStyle name="Normal 4 3 3 26" xfId="5050"/>
    <cellStyle name="Normal 4 3 3 27" xfId="5051"/>
    <cellStyle name="Normal 4 3 3 28" xfId="6985"/>
    <cellStyle name="Normal 4 3 3 29" xfId="12080"/>
    <cellStyle name="Normal 4 3 3 3" xfId="374"/>
    <cellStyle name="Normal 4 3 3 3 10" xfId="375"/>
    <cellStyle name="Normal 4 3 3 3 10 2" xfId="5053"/>
    <cellStyle name="Normal 4 3 3 3 10 3" xfId="6731"/>
    <cellStyle name="Normal 4 3 3 3 11" xfId="5052"/>
    <cellStyle name="Normal 4 3 3 3 12" xfId="5055"/>
    <cellStyle name="Normal 4 3 3 3 13" xfId="5056"/>
    <cellStyle name="Normal 4 3 3 3 14" xfId="5057"/>
    <cellStyle name="Normal 4 3 3 3 15" xfId="5058"/>
    <cellStyle name="Normal 4 3 3 3 16" xfId="5059"/>
    <cellStyle name="Normal 4 3 3 3 17" xfId="5060"/>
    <cellStyle name="Normal 4 3 3 3 18" xfId="5061"/>
    <cellStyle name="Normal 4 3 3 3 19" xfId="5062"/>
    <cellStyle name="Normal 4 3 3 3 2" xfId="376"/>
    <cellStyle name="Normal 4 3 3 3 2 10" xfId="5064"/>
    <cellStyle name="Normal 4 3 3 3 2 11" xfId="5065"/>
    <cellStyle name="Normal 4 3 3 3 2 12" xfId="5066"/>
    <cellStyle name="Normal 4 3 3 3 2 13" xfId="5067"/>
    <cellStyle name="Normal 4 3 3 3 2 14" xfId="5068"/>
    <cellStyle name="Normal 4 3 3 3 2 15" xfId="6717"/>
    <cellStyle name="Normal 4 3 3 3 2 2" xfId="5063"/>
    <cellStyle name="Normal 4 3 3 3 2 3" xfId="5070"/>
    <cellStyle name="Normal 4 3 3 3 2 4" xfId="5071"/>
    <cellStyle name="Normal 4 3 3 3 2 5" xfId="5072"/>
    <cellStyle name="Normal 4 3 3 3 2 6" xfId="5073"/>
    <cellStyle name="Normal 4 3 3 3 2 7" xfId="5074"/>
    <cellStyle name="Normal 4 3 3 3 2 8" xfId="5075"/>
    <cellStyle name="Normal 4 3 3 3 2 9" xfId="5076"/>
    <cellStyle name="Normal 4 3 3 3 20" xfId="5077"/>
    <cellStyle name="Normal 4 3 3 3 21" xfId="5078"/>
    <cellStyle name="Normal 4 3 3 3 22" xfId="5079"/>
    <cellStyle name="Normal 4 3 3 3 23" xfId="6742"/>
    <cellStyle name="Normal 4 3 3 3 3" xfId="377"/>
    <cellStyle name="Normal 4 3 3 3 3 10" xfId="5081"/>
    <cellStyle name="Normal 4 3 3 3 3 11" xfId="5082"/>
    <cellStyle name="Normal 4 3 3 3 3 12" xfId="5083"/>
    <cellStyle name="Normal 4 3 3 3 3 13" xfId="5084"/>
    <cellStyle name="Normal 4 3 3 3 3 14" xfId="5085"/>
    <cellStyle name="Normal 4 3 3 3 3 15" xfId="6703"/>
    <cellStyle name="Normal 4 3 3 3 3 2" xfId="5080"/>
    <cellStyle name="Normal 4 3 3 3 3 3" xfId="5087"/>
    <cellStyle name="Normal 4 3 3 3 3 4" xfId="5088"/>
    <cellStyle name="Normal 4 3 3 3 3 5" xfId="5089"/>
    <cellStyle name="Normal 4 3 3 3 3 6" xfId="5090"/>
    <cellStyle name="Normal 4 3 3 3 3 7" xfId="5091"/>
    <cellStyle name="Normal 4 3 3 3 3 8" xfId="5092"/>
    <cellStyle name="Normal 4 3 3 3 3 9" xfId="5093"/>
    <cellStyle name="Normal 4 3 3 3 4" xfId="378"/>
    <cellStyle name="Normal 4 3 3 3 4 10" xfId="5095"/>
    <cellStyle name="Normal 4 3 3 3 4 11" xfId="5096"/>
    <cellStyle name="Normal 4 3 3 3 4 12" xfId="5097"/>
    <cellStyle name="Normal 4 3 3 3 4 13" xfId="5098"/>
    <cellStyle name="Normal 4 3 3 3 4 14" xfId="5099"/>
    <cellStyle name="Normal 4 3 3 3 4 15" xfId="6689"/>
    <cellStyle name="Normal 4 3 3 3 4 2" xfId="5094"/>
    <cellStyle name="Normal 4 3 3 3 4 3" xfId="5101"/>
    <cellStyle name="Normal 4 3 3 3 4 4" xfId="5102"/>
    <cellStyle name="Normal 4 3 3 3 4 5" xfId="5103"/>
    <cellStyle name="Normal 4 3 3 3 4 6" xfId="5104"/>
    <cellStyle name="Normal 4 3 3 3 4 7" xfId="5105"/>
    <cellStyle name="Normal 4 3 3 3 4 8" xfId="5106"/>
    <cellStyle name="Normal 4 3 3 3 4 9" xfId="5107"/>
    <cellStyle name="Normal 4 3 3 3 5" xfId="379"/>
    <cellStyle name="Normal 4 3 3 3 5 10" xfId="5109"/>
    <cellStyle name="Normal 4 3 3 3 5 11" xfId="5110"/>
    <cellStyle name="Normal 4 3 3 3 5 12" xfId="5111"/>
    <cellStyle name="Normal 4 3 3 3 5 13" xfId="5112"/>
    <cellStyle name="Normal 4 3 3 3 5 14" xfId="5113"/>
    <cellStyle name="Normal 4 3 3 3 5 15" xfId="6675"/>
    <cellStyle name="Normal 4 3 3 3 5 2" xfId="5108"/>
    <cellStyle name="Normal 4 3 3 3 5 3" xfId="5115"/>
    <cellStyle name="Normal 4 3 3 3 5 4" xfId="5116"/>
    <cellStyle name="Normal 4 3 3 3 5 5" xfId="5117"/>
    <cellStyle name="Normal 4 3 3 3 5 6" xfId="5118"/>
    <cellStyle name="Normal 4 3 3 3 5 7" xfId="5119"/>
    <cellStyle name="Normal 4 3 3 3 5 8" xfId="5120"/>
    <cellStyle name="Normal 4 3 3 3 5 9" xfId="5121"/>
    <cellStyle name="Normal 4 3 3 3 6" xfId="380"/>
    <cellStyle name="Normal 4 3 3 3 6 10" xfId="5123"/>
    <cellStyle name="Normal 4 3 3 3 6 11" xfId="5124"/>
    <cellStyle name="Normal 4 3 3 3 6 12" xfId="5125"/>
    <cellStyle name="Normal 4 3 3 3 6 13" xfId="5126"/>
    <cellStyle name="Normal 4 3 3 3 6 14" xfId="5127"/>
    <cellStyle name="Normal 4 3 3 3 6 15" xfId="6661"/>
    <cellStyle name="Normal 4 3 3 3 6 2" xfId="5122"/>
    <cellStyle name="Normal 4 3 3 3 6 3" xfId="5129"/>
    <cellStyle name="Normal 4 3 3 3 6 4" xfId="5130"/>
    <cellStyle name="Normal 4 3 3 3 6 5" xfId="5131"/>
    <cellStyle name="Normal 4 3 3 3 6 6" xfId="5132"/>
    <cellStyle name="Normal 4 3 3 3 6 7" xfId="5133"/>
    <cellStyle name="Normal 4 3 3 3 6 8" xfId="5134"/>
    <cellStyle name="Normal 4 3 3 3 6 9" xfId="5135"/>
    <cellStyle name="Normal 4 3 3 3 7" xfId="381"/>
    <cellStyle name="Normal 4 3 3 3 7 10" xfId="5137"/>
    <cellStyle name="Normal 4 3 3 3 7 11" xfId="5138"/>
    <cellStyle name="Normal 4 3 3 3 7 12" xfId="5139"/>
    <cellStyle name="Normal 4 3 3 3 7 13" xfId="5140"/>
    <cellStyle name="Normal 4 3 3 3 7 14" xfId="5141"/>
    <cellStyle name="Normal 4 3 3 3 7 15" xfId="6644"/>
    <cellStyle name="Normal 4 3 3 3 7 2" xfId="5136"/>
    <cellStyle name="Normal 4 3 3 3 7 3" xfId="5143"/>
    <cellStyle name="Normal 4 3 3 3 7 4" xfId="5144"/>
    <cellStyle name="Normal 4 3 3 3 7 5" xfId="5145"/>
    <cellStyle name="Normal 4 3 3 3 7 6" xfId="5146"/>
    <cellStyle name="Normal 4 3 3 3 7 7" xfId="5147"/>
    <cellStyle name="Normal 4 3 3 3 7 8" xfId="5148"/>
    <cellStyle name="Normal 4 3 3 3 7 9" xfId="5149"/>
    <cellStyle name="Normal 4 3 3 3 8" xfId="382"/>
    <cellStyle name="Normal 4 3 3 3 8 10" xfId="5151"/>
    <cellStyle name="Normal 4 3 3 3 8 11" xfId="5152"/>
    <cellStyle name="Normal 4 3 3 3 8 12" xfId="5153"/>
    <cellStyle name="Normal 4 3 3 3 8 13" xfId="5154"/>
    <cellStyle name="Normal 4 3 3 3 8 14" xfId="5155"/>
    <cellStyle name="Normal 4 3 3 3 8 15" xfId="6629"/>
    <cellStyle name="Normal 4 3 3 3 8 2" xfId="5150"/>
    <cellStyle name="Normal 4 3 3 3 8 3" xfId="5157"/>
    <cellStyle name="Normal 4 3 3 3 8 4" xfId="5158"/>
    <cellStyle name="Normal 4 3 3 3 8 5" xfId="5159"/>
    <cellStyle name="Normal 4 3 3 3 8 6" xfId="5160"/>
    <cellStyle name="Normal 4 3 3 3 8 7" xfId="5161"/>
    <cellStyle name="Normal 4 3 3 3 8 8" xfId="5162"/>
    <cellStyle name="Normal 4 3 3 3 8 9" xfId="5163"/>
    <cellStyle name="Normal 4 3 3 3 9" xfId="383"/>
    <cellStyle name="Normal 4 3 3 3 9 2" xfId="5164"/>
    <cellStyle name="Normal 4 3 3 3 9 3" xfId="6618"/>
    <cellStyle name="Normal 4 3 3 30" xfId="33547"/>
    <cellStyle name="Normal 4 3 3 31" xfId="45415"/>
    <cellStyle name="Normal 4 3 3 4" xfId="384"/>
    <cellStyle name="Normal 4 3 3 4 10" xfId="385"/>
    <cellStyle name="Normal 4 3 3 4 10 2" xfId="5166"/>
    <cellStyle name="Normal 4 3 3 4 10 3" xfId="6590"/>
    <cellStyle name="Normal 4 3 3 4 11" xfId="5165"/>
    <cellStyle name="Normal 4 3 3 4 12" xfId="5168"/>
    <cellStyle name="Normal 4 3 3 4 13" xfId="5169"/>
    <cellStyle name="Normal 4 3 3 4 14" xfId="5170"/>
    <cellStyle name="Normal 4 3 3 4 15" xfId="5171"/>
    <cellStyle name="Normal 4 3 3 4 16" xfId="5172"/>
    <cellStyle name="Normal 4 3 3 4 17" xfId="5173"/>
    <cellStyle name="Normal 4 3 3 4 18" xfId="5174"/>
    <cellStyle name="Normal 4 3 3 4 19" xfId="5175"/>
    <cellStyle name="Normal 4 3 3 4 2" xfId="386"/>
    <cellStyle name="Normal 4 3 3 4 2 10" xfId="5177"/>
    <cellStyle name="Normal 4 3 3 4 2 11" xfId="5178"/>
    <cellStyle name="Normal 4 3 3 4 2 12" xfId="5179"/>
    <cellStyle name="Normal 4 3 3 4 2 13" xfId="5180"/>
    <cellStyle name="Normal 4 3 3 4 2 14" xfId="5181"/>
    <cellStyle name="Normal 4 3 3 4 2 15" xfId="6576"/>
    <cellStyle name="Normal 4 3 3 4 2 2" xfId="5176"/>
    <cellStyle name="Normal 4 3 3 4 2 3" xfId="5183"/>
    <cellStyle name="Normal 4 3 3 4 2 4" xfId="5184"/>
    <cellStyle name="Normal 4 3 3 4 2 5" xfId="5185"/>
    <cellStyle name="Normal 4 3 3 4 2 6" xfId="5186"/>
    <cellStyle name="Normal 4 3 3 4 2 7" xfId="5187"/>
    <cellStyle name="Normal 4 3 3 4 2 8" xfId="5188"/>
    <cellStyle name="Normal 4 3 3 4 2 9" xfId="5189"/>
    <cellStyle name="Normal 4 3 3 4 20" xfId="5190"/>
    <cellStyle name="Normal 4 3 3 4 21" xfId="5191"/>
    <cellStyle name="Normal 4 3 3 4 22" xfId="5192"/>
    <cellStyle name="Normal 4 3 3 4 23" xfId="6604"/>
    <cellStyle name="Normal 4 3 3 4 3" xfId="387"/>
    <cellStyle name="Normal 4 3 3 4 3 10" xfId="5194"/>
    <cellStyle name="Normal 4 3 3 4 3 11" xfId="5195"/>
    <cellStyle name="Normal 4 3 3 4 3 12" xfId="5196"/>
    <cellStyle name="Normal 4 3 3 4 3 13" xfId="5197"/>
    <cellStyle name="Normal 4 3 3 4 3 14" xfId="5198"/>
    <cellStyle name="Normal 4 3 3 4 3 15" xfId="6562"/>
    <cellStyle name="Normal 4 3 3 4 3 2" xfId="5193"/>
    <cellStyle name="Normal 4 3 3 4 3 3" xfId="5200"/>
    <cellStyle name="Normal 4 3 3 4 3 4" xfId="5201"/>
    <cellStyle name="Normal 4 3 3 4 3 5" xfId="5202"/>
    <cellStyle name="Normal 4 3 3 4 3 6" xfId="5203"/>
    <cellStyle name="Normal 4 3 3 4 3 7" xfId="5204"/>
    <cellStyle name="Normal 4 3 3 4 3 8" xfId="5205"/>
    <cellStyle name="Normal 4 3 3 4 3 9" xfId="5206"/>
    <cellStyle name="Normal 4 3 3 4 4" xfId="388"/>
    <cellStyle name="Normal 4 3 3 4 4 10" xfId="5208"/>
    <cellStyle name="Normal 4 3 3 4 4 11" xfId="5209"/>
    <cellStyle name="Normal 4 3 3 4 4 12" xfId="5210"/>
    <cellStyle name="Normal 4 3 3 4 4 13" xfId="5211"/>
    <cellStyle name="Normal 4 3 3 4 4 14" xfId="5212"/>
    <cellStyle name="Normal 4 3 3 4 4 15" xfId="6548"/>
    <cellStyle name="Normal 4 3 3 4 4 2" xfId="5207"/>
    <cellStyle name="Normal 4 3 3 4 4 3" xfId="5214"/>
    <cellStyle name="Normal 4 3 3 4 4 4" xfId="5215"/>
    <cellStyle name="Normal 4 3 3 4 4 5" xfId="5216"/>
    <cellStyle name="Normal 4 3 3 4 4 6" xfId="5217"/>
    <cellStyle name="Normal 4 3 3 4 4 7" xfId="5218"/>
    <cellStyle name="Normal 4 3 3 4 4 8" xfId="5219"/>
    <cellStyle name="Normal 4 3 3 4 4 9" xfId="5220"/>
    <cellStyle name="Normal 4 3 3 4 5" xfId="389"/>
    <cellStyle name="Normal 4 3 3 4 5 10" xfId="5222"/>
    <cellStyle name="Normal 4 3 3 4 5 11" xfId="5223"/>
    <cellStyle name="Normal 4 3 3 4 5 12" xfId="5224"/>
    <cellStyle name="Normal 4 3 3 4 5 13" xfId="5225"/>
    <cellStyle name="Normal 4 3 3 4 5 14" xfId="5226"/>
    <cellStyle name="Normal 4 3 3 4 5 15" xfId="6531"/>
    <cellStyle name="Normal 4 3 3 4 5 2" xfId="5221"/>
    <cellStyle name="Normal 4 3 3 4 5 3" xfId="5228"/>
    <cellStyle name="Normal 4 3 3 4 5 4" xfId="5229"/>
    <cellStyle name="Normal 4 3 3 4 5 5" xfId="5230"/>
    <cellStyle name="Normal 4 3 3 4 5 6" xfId="5231"/>
    <cellStyle name="Normal 4 3 3 4 5 7" xfId="5232"/>
    <cellStyle name="Normal 4 3 3 4 5 8" xfId="5233"/>
    <cellStyle name="Normal 4 3 3 4 5 9" xfId="5234"/>
    <cellStyle name="Normal 4 3 3 4 6" xfId="390"/>
    <cellStyle name="Normal 4 3 3 4 6 10" xfId="5236"/>
    <cellStyle name="Normal 4 3 3 4 6 11" xfId="5237"/>
    <cellStyle name="Normal 4 3 3 4 6 12" xfId="5238"/>
    <cellStyle name="Normal 4 3 3 4 6 13" xfId="5239"/>
    <cellStyle name="Normal 4 3 3 4 6 14" xfId="5240"/>
    <cellStyle name="Normal 4 3 3 4 6 15" xfId="6516"/>
    <cellStyle name="Normal 4 3 3 4 6 2" xfId="5235"/>
    <cellStyle name="Normal 4 3 3 4 6 3" xfId="5242"/>
    <cellStyle name="Normal 4 3 3 4 6 4" xfId="5243"/>
    <cellStyle name="Normal 4 3 3 4 6 5" xfId="5244"/>
    <cellStyle name="Normal 4 3 3 4 6 6" xfId="5245"/>
    <cellStyle name="Normal 4 3 3 4 6 7" xfId="5246"/>
    <cellStyle name="Normal 4 3 3 4 6 8" xfId="5247"/>
    <cellStyle name="Normal 4 3 3 4 6 9" xfId="5248"/>
    <cellStyle name="Normal 4 3 3 4 7" xfId="391"/>
    <cellStyle name="Normal 4 3 3 4 7 10" xfId="5250"/>
    <cellStyle name="Normal 4 3 3 4 7 11" xfId="5251"/>
    <cellStyle name="Normal 4 3 3 4 7 12" xfId="5252"/>
    <cellStyle name="Normal 4 3 3 4 7 13" xfId="5253"/>
    <cellStyle name="Normal 4 3 3 4 7 14" xfId="5254"/>
    <cellStyle name="Normal 4 3 3 4 7 15" xfId="6505"/>
    <cellStyle name="Normal 4 3 3 4 7 2" xfId="5249"/>
    <cellStyle name="Normal 4 3 3 4 7 3" xfId="5256"/>
    <cellStyle name="Normal 4 3 3 4 7 4" xfId="5257"/>
    <cellStyle name="Normal 4 3 3 4 7 5" xfId="5258"/>
    <cellStyle name="Normal 4 3 3 4 7 6" xfId="5259"/>
    <cellStyle name="Normal 4 3 3 4 7 7" xfId="5260"/>
    <cellStyle name="Normal 4 3 3 4 7 8" xfId="5261"/>
    <cellStyle name="Normal 4 3 3 4 7 9" xfId="5262"/>
    <cellStyle name="Normal 4 3 3 4 8" xfId="392"/>
    <cellStyle name="Normal 4 3 3 4 8 10" xfId="5264"/>
    <cellStyle name="Normal 4 3 3 4 8 11" xfId="5265"/>
    <cellStyle name="Normal 4 3 3 4 8 12" xfId="5266"/>
    <cellStyle name="Normal 4 3 3 4 8 13" xfId="5267"/>
    <cellStyle name="Normal 4 3 3 4 8 14" xfId="5268"/>
    <cellStyle name="Normal 4 3 3 4 8 15" xfId="6491"/>
    <cellStyle name="Normal 4 3 3 4 8 2" xfId="5263"/>
    <cellStyle name="Normal 4 3 3 4 8 3" xfId="5270"/>
    <cellStyle name="Normal 4 3 3 4 8 4" xfId="5271"/>
    <cellStyle name="Normal 4 3 3 4 8 5" xfId="5272"/>
    <cellStyle name="Normal 4 3 3 4 8 6" xfId="5273"/>
    <cellStyle name="Normal 4 3 3 4 8 7" xfId="5274"/>
    <cellStyle name="Normal 4 3 3 4 8 8" xfId="5275"/>
    <cellStyle name="Normal 4 3 3 4 8 9" xfId="5276"/>
    <cellStyle name="Normal 4 3 3 4 9" xfId="393"/>
    <cellStyle name="Normal 4 3 3 4 9 2" xfId="5277"/>
    <cellStyle name="Normal 4 3 3 4 9 3" xfId="6477"/>
    <cellStyle name="Normal 4 3 3 5" xfId="394"/>
    <cellStyle name="Normal 4 3 3 5 10" xfId="395"/>
    <cellStyle name="Normal 4 3 3 5 10 2" xfId="5279"/>
    <cellStyle name="Normal 4 3 3 5 10 3" xfId="6449"/>
    <cellStyle name="Normal 4 3 3 5 11" xfId="5278"/>
    <cellStyle name="Normal 4 3 3 5 12" xfId="5281"/>
    <cellStyle name="Normal 4 3 3 5 13" xfId="5282"/>
    <cellStyle name="Normal 4 3 3 5 14" xfId="5283"/>
    <cellStyle name="Normal 4 3 3 5 15" xfId="5284"/>
    <cellStyle name="Normal 4 3 3 5 16" xfId="5285"/>
    <cellStyle name="Normal 4 3 3 5 17" xfId="5286"/>
    <cellStyle name="Normal 4 3 3 5 18" xfId="5287"/>
    <cellStyle name="Normal 4 3 3 5 19" xfId="5288"/>
    <cellStyle name="Normal 4 3 3 5 2" xfId="396"/>
    <cellStyle name="Normal 4 3 3 5 2 10" xfId="5290"/>
    <cellStyle name="Normal 4 3 3 5 2 11" xfId="5291"/>
    <cellStyle name="Normal 4 3 3 5 2 12" xfId="5292"/>
    <cellStyle name="Normal 4 3 3 5 2 13" xfId="5293"/>
    <cellStyle name="Normal 4 3 3 5 2 14" xfId="5294"/>
    <cellStyle name="Normal 4 3 3 5 2 15" xfId="6435"/>
    <cellStyle name="Normal 4 3 3 5 2 2" xfId="5289"/>
    <cellStyle name="Normal 4 3 3 5 2 3" xfId="5296"/>
    <cellStyle name="Normal 4 3 3 5 2 4" xfId="5297"/>
    <cellStyle name="Normal 4 3 3 5 2 5" xfId="5298"/>
    <cellStyle name="Normal 4 3 3 5 2 6" xfId="5299"/>
    <cellStyle name="Normal 4 3 3 5 2 7" xfId="5300"/>
    <cellStyle name="Normal 4 3 3 5 2 8" xfId="5301"/>
    <cellStyle name="Normal 4 3 3 5 2 9" xfId="5302"/>
    <cellStyle name="Normal 4 3 3 5 20" xfId="5303"/>
    <cellStyle name="Normal 4 3 3 5 21" xfId="5304"/>
    <cellStyle name="Normal 4 3 3 5 22" xfId="5305"/>
    <cellStyle name="Normal 4 3 3 5 23" xfId="6463"/>
    <cellStyle name="Normal 4 3 3 5 3" xfId="397"/>
    <cellStyle name="Normal 4 3 3 5 3 10" xfId="5307"/>
    <cellStyle name="Normal 4 3 3 5 3 11" xfId="5308"/>
    <cellStyle name="Normal 4 3 3 5 3 12" xfId="5309"/>
    <cellStyle name="Normal 4 3 3 5 3 13" xfId="5310"/>
    <cellStyle name="Normal 4 3 3 5 3 14" xfId="5311"/>
    <cellStyle name="Normal 4 3 3 5 3 15" xfId="6418"/>
    <cellStyle name="Normal 4 3 3 5 3 2" xfId="5306"/>
    <cellStyle name="Normal 4 3 3 5 3 3" xfId="5313"/>
    <cellStyle name="Normal 4 3 3 5 3 4" xfId="5314"/>
    <cellStyle name="Normal 4 3 3 5 3 5" xfId="5315"/>
    <cellStyle name="Normal 4 3 3 5 3 6" xfId="5316"/>
    <cellStyle name="Normal 4 3 3 5 3 7" xfId="5317"/>
    <cellStyle name="Normal 4 3 3 5 3 8" xfId="5318"/>
    <cellStyle name="Normal 4 3 3 5 3 9" xfId="5319"/>
    <cellStyle name="Normal 4 3 3 5 4" xfId="398"/>
    <cellStyle name="Normal 4 3 3 5 4 10" xfId="5321"/>
    <cellStyle name="Normal 4 3 3 5 4 11" xfId="5322"/>
    <cellStyle name="Normal 4 3 3 5 4 12" xfId="5323"/>
    <cellStyle name="Normal 4 3 3 5 4 13" xfId="5324"/>
    <cellStyle name="Normal 4 3 3 5 4 14" xfId="5325"/>
    <cellStyle name="Normal 4 3 3 5 4 15" xfId="6403"/>
    <cellStyle name="Normal 4 3 3 5 4 2" xfId="5320"/>
    <cellStyle name="Normal 4 3 3 5 4 3" xfId="5327"/>
    <cellStyle name="Normal 4 3 3 5 4 4" xfId="5328"/>
    <cellStyle name="Normal 4 3 3 5 4 5" xfId="5329"/>
    <cellStyle name="Normal 4 3 3 5 4 6" xfId="5330"/>
    <cellStyle name="Normal 4 3 3 5 4 7" xfId="5331"/>
    <cellStyle name="Normal 4 3 3 5 4 8" xfId="5332"/>
    <cellStyle name="Normal 4 3 3 5 4 9" xfId="5333"/>
    <cellStyle name="Normal 4 3 3 5 5" xfId="399"/>
    <cellStyle name="Normal 4 3 3 5 5 10" xfId="5335"/>
    <cellStyle name="Normal 4 3 3 5 5 11" xfId="5336"/>
    <cellStyle name="Normal 4 3 3 5 5 12" xfId="5337"/>
    <cellStyle name="Normal 4 3 3 5 5 13" xfId="5338"/>
    <cellStyle name="Normal 4 3 3 5 5 14" xfId="5339"/>
    <cellStyle name="Normal 4 3 3 5 5 15" xfId="6384"/>
    <cellStyle name="Normal 4 3 3 5 5 2" xfId="5334"/>
    <cellStyle name="Normal 4 3 3 5 5 3" xfId="5341"/>
    <cellStyle name="Normal 4 3 3 5 5 4" xfId="5342"/>
    <cellStyle name="Normal 4 3 3 5 5 5" xfId="5343"/>
    <cellStyle name="Normal 4 3 3 5 5 6" xfId="5344"/>
    <cellStyle name="Normal 4 3 3 5 5 7" xfId="5345"/>
    <cellStyle name="Normal 4 3 3 5 5 8" xfId="5346"/>
    <cellStyle name="Normal 4 3 3 5 5 9" xfId="5347"/>
    <cellStyle name="Normal 4 3 3 5 6" xfId="400"/>
    <cellStyle name="Normal 4 3 3 5 6 10" xfId="5349"/>
    <cellStyle name="Normal 4 3 3 5 6 11" xfId="5350"/>
    <cellStyle name="Normal 4 3 3 5 6 12" xfId="5351"/>
    <cellStyle name="Normal 4 3 3 5 6 13" xfId="5352"/>
    <cellStyle name="Normal 4 3 3 5 6 14" xfId="5353"/>
    <cellStyle name="Normal 4 3 3 5 6 15" xfId="6370"/>
    <cellStyle name="Normal 4 3 3 5 6 2" xfId="5348"/>
    <cellStyle name="Normal 4 3 3 5 6 3" xfId="5355"/>
    <cellStyle name="Normal 4 3 3 5 6 4" xfId="5356"/>
    <cellStyle name="Normal 4 3 3 5 6 5" xfId="5357"/>
    <cellStyle name="Normal 4 3 3 5 6 6" xfId="5358"/>
    <cellStyle name="Normal 4 3 3 5 6 7" xfId="5359"/>
    <cellStyle name="Normal 4 3 3 5 6 8" xfId="5360"/>
    <cellStyle name="Normal 4 3 3 5 6 9" xfId="5361"/>
    <cellStyle name="Normal 4 3 3 5 7" xfId="401"/>
    <cellStyle name="Normal 4 3 3 5 7 10" xfId="5363"/>
    <cellStyle name="Normal 4 3 3 5 7 11" xfId="5364"/>
    <cellStyle name="Normal 4 3 3 5 7 12" xfId="5365"/>
    <cellStyle name="Normal 4 3 3 5 7 13" xfId="5366"/>
    <cellStyle name="Normal 4 3 3 5 7 14" xfId="5367"/>
    <cellStyle name="Normal 4 3 3 5 7 15" xfId="6356"/>
    <cellStyle name="Normal 4 3 3 5 7 2" xfId="5362"/>
    <cellStyle name="Normal 4 3 3 5 7 3" xfId="5369"/>
    <cellStyle name="Normal 4 3 3 5 7 4" xfId="5370"/>
    <cellStyle name="Normal 4 3 3 5 7 5" xfId="5371"/>
    <cellStyle name="Normal 4 3 3 5 7 6" xfId="5372"/>
    <cellStyle name="Normal 4 3 3 5 7 7" xfId="5373"/>
    <cellStyle name="Normal 4 3 3 5 7 8" xfId="5374"/>
    <cellStyle name="Normal 4 3 3 5 7 9" xfId="5375"/>
    <cellStyle name="Normal 4 3 3 5 8" xfId="402"/>
    <cellStyle name="Normal 4 3 3 5 8 10" xfId="5377"/>
    <cellStyle name="Normal 4 3 3 5 8 11" xfId="5378"/>
    <cellStyle name="Normal 4 3 3 5 8 12" xfId="5379"/>
    <cellStyle name="Normal 4 3 3 5 8 13" xfId="5380"/>
    <cellStyle name="Normal 4 3 3 5 8 14" xfId="5381"/>
    <cellStyle name="Normal 4 3 3 5 8 15" xfId="6342"/>
    <cellStyle name="Normal 4 3 3 5 8 2" xfId="5376"/>
    <cellStyle name="Normal 4 3 3 5 8 3" xfId="5383"/>
    <cellStyle name="Normal 4 3 3 5 8 4" xfId="5384"/>
    <cellStyle name="Normal 4 3 3 5 8 5" xfId="5385"/>
    <cellStyle name="Normal 4 3 3 5 8 6" xfId="5386"/>
    <cellStyle name="Normal 4 3 3 5 8 7" xfId="5387"/>
    <cellStyle name="Normal 4 3 3 5 8 8" xfId="5388"/>
    <cellStyle name="Normal 4 3 3 5 8 9" xfId="5389"/>
    <cellStyle name="Normal 4 3 3 5 9" xfId="403"/>
    <cellStyle name="Normal 4 3 3 5 9 2" xfId="5390"/>
    <cellStyle name="Normal 4 3 3 5 9 3" xfId="6328"/>
    <cellStyle name="Normal 4 3 3 6" xfId="404"/>
    <cellStyle name="Normal 4 3 3 6 10" xfId="405"/>
    <cellStyle name="Normal 4 3 3 6 10 2" xfId="5392"/>
    <cellStyle name="Normal 4 3 3 6 10 3" xfId="6297"/>
    <cellStyle name="Normal 4 3 3 6 11" xfId="5391"/>
    <cellStyle name="Normal 4 3 3 6 12" xfId="5394"/>
    <cellStyle name="Normal 4 3 3 6 13" xfId="5395"/>
    <cellStyle name="Normal 4 3 3 6 14" xfId="5396"/>
    <cellStyle name="Normal 4 3 3 6 15" xfId="5397"/>
    <cellStyle name="Normal 4 3 3 6 16" xfId="5398"/>
    <cellStyle name="Normal 4 3 3 6 17" xfId="5399"/>
    <cellStyle name="Normal 4 3 3 6 18" xfId="5400"/>
    <cellStyle name="Normal 4 3 3 6 19" xfId="5401"/>
    <cellStyle name="Normal 4 3 3 6 2" xfId="406"/>
    <cellStyle name="Normal 4 3 3 6 2 10" xfId="5403"/>
    <cellStyle name="Normal 4 3 3 6 2 11" xfId="5404"/>
    <cellStyle name="Normal 4 3 3 6 2 12" xfId="5405"/>
    <cellStyle name="Normal 4 3 3 6 2 13" xfId="5406"/>
    <cellStyle name="Normal 4 3 3 6 2 14" xfId="5407"/>
    <cellStyle name="Normal 4 3 3 6 2 15" xfId="6282"/>
    <cellStyle name="Normal 4 3 3 6 2 2" xfId="5402"/>
    <cellStyle name="Normal 4 3 3 6 2 3" xfId="5409"/>
    <cellStyle name="Normal 4 3 3 6 2 4" xfId="5410"/>
    <cellStyle name="Normal 4 3 3 6 2 5" xfId="5411"/>
    <cellStyle name="Normal 4 3 3 6 2 6" xfId="5412"/>
    <cellStyle name="Normal 4 3 3 6 2 7" xfId="5413"/>
    <cellStyle name="Normal 4 3 3 6 2 8" xfId="5414"/>
    <cellStyle name="Normal 4 3 3 6 2 9" xfId="5415"/>
    <cellStyle name="Normal 4 3 3 6 20" xfId="5416"/>
    <cellStyle name="Normal 4 3 3 6 21" xfId="5417"/>
    <cellStyle name="Normal 4 3 3 6 22" xfId="5418"/>
    <cellStyle name="Normal 4 3 3 6 23" xfId="6314"/>
    <cellStyle name="Normal 4 3 3 6 3" xfId="407"/>
    <cellStyle name="Normal 4 3 3 6 3 10" xfId="5420"/>
    <cellStyle name="Normal 4 3 3 6 3 11" xfId="5421"/>
    <cellStyle name="Normal 4 3 3 6 3 12" xfId="5422"/>
    <cellStyle name="Normal 4 3 3 6 3 13" xfId="5423"/>
    <cellStyle name="Normal 4 3 3 6 3 14" xfId="5424"/>
    <cellStyle name="Normal 4 3 3 6 3 15" xfId="6276"/>
    <cellStyle name="Normal 4 3 3 6 3 2" xfId="5419"/>
    <cellStyle name="Normal 4 3 3 6 3 3" xfId="5426"/>
    <cellStyle name="Normal 4 3 3 6 3 4" xfId="5427"/>
    <cellStyle name="Normal 4 3 3 6 3 5" xfId="5428"/>
    <cellStyle name="Normal 4 3 3 6 3 6" xfId="5429"/>
    <cellStyle name="Normal 4 3 3 6 3 7" xfId="5430"/>
    <cellStyle name="Normal 4 3 3 6 3 8" xfId="5431"/>
    <cellStyle name="Normal 4 3 3 6 3 9" xfId="5432"/>
    <cellStyle name="Normal 4 3 3 6 4" xfId="408"/>
    <cellStyle name="Normal 4 3 3 6 4 10" xfId="5434"/>
    <cellStyle name="Normal 4 3 3 6 4 11" xfId="5435"/>
    <cellStyle name="Normal 4 3 3 6 4 12" xfId="5436"/>
    <cellStyle name="Normal 4 3 3 6 4 13" xfId="5437"/>
    <cellStyle name="Normal 4 3 3 6 4 14" xfId="5438"/>
    <cellStyle name="Normal 4 3 3 6 4 15" xfId="6266"/>
    <cellStyle name="Normal 4 3 3 6 4 2" xfId="5433"/>
    <cellStyle name="Normal 4 3 3 6 4 3" xfId="5440"/>
    <cellStyle name="Normal 4 3 3 6 4 4" xfId="5441"/>
    <cellStyle name="Normal 4 3 3 6 4 5" xfId="5442"/>
    <cellStyle name="Normal 4 3 3 6 4 6" xfId="5443"/>
    <cellStyle name="Normal 4 3 3 6 4 7" xfId="5444"/>
    <cellStyle name="Normal 4 3 3 6 4 8" xfId="5445"/>
    <cellStyle name="Normal 4 3 3 6 4 9" xfId="5446"/>
    <cellStyle name="Normal 4 3 3 6 5" xfId="409"/>
    <cellStyle name="Normal 4 3 3 6 5 10" xfId="5448"/>
    <cellStyle name="Normal 4 3 3 6 5 11" xfId="5449"/>
    <cellStyle name="Normal 4 3 3 6 5 12" xfId="5450"/>
    <cellStyle name="Normal 4 3 3 6 5 13" xfId="5451"/>
    <cellStyle name="Normal 4 3 3 6 5 14" xfId="5452"/>
    <cellStyle name="Normal 4 3 3 6 5 15" xfId="6252"/>
    <cellStyle name="Normal 4 3 3 6 5 2" xfId="5447"/>
    <cellStyle name="Normal 4 3 3 6 5 3" xfId="5454"/>
    <cellStyle name="Normal 4 3 3 6 5 4" xfId="5455"/>
    <cellStyle name="Normal 4 3 3 6 5 5" xfId="5456"/>
    <cellStyle name="Normal 4 3 3 6 5 6" xfId="5457"/>
    <cellStyle name="Normal 4 3 3 6 5 7" xfId="5458"/>
    <cellStyle name="Normal 4 3 3 6 5 8" xfId="5459"/>
    <cellStyle name="Normal 4 3 3 6 5 9" xfId="5460"/>
    <cellStyle name="Normal 4 3 3 6 6" xfId="410"/>
    <cellStyle name="Normal 4 3 3 6 6 10" xfId="5462"/>
    <cellStyle name="Normal 4 3 3 6 6 11" xfId="5463"/>
    <cellStyle name="Normal 4 3 3 6 6 12" xfId="5464"/>
    <cellStyle name="Normal 4 3 3 6 6 13" xfId="5465"/>
    <cellStyle name="Normal 4 3 3 6 6 14" xfId="5466"/>
    <cellStyle name="Normal 4 3 3 6 6 15" xfId="6238"/>
    <cellStyle name="Normal 4 3 3 6 6 2" xfId="5461"/>
    <cellStyle name="Normal 4 3 3 6 6 3" xfId="5468"/>
    <cellStyle name="Normal 4 3 3 6 6 4" xfId="5469"/>
    <cellStyle name="Normal 4 3 3 6 6 5" xfId="5470"/>
    <cellStyle name="Normal 4 3 3 6 6 6" xfId="5471"/>
    <cellStyle name="Normal 4 3 3 6 6 7" xfId="5472"/>
    <cellStyle name="Normal 4 3 3 6 6 8" xfId="5473"/>
    <cellStyle name="Normal 4 3 3 6 6 9" xfId="5474"/>
    <cellStyle name="Normal 4 3 3 6 7" xfId="411"/>
    <cellStyle name="Normal 4 3 3 6 7 10" xfId="5476"/>
    <cellStyle name="Normal 4 3 3 6 7 11" xfId="5477"/>
    <cellStyle name="Normal 4 3 3 6 7 12" xfId="5478"/>
    <cellStyle name="Normal 4 3 3 6 7 13" xfId="5479"/>
    <cellStyle name="Normal 4 3 3 6 7 14" xfId="5480"/>
    <cellStyle name="Normal 4 3 3 6 7 15" xfId="6224"/>
    <cellStyle name="Normal 4 3 3 6 7 2" xfId="5475"/>
    <cellStyle name="Normal 4 3 3 6 7 3" xfId="5482"/>
    <cellStyle name="Normal 4 3 3 6 7 4" xfId="5483"/>
    <cellStyle name="Normal 4 3 3 6 7 5" xfId="5484"/>
    <cellStyle name="Normal 4 3 3 6 7 6" xfId="5485"/>
    <cellStyle name="Normal 4 3 3 6 7 7" xfId="5486"/>
    <cellStyle name="Normal 4 3 3 6 7 8" xfId="5487"/>
    <cellStyle name="Normal 4 3 3 6 7 9" xfId="5488"/>
    <cellStyle name="Normal 4 3 3 6 8" xfId="412"/>
    <cellStyle name="Normal 4 3 3 6 8 10" xfId="5490"/>
    <cellStyle name="Normal 4 3 3 6 8 11" xfId="5491"/>
    <cellStyle name="Normal 4 3 3 6 8 12" xfId="5492"/>
    <cellStyle name="Normal 4 3 3 6 8 13" xfId="5493"/>
    <cellStyle name="Normal 4 3 3 6 8 14" xfId="5494"/>
    <cellStyle name="Normal 4 3 3 6 8 15" xfId="6215"/>
    <cellStyle name="Normal 4 3 3 6 8 2" xfId="5489"/>
    <cellStyle name="Normal 4 3 3 6 8 3" xfId="5496"/>
    <cellStyle name="Normal 4 3 3 6 8 4" xfId="5497"/>
    <cellStyle name="Normal 4 3 3 6 8 5" xfId="5498"/>
    <cellStyle name="Normal 4 3 3 6 8 6" xfId="5499"/>
    <cellStyle name="Normal 4 3 3 6 8 7" xfId="5500"/>
    <cellStyle name="Normal 4 3 3 6 8 8" xfId="5501"/>
    <cellStyle name="Normal 4 3 3 6 8 9" xfId="5502"/>
    <cellStyle name="Normal 4 3 3 6 9" xfId="413"/>
    <cellStyle name="Normal 4 3 3 6 9 2" xfId="5503"/>
    <cellStyle name="Normal 4 3 3 6 9 3" xfId="6205"/>
    <cellStyle name="Normal 4 3 3 7" xfId="414"/>
    <cellStyle name="Normal 4 3 3 7 10" xfId="5505"/>
    <cellStyle name="Normal 4 3 3 7 11" xfId="5506"/>
    <cellStyle name="Normal 4 3 3 7 12" xfId="5507"/>
    <cellStyle name="Normal 4 3 3 7 13" xfId="5508"/>
    <cellStyle name="Normal 4 3 3 7 14" xfId="5509"/>
    <cellStyle name="Normal 4 3 3 7 15" xfId="6191"/>
    <cellStyle name="Normal 4 3 3 7 2" xfId="5504"/>
    <cellStyle name="Normal 4 3 3 7 3" xfId="5511"/>
    <cellStyle name="Normal 4 3 3 7 4" xfId="5512"/>
    <cellStyle name="Normal 4 3 3 7 5" xfId="5513"/>
    <cellStyle name="Normal 4 3 3 7 6" xfId="5514"/>
    <cellStyle name="Normal 4 3 3 7 7" xfId="5515"/>
    <cellStyle name="Normal 4 3 3 7 8" xfId="5516"/>
    <cellStyle name="Normal 4 3 3 7 9" xfId="5517"/>
    <cellStyle name="Normal 4 3 3 8" xfId="415"/>
    <cellStyle name="Normal 4 3 3 8 10" xfId="5519"/>
    <cellStyle name="Normal 4 3 3 8 11" xfId="5520"/>
    <cellStyle name="Normal 4 3 3 8 12" xfId="5521"/>
    <cellStyle name="Normal 4 3 3 8 13" xfId="5522"/>
    <cellStyle name="Normal 4 3 3 8 14" xfId="5523"/>
    <cellStyle name="Normal 4 3 3 8 15" xfId="6177"/>
    <cellStyle name="Normal 4 3 3 8 2" xfId="5518"/>
    <cellStyle name="Normal 4 3 3 8 3" xfId="5525"/>
    <cellStyle name="Normal 4 3 3 8 4" xfId="5526"/>
    <cellStyle name="Normal 4 3 3 8 5" xfId="5527"/>
    <cellStyle name="Normal 4 3 3 8 6" xfId="5528"/>
    <cellStyle name="Normal 4 3 3 8 7" xfId="5529"/>
    <cellStyle name="Normal 4 3 3 8 8" xfId="5530"/>
    <cellStyle name="Normal 4 3 3 8 9" xfId="5531"/>
    <cellStyle name="Normal 4 3 3 9" xfId="416"/>
    <cellStyle name="Normal 4 3 3 9 10" xfId="5533"/>
    <cellStyle name="Normal 4 3 3 9 11" xfId="5534"/>
    <cellStyle name="Normal 4 3 3 9 12" xfId="5535"/>
    <cellStyle name="Normal 4 3 3 9 13" xfId="5536"/>
    <cellStyle name="Normal 4 3 3 9 14" xfId="5537"/>
    <cellStyle name="Normal 4 3 3 9 15" xfId="6163"/>
    <cellStyle name="Normal 4 3 3 9 2" xfId="5532"/>
    <cellStyle name="Normal 4 3 3 9 3" xfId="5539"/>
    <cellStyle name="Normal 4 3 3 9 4" xfId="5540"/>
    <cellStyle name="Normal 4 3 3 9 5" xfId="5541"/>
    <cellStyle name="Normal 4 3 3 9 6" xfId="5542"/>
    <cellStyle name="Normal 4 3 3 9 7" xfId="5543"/>
    <cellStyle name="Normal 4 3 3 9 8" xfId="5544"/>
    <cellStyle name="Normal 4 3 3 9 9" xfId="5545"/>
    <cellStyle name="Normal 4 3 30" xfId="7970"/>
    <cellStyle name="Normal 4 3 31" xfId="12078"/>
    <cellStyle name="Normal 4 3 32" xfId="33545"/>
    <cellStyle name="Normal 4 3 33" xfId="46526"/>
    <cellStyle name="Normal 4 3 4" xfId="417"/>
    <cellStyle name="Normal 4 3 4 10" xfId="418"/>
    <cellStyle name="Normal 4 3 4 10 2" xfId="5547"/>
    <cellStyle name="Normal 4 3 4 10 3" xfId="6135"/>
    <cellStyle name="Normal 4 3 4 11" xfId="5546"/>
    <cellStyle name="Normal 4 3 4 12" xfId="5549"/>
    <cellStyle name="Normal 4 3 4 13" xfId="5550"/>
    <cellStyle name="Normal 4 3 4 14" xfId="5551"/>
    <cellStyle name="Normal 4 3 4 15" xfId="5552"/>
    <cellStyle name="Normal 4 3 4 16" xfId="5553"/>
    <cellStyle name="Normal 4 3 4 17" xfId="5554"/>
    <cellStyle name="Normal 4 3 4 18" xfId="5555"/>
    <cellStyle name="Normal 4 3 4 19" xfId="5556"/>
    <cellStyle name="Normal 4 3 4 2" xfId="419"/>
    <cellStyle name="Normal 4 3 4 2 10" xfId="5558"/>
    <cellStyle name="Normal 4 3 4 2 11" xfId="5559"/>
    <cellStyle name="Normal 4 3 4 2 12" xfId="5560"/>
    <cellStyle name="Normal 4 3 4 2 13" xfId="5561"/>
    <cellStyle name="Normal 4 3 4 2 14" xfId="5562"/>
    <cellStyle name="Normal 4 3 4 2 15" xfId="6117"/>
    <cellStyle name="Normal 4 3 4 2 2" xfId="5557"/>
    <cellStyle name="Normal 4 3 4 2 3" xfId="5564"/>
    <cellStyle name="Normal 4 3 4 2 4" xfId="5565"/>
    <cellStyle name="Normal 4 3 4 2 5" xfId="5566"/>
    <cellStyle name="Normal 4 3 4 2 6" xfId="5567"/>
    <cellStyle name="Normal 4 3 4 2 7" xfId="5568"/>
    <cellStyle name="Normal 4 3 4 2 8" xfId="5569"/>
    <cellStyle name="Normal 4 3 4 2 9" xfId="5570"/>
    <cellStyle name="Normal 4 3 4 20" xfId="5571"/>
    <cellStyle name="Normal 4 3 4 21" xfId="5572"/>
    <cellStyle name="Normal 4 3 4 22" xfId="5573"/>
    <cellStyle name="Normal 4 3 4 23" xfId="6149"/>
    <cellStyle name="Normal 4 3 4 24" xfId="33548"/>
    <cellStyle name="Normal 4 3 4 3" xfId="420"/>
    <cellStyle name="Normal 4 3 4 3 10" xfId="5575"/>
    <cellStyle name="Normal 4 3 4 3 11" xfId="5576"/>
    <cellStyle name="Normal 4 3 4 3 12" xfId="5577"/>
    <cellStyle name="Normal 4 3 4 3 13" xfId="5578"/>
    <cellStyle name="Normal 4 3 4 3 14" xfId="5579"/>
    <cellStyle name="Normal 4 3 4 3 15" xfId="6102"/>
    <cellStyle name="Normal 4 3 4 3 2" xfId="5574"/>
    <cellStyle name="Normal 4 3 4 3 3" xfId="5581"/>
    <cellStyle name="Normal 4 3 4 3 4" xfId="5582"/>
    <cellStyle name="Normal 4 3 4 3 5" xfId="5583"/>
    <cellStyle name="Normal 4 3 4 3 6" xfId="5584"/>
    <cellStyle name="Normal 4 3 4 3 7" xfId="5585"/>
    <cellStyle name="Normal 4 3 4 3 8" xfId="5586"/>
    <cellStyle name="Normal 4 3 4 3 9" xfId="5587"/>
    <cellStyle name="Normal 4 3 4 4" xfId="421"/>
    <cellStyle name="Normal 4 3 4 4 10" xfId="5589"/>
    <cellStyle name="Normal 4 3 4 4 11" xfId="5590"/>
    <cellStyle name="Normal 4 3 4 4 12" xfId="5591"/>
    <cellStyle name="Normal 4 3 4 4 13" xfId="5592"/>
    <cellStyle name="Normal 4 3 4 4 14" xfId="5593"/>
    <cellStyle name="Normal 4 3 4 4 15" xfId="6088"/>
    <cellStyle name="Normal 4 3 4 4 2" xfId="5588"/>
    <cellStyle name="Normal 4 3 4 4 3" xfId="5595"/>
    <cellStyle name="Normal 4 3 4 4 4" xfId="5596"/>
    <cellStyle name="Normal 4 3 4 4 5" xfId="5597"/>
    <cellStyle name="Normal 4 3 4 4 6" xfId="5598"/>
    <cellStyle name="Normal 4 3 4 4 7" xfId="5599"/>
    <cellStyle name="Normal 4 3 4 4 8" xfId="5600"/>
    <cellStyle name="Normal 4 3 4 4 9" xfId="5601"/>
    <cellStyle name="Normal 4 3 4 5" xfId="422"/>
    <cellStyle name="Normal 4 3 4 5 10" xfId="5603"/>
    <cellStyle name="Normal 4 3 4 5 11" xfId="5604"/>
    <cellStyle name="Normal 4 3 4 5 12" xfId="5605"/>
    <cellStyle name="Normal 4 3 4 5 13" xfId="5606"/>
    <cellStyle name="Normal 4 3 4 5 14" xfId="5607"/>
    <cellStyle name="Normal 4 3 4 5 15" xfId="6074"/>
    <cellStyle name="Normal 4 3 4 5 2" xfId="5602"/>
    <cellStyle name="Normal 4 3 4 5 3" xfId="5609"/>
    <cellStyle name="Normal 4 3 4 5 4" xfId="5610"/>
    <cellStyle name="Normal 4 3 4 5 5" xfId="5611"/>
    <cellStyle name="Normal 4 3 4 5 6" xfId="5612"/>
    <cellStyle name="Normal 4 3 4 5 7" xfId="5613"/>
    <cellStyle name="Normal 4 3 4 5 8" xfId="5614"/>
    <cellStyle name="Normal 4 3 4 5 9" xfId="5615"/>
    <cellStyle name="Normal 4 3 4 6" xfId="423"/>
    <cellStyle name="Normal 4 3 4 6 10" xfId="5617"/>
    <cellStyle name="Normal 4 3 4 6 11" xfId="5618"/>
    <cellStyle name="Normal 4 3 4 6 12" xfId="5619"/>
    <cellStyle name="Normal 4 3 4 6 13" xfId="5620"/>
    <cellStyle name="Normal 4 3 4 6 14" xfId="5621"/>
    <cellStyle name="Normal 4 3 4 6 15" xfId="6060"/>
    <cellStyle name="Normal 4 3 4 6 2" xfId="5616"/>
    <cellStyle name="Normal 4 3 4 6 3" xfId="5623"/>
    <cellStyle name="Normal 4 3 4 6 4" xfId="5624"/>
    <cellStyle name="Normal 4 3 4 6 5" xfId="5625"/>
    <cellStyle name="Normal 4 3 4 6 6" xfId="5626"/>
    <cellStyle name="Normal 4 3 4 6 7" xfId="5627"/>
    <cellStyle name="Normal 4 3 4 6 8" xfId="5628"/>
    <cellStyle name="Normal 4 3 4 6 9" xfId="5629"/>
    <cellStyle name="Normal 4 3 4 7" xfId="424"/>
    <cellStyle name="Normal 4 3 4 7 10" xfId="5631"/>
    <cellStyle name="Normal 4 3 4 7 11" xfId="5632"/>
    <cellStyle name="Normal 4 3 4 7 12" xfId="5633"/>
    <cellStyle name="Normal 4 3 4 7 13" xfId="5634"/>
    <cellStyle name="Normal 4 3 4 7 14" xfId="5635"/>
    <cellStyle name="Normal 4 3 4 7 15" xfId="6046"/>
    <cellStyle name="Normal 4 3 4 7 2" xfId="5630"/>
    <cellStyle name="Normal 4 3 4 7 3" xfId="5637"/>
    <cellStyle name="Normal 4 3 4 7 4" xfId="5638"/>
    <cellStyle name="Normal 4 3 4 7 5" xfId="5639"/>
    <cellStyle name="Normal 4 3 4 7 6" xfId="5640"/>
    <cellStyle name="Normal 4 3 4 7 7" xfId="5641"/>
    <cellStyle name="Normal 4 3 4 7 8" xfId="5642"/>
    <cellStyle name="Normal 4 3 4 7 9" xfId="5643"/>
    <cellStyle name="Normal 4 3 4 8" xfId="425"/>
    <cellStyle name="Normal 4 3 4 8 10" xfId="5645"/>
    <cellStyle name="Normal 4 3 4 8 11" xfId="5646"/>
    <cellStyle name="Normal 4 3 4 8 12" xfId="5647"/>
    <cellStyle name="Normal 4 3 4 8 13" xfId="5648"/>
    <cellStyle name="Normal 4 3 4 8 14" xfId="5649"/>
    <cellStyle name="Normal 4 3 4 8 15" xfId="6032"/>
    <cellStyle name="Normal 4 3 4 8 2" xfId="5644"/>
    <cellStyle name="Normal 4 3 4 8 3" xfId="5651"/>
    <cellStyle name="Normal 4 3 4 8 4" xfId="5652"/>
    <cellStyle name="Normal 4 3 4 8 5" xfId="5653"/>
    <cellStyle name="Normal 4 3 4 8 6" xfId="5654"/>
    <cellStyle name="Normal 4 3 4 8 7" xfId="5655"/>
    <cellStyle name="Normal 4 3 4 8 8" xfId="5656"/>
    <cellStyle name="Normal 4 3 4 8 9" xfId="5657"/>
    <cellStyle name="Normal 4 3 4 9" xfId="426"/>
    <cellStyle name="Normal 4 3 4 9 2" xfId="5658"/>
    <cellStyle name="Normal 4 3 4 9 3" xfId="6015"/>
    <cellStyle name="Normal 4 3 5" xfId="427"/>
    <cellStyle name="Normal 4 3 5 10" xfId="428"/>
    <cellStyle name="Normal 4 3 5 10 2" xfId="5660"/>
    <cellStyle name="Normal 4 3 5 10 3" xfId="5989"/>
    <cellStyle name="Normal 4 3 5 11" xfId="5659"/>
    <cellStyle name="Normal 4 3 5 12" xfId="5662"/>
    <cellStyle name="Normal 4 3 5 13" xfId="5663"/>
    <cellStyle name="Normal 4 3 5 14" xfId="5664"/>
    <cellStyle name="Normal 4 3 5 15" xfId="5665"/>
    <cellStyle name="Normal 4 3 5 16" xfId="5666"/>
    <cellStyle name="Normal 4 3 5 17" xfId="5667"/>
    <cellStyle name="Normal 4 3 5 18" xfId="5668"/>
    <cellStyle name="Normal 4 3 5 19" xfId="5669"/>
    <cellStyle name="Normal 4 3 5 2" xfId="429"/>
    <cellStyle name="Normal 4 3 5 2 10" xfId="5671"/>
    <cellStyle name="Normal 4 3 5 2 11" xfId="5672"/>
    <cellStyle name="Normal 4 3 5 2 12" xfId="5673"/>
    <cellStyle name="Normal 4 3 5 2 13" xfId="5674"/>
    <cellStyle name="Normal 4 3 5 2 14" xfId="5675"/>
    <cellStyle name="Normal 4 3 5 2 15" xfId="5975"/>
    <cellStyle name="Normal 4 3 5 2 2" xfId="5670"/>
    <cellStyle name="Normal 4 3 5 2 3" xfId="5677"/>
    <cellStyle name="Normal 4 3 5 2 4" xfId="5678"/>
    <cellStyle name="Normal 4 3 5 2 5" xfId="5679"/>
    <cellStyle name="Normal 4 3 5 2 6" xfId="5680"/>
    <cellStyle name="Normal 4 3 5 2 7" xfId="5681"/>
    <cellStyle name="Normal 4 3 5 2 8" xfId="5682"/>
    <cellStyle name="Normal 4 3 5 2 9" xfId="5683"/>
    <cellStyle name="Normal 4 3 5 20" xfId="5684"/>
    <cellStyle name="Normal 4 3 5 21" xfId="5685"/>
    <cellStyle name="Normal 4 3 5 22" xfId="5686"/>
    <cellStyle name="Normal 4 3 5 23" xfId="6000"/>
    <cellStyle name="Normal 4 3 5 24" xfId="33549"/>
    <cellStyle name="Normal 4 3 5 3" xfId="430"/>
    <cellStyle name="Normal 4 3 5 3 10" xfId="5688"/>
    <cellStyle name="Normal 4 3 5 3 11" xfId="5689"/>
    <cellStyle name="Normal 4 3 5 3 12" xfId="5690"/>
    <cellStyle name="Normal 4 3 5 3 13" xfId="5691"/>
    <cellStyle name="Normal 4 3 5 3 14" xfId="5692"/>
    <cellStyle name="Normal 4 3 5 3 15" xfId="5961"/>
    <cellStyle name="Normal 4 3 5 3 2" xfId="5687"/>
    <cellStyle name="Normal 4 3 5 3 3" xfId="5694"/>
    <cellStyle name="Normal 4 3 5 3 4" xfId="5695"/>
    <cellStyle name="Normal 4 3 5 3 5" xfId="5696"/>
    <cellStyle name="Normal 4 3 5 3 6" xfId="5697"/>
    <cellStyle name="Normal 4 3 5 3 7" xfId="5698"/>
    <cellStyle name="Normal 4 3 5 3 8" xfId="5699"/>
    <cellStyle name="Normal 4 3 5 3 9" xfId="5700"/>
    <cellStyle name="Normal 4 3 5 4" xfId="431"/>
    <cellStyle name="Normal 4 3 5 4 10" xfId="5702"/>
    <cellStyle name="Normal 4 3 5 4 11" xfId="5703"/>
    <cellStyle name="Normal 4 3 5 4 12" xfId="5704"/>
    <cellStyle name="Normal 4 3 5 4 13" xfId="5705"/>
    <cellStyle name="Normal 4 3 5 4 14" xfId="5706"/>
    <cellStyle name="Normal 4 3 5 4 15" xfId="5947"/>
    <cellStyle name="Normal 4 3 5 4 2" xfId="5701"/>
    <cellStyle name="Normal 4 3 5 4 3" xfId="5708"/>
    <cellStyle name="Normal 4 3 5 4 4" xfId="5709"/>
    <cellStyle name="Normal 4 3 5 4 5" xfId="5710"/>
    <cellStyle name="Normal 4 3 5 4 6" xfId="5711"/>
    <cellStyle name="Normal 4 3 5 4 7" xfId="5712"/>
    <cellStyle name="Normal 4 3 5 4 8" xfId="5713"/>
    <cellStyle name="Normal 4 3 5 4 9" xfId="5714"/>
    <cellStyle name="Normal 4 3 5 5" xfId="432"/>
    <cellStyle name="Normal 4 3 5 5 10" xfId="5716"/>
    <cellStyle name="Normal 4 3 5 5 11" xfId="5717"/>
    <cellStyle name="Normal 4 3 5 5 12" xfId="5718"/>
    <cellStyle name="Normal 4 3 5 5 13" xfId="5719"/>
    <cellStyle name="Normal 4 3 5 5 14" xfId="5720"/>
    <cellStyle name="Normal 4 3 5 5 15" xfId="5933"/>
    <cellStyle name="Normal 4 3 5 5 2" xfId="5715"/>
    <cellStyle name="Normal 4 3 5 5 3" xfId="5722"/>
    <cellStyle name="Normal 4 3 5 5 4" xfId="5723"/>
    <cellStyle name="Normal 4 3 5 5 5" xfId="5724"/>
    <cellStyle name="Normal 4 3 5 5 6" xfId="5725"/>
    <cellStyle name="Normal 4 3 5 5 7" xfId="5726"/>
    <cellStyle name="Normal 4 3 5 5 8" xfId="5727"/>
    <cellStyle name="Normal 4 3 5 5 9" xfId="5728"/>
    <cellStyle name="Normal 4 3 5 6" xfId="433"/>
    <cellStyle name="Normal 4 3 5 6 10" xfId="5730"/>
    <cellStyle name="Normal 4 3 5 6 11" xfId="5731"/>
    <cellStyle name="Normal 4 3 5 6 12" xfId="5732"/>
    <cellStyle name="Normal 4 3 5 6 13" xfId="5733"/>
    <cellStyle name="Normal 4 3 5 6 14" xfId="5734"/>
    <cellStyle name="Normal 4 3 5 6 15" xfId="5919"/>
    <cellStyle name="Normal 4 3 5 6 2" xfId="5729"/>
    <cellStyle name="Normal 4 3 5 6 3" xfId="5736"/>
    <cellStyle name="Normal 4 3 5 6 4" xfId="5737"/>
    <cellStyle name="Normal 4 3 5 6 5" xfId="5738"/>
    <cellStyle name="Normal 4 3 5 6 6" xfId="5739"/>
    <cellStyle name="Normal 4 3 5 6 7" xfId="5740"/>
    <cellStyle name="Normal 4 3 5 6 8" xfId="5741"/>
    <cellStyle name="Normal 4 3 5 6 9" xfId="5742"/>
    <cellStyle name="Normal 4 3 5 7" xfId="434"/>
    <cellStyle name="Normal 4 3 5 7 10" xfId="5744"/>
    <cellStyle name="Normal 4 3 5 7 11" xfId="5745"/>
    <cellStyle name="Normal 4 3 5 7 12" xfId="5746"/>
    <cellStyle name="Normal 4 3 5 7 13" xfId="5747"/>
    <cellStyle name="Normal 4 3 5 7 14" xfId="5748"/>
    <cellStyle name="Normal 4 3 5 7 15" xfId="5902"/>
    <cellStyle name="Normal 4 3 5 7 2" xfId="5743"/>
    <cellStyle name="Normal 4 3 5 7 3" xfId="5750"/>
    <cellStyle name="Normal 4 3 5 7 4" xfId="5751"/>
    <cellStyle name="Normal 4 3 5 7 5" xfId="5752"/>
    <cellStyle name="Normal 4 3 5 7 6" xfId="5753"/>
    <cellStyle name="Normal 4 3 5 7 7" xfId="5754"/>
    <cellStyle name="Normal 4 3 5 7 8" xfId="5755"/>
    <cellStyle name="Normal 4 3 5 7 9" xfId="5756"/>
    <cellStyle name="Normal 4 3 5 8" xfId="435"/>
    <cellStyle name="Normal 4 3 5 8 10" xfId="5758"/>
    <cellStyle name="Normal 4 3 5 8 11" xfId="5759"/>
    <cellStyle name="Normal 4 3 5 8 12" xfId="5760"/>
    <cellStyle name="Normal 4 3 5 8 13" xfId="5761"/>
    <cellStyle name="Normal 4 3 5 8 14" xfId="5762"/>
    <cellStyle name="Normal 4 3 5 8 15" xfId="5887"/>
    <cellStyle name="Normal 4 3 5 8 2" xfId="5757"/>
    <cellStyle name="Normal 4 3 5 8 3" xfId="5764"/>
    <cellStyle name="Normal 4 3 5 8 4" xfId="5765"/>
    <cellStyle name="Normal 4 3 5 8 5" xfId="5766"/>
    <cellStyle name="Normal 4 3 5 8 6" xfId="5767"/>
    <cellStyle name="Normal 4 3 5 8 7" xfId="5768"/>
    <cellStyle name="Normal 4 3 5 8 8" xfId="5769"/>
    <cellStyle name="Normal 4 3 5 8 9" xfId="5770"/>
    <cellStyle name="Normal 4 3 5 9" xfId="436"/>
    <cellStyle name="Normal 4 3 5 9 2" xfId="5771"/>
    <cellStyle name="Normal 4 3 5 9 3" xfId="5876"/>
    <cellStyle name="Normal 4 3 6" xfId="437"/>
    <cellStyle name="Normal 4 3 6 10" xfId="438"/>
    <cellStyle name="Normal 4 3 6 10 2" xfId="5773"/>
    <cellStyle name="Normal 4 3 6 10 3" xfId="5848"/>
    <cellStyle name="Normal 4 3 6 11" xfId="5772"/>
    <cellStyle name="Normal 4 3 6 12" xfId="5775"/>
    <cellStyle name="Normal 4 3 6 13" xfId="5776"/>
    <cellStyle name="Normal 4 3 6 14" xfId="5777"/>
    <cellStyle name="Normal 4 3 6 15" xfId="5778"/>
    <cellStyle name="Normal 4 3 6 16" xfId="5779"/>
    <cellStyle name="Normal 4 3 6 17" xfId="5780"/>
    <cellStyle name="Normal 4 3 6 18" xfId="5781"/>
    <cellStyle name="Normal 4 3 6 19" xfId="5782"/>
    <cellStyle name="Normal 4 3 6 2" xfId="439"/>
    <cellStyle name="Normal 4 3 6 2 10" xfId="5784"/>
    <cellStyle name="Normal 4 3 6 2 11" xfId="5785"/>
    <cellStyle name="Normal 4 3 6 2 12" xfId="5786"/>
    <cellStyle name="Normal 4 3 6 2 13" xfId="5787"/>
    <cellStyle name="Normal 4 3 6 2 14" xfId="5788"/>
    <cellStyle name="Normal 4 3 6 2 15" xfId="5834"/>
    <cellStyle name="Normal 4 3 6 2 2" xfId="5783"/>
    <cellStyle name="Normal 4 3 6 2 3" xfId="5790"/>
    <cellStyle name="Normal 4 3 6 2 4" xfId="5791"/>
    <cellStyle name="Normal 4 3 6 2 5" xfId="5792"/>
    <cellStyle name="Normal 4 3 6 2 6" xfId="5793"/>
    <cellStyle name="Normal 4 3 6 2 7" xfId="5794"/>
    <cellStyle name="Normal 4 3 6 2 8" xfId="5795"/>
    <cellStyle name="Normal 4 3 6 2 9" xfId="5796"/>
    <cellStyle name="Normal 4 3 6 20" xfId="5797"/>
    <cellStyle name="Normal 4 3 6 21" xfId="5798"/>
    <cellStyle name="Normal 4 3 6 22" xfId="5799"/>
    <cellStyle name="Normal 4 3 6 23" xfId="5862"/>
    <cellStyle name="Normal 4 3 6 3" xfId="440"/>
    <cellStyle name="Normal 4 3 6 3 10" xfId="5801"/>
    <cellStyle name="Normal 4 3 6 3 11" xfId="5802"/>
    <cellStyle name="Normal 4 3 6 3 12" xfId="5803"/>
    <cellStyle name="Normal 4 3 6 3 13" xfId="5804"/>
    <cellStyle name="Normal 4 3 6 3 14" xfId="5805"/>
    <cellStyle name="Normal 4 3 6 3 15" xfId="5820"/>
    <cellStyle name="Normal 4 3 6 3 2" xfId="5800"/>
    <cellStyle name="Normal 4 3 6 3 3" xfId="5807"/>
    <cellStyle name="Normal 4 3 6 3 4" xfId="5808"/>
    <cellStyle name="Normal 4 3 6 3 5" xfId="5809"/>
    <cellStyle name="Normal 4 3 6 3 6" xfId="5810"/>
    <cellStyle name="Normal 4 3 6 3 7" xfId="5811"/>
    <cellStyle name="Normal 4 3 6 3 8" xfId="5812"/>
    <cellStyle name="Normal 4 3 6 3 9" xfId="5813"/>
    <cellStyle name="Normal 4 3 6 4" xfId="441"/>
    <cellStyle name="Normal 4 3 6 4 10" xfId="5815"/>
    <cellStyle name="Normal 4 3 6 4 11" xfId="5816"/>
    <cellStyle name="Normal 4 3 6 4 12" xfId="5817"/>
    <cellStyle name="Normal 4 3 6 4 13" xfId="5818"/>
    <cellStyle name="Normal 4 3 6 4 14" xfId="5819"/>
    <cellStyle name="Normal 4 3 6 4 15" xfId="5806"/>
    <cellStyle name="Normal 4 3 6 4 2" xfId="5814"/>
    <cellStyle name="Normal 4 3 6 4 3" xfId="5821"/>
    <cellStyle name="Normal 4 3 6 4 4" xfId="5822"/>
    <cellStyle name="Normal 4 3 6 4 5" xfId="5823"/>
    <cellStyle name="Normal 4 3 6 4 6" xfId="5824"/>
    <cellStyle name="Normal 4 3 6 4 7" xfId="5825"/>
    <cellStyle name="Normal 4 3 6 4 8" xfId="5826"/>
    <cellStyle name="Normal 4 3 6 4 9" xfId="5827"/>
    <cellStyle name="Normal 4 3 6 5" xfId="442"/>
    <cellStyle name="Normal 4 3 6 5 10" xfId="5829"/>
    <cellStyle name="Normal 4 3 6 5 11" xfId="5830"/>
    <cellStyle name="Normal 4 3 6 5 12" xfId="5831"/>
    <cellStyle name="Normal 4 3 6 5 13" xfId="5832"/>
    <cellStyle name="Normal 4 3 6 5 14" xfId="5833"/>
    <cellStyle name="Normal 4 3 6 5 15" xfId="5789"/>
    <cellStyle name="Normal 4 3 6 5 2" xfId="5828"/>
    <cellStyle name="Normal 4 3 6 5 3" xfId="5835"/>
    <cellStyle name="Normal 4 3 6 5 4" xfId="5836"/>
    <cellStyle name="Normal 4 3 6 5 5" xfId="5837"/>
    <cellStyle name="Normal 4 3 6 5 6" xfId="5838"/>
    <cellStyle name="Normal 4 3 6 5 7" xfId="5839"/>
    <cellStyle name="Normal 4 3 6 5 8" xfId="5840"/>
    <cellStyle name="Normal 4 3 6 5 9" xfId="5841"/>
    <cellStyle name="Normal 4 3 6 6" xfId="443"/>
    <cellStyle name="Normal 4 3 6 6 10" xfId="5843"/>
    <cellStyle name="Normal 4 3 6 6 11" xfId="5844"/>
    <cellStyle name="Normal 4 3 6 6 12" xfId="5845"/>
    <cellStyle name="Normal 4 3 6 6 13" xfId="5846"/>
    <cellStyle name="Normal 4 3 6 6 14" xfId="5847"/>
    <cellStyle name="Normal 4 3 6 6 15" xfId="5774"/>
    <cellStyle name="Normal 4 3 6 6 2" xfId="5842"/>
    <cellStyle name="Normal 4 3 6 6 3" xfId="5849"/>
    <cellStyle name="Normal 4 3 6 6 4" xfId="5850"/>
    <cellStyle name="Normal 4 3 6 6 5" xfId="5851"/>
    <cellStyle name="Normal 4 3 6 6 6" xfId="5852"/>
    <cellStyle name="Normal 4 3 6 6 7" xfId="5853"/>
    <cellStyle name="Normal 4 3 6 6 8" xfId="5854"/>
    <cellStyle name="Normal 4 3 6 6 9" xfId="5855"/>
    <cellStyle name="Normal 4 3 6 7" xfId="444"/>
    <cellStyle name="Normal 4 3 6 7 10" xfId="5857"/>
    <cellStyle name="Normal 4 3 6 7 11" xfId="5858"/>
    <cellStyle name="Normal 4 3 6 7 12" xfId="5859"/>
    <cellStyle name="Normal 4 3 6 7 13" xfId="5860"/>
    <cellStyle name="Normal 4 3 6 7 14" xfId="5861"/>
    <cellStyle name="Normal 4 3 6 7 15" xfId="5763"/>
    <cellStyle name="Normal 4 3 6 7 2" xfId="5856"/>
    <cellStyle name="Normal 4 3 6 7 3" xfId="5863"/>
    <cellStyle name="Normal 4 3 6 7 4" xfId="5864"/>
    <cellStyle name="Normal 4 3 6 7 5" xfId="5865"/>
    <cellStyle name="Normal 4 3 6 7 6" xfId="5866"/>
    <cellStyle name="Normal 4 3 6 7 7" xfId="5867"/>
    <cellStyle name="Normal 4 3 6 7 8" xfId="5868"/>
    <cellStyle name="Normal 4 3 6 7 9" xfId="5869"/>
    <cellStyle name="Normal 4 3 6 8" xfId="445"/>
    <cellStyle name="Normal 4 3 6 8 10" xfId="5871"/>
    <cellStyle name="Normal 4 3 6 8 11" xfId="5872"/>
    <cellStyle name="Normal 4 3 6 8 12" xfId="5873"/>
    <cellStyle name="Normal 4 3 6 8 13" xfId="5874"/>
    <cellStyle name="Normal 4 3 6 8 14" xfId="5875"/>
    <cellStyle name="Normal 4 3 6 8 15" xfId="5749"/>
    <cellStyle name="Normal 4 3 6 8 2" xfId="5870"/>
    <cellStyle name="Normal 4 3 6 8 3" xfId="5877"/>
    <cellStyle name="Normal 4 3 6 8 4" xfId="5878"/>
    <cellStyle name="Normal 4 3 6 8 5" xfId="5879"/>
    <cellStyle name="Normal 4 3 6 8 6" xfId="5880"/>
    <cellStyle name="Normal 4 3 6 8 7" xfId="5881"/>
    <cellStyle name="Normal 4 3 6 8 8" xfId="5882"/>
    <cellStyle name="Normal 4 3 6 8 9" xfId="5883"/>
    <cellStyle name="Normal 4 3 6 9" xfId="446"/>
    <cellStyle name="Normal 4 3 6 9 2" xfId="5884"/>
    <cellStyle name="Normal 4 3 6 9 3" xfId="5735"/>
    <cellStyle name="Normal 4 3 7" xfId="447"/>
    <cellStyle name="Normal 4 3 7 10" xfId="448"/>
    <cellStyle name="Normal 4 3 7 10 2" xfId="5886"/>
    <cellStyle name="Normal 4 3 7 10 3" xfId="5707"/>
    <cellStyle name="Normal 4 3 7 11" xfId="5885"/>
    <cellStyle name="Normal 4 3 7 12" xfId="5888"/>
    <cellStyle name="Normal 4 3 7 13" xfId="5889"/>
    <cellStyle name="Normal 4 3 7 14" xfId="5890"/>
    <cellStyle name="Normal 4 3 7 15" xfId="5891"/>
    <cellStyle name="Normal 4 3 7 16" xfId="5892"/>
    <cellStyle name="Normal 4 3 7 17" xfId="5893"/>
    <cellStyle name="Normal 4 3 7 18" xfId="5894"/>
    <cellStyle name="Normal 4 3 7 19" xfId="5895"/>
    <cellStyle name="Normal 4 3 7 2" xfId="449"/>
    <cellStyle name="Normal 4 3 7 2 10" xfId="5897"/>
    <cellStyle name="Normal 4 3 7 2 11" xfId="5898"/>
    <cellStyle name="Normal 4 3 7 2 12" xfId="5899"/>
    <cellStyle name="Normal 4 3 7 2 13" xfId="5900"/>
    <cellStyle name="Normal 4 3 7 2 14" xfId="5901"/>
    <cellStyle name="Normal 4 3 7 2 15" xfId="5693"/>
    <cellStyle name="Normal 4 3 7 2 2" xfId="5896"/>
    <cellStyle name="Normal 4 3 7 2 3" xfId="5903"/>
    <cellStyle name="Normal 4 3 7 2 4" xfId="5904"/>
    <cellStyle name="Normal 4 3 7 2 5" xfId="5905"/>
    <cellStyle name="Normal 4 3 7 2 6" xfId="5906"/>
    <cellStyle name="Normal 4 3 7 2 7" xfId="5907"/>
    <cellStyle name="Normal 4 3 7 2 8" xfId="5908"/>
    <cellStyle name="Normal 4 3 7 2 9" xfId="5909"/>
    <cellStyle name="Normal 4 3 7 20" xfId="5910"/>
    <cellStyle name="Normal 4 3 7 21" xfId="5911"/>
    <cellStyle name="Normal 4 3 7 22" xfId="5912"/>
    <cellStyle name="Normal 4 3 7 23" xfId="5721"/>
    <cellStyle name="Normal 4 3 7 3" xfId="450"/>
    <cellStyle name="Normal 4 3 7 3 10" xfId="5914"/>
    <cellStyle name="Normal 4 3 7 3 11" xfId="5915"/>
    <cellStyle name="Normal 4 3 7 3 12" xfId="5916"/>
    <cellStyle name="Normal 4 3 7 3 13" xfId="5917"/>
    <cellStyle name="Normal 4 3 7 3 14" xfId="5918"/>
    <cellStyle name="Normal 4 3 7 3 15" xfId="5676"/>
    <cellStyle name="Normal 4 3 7 3 2" xfId="5913"/>
    <cellStyle name="Normal 4 3 7 3 3" xfId="5920"/>
    <cellStyle name="Normal 4 3 7 3 4" xfId="5921"/>
    <cellStyle name="Normal 4 3 7 3 5" xfId="5922"/>
    <cellStyle name="Normal 4 3 7 3 6" xfId="5923"/>
    <cellStyle name="Normal 4 3 7 3 7" xfId="5924"/>
    <cellStyle name="Normal 4 3 7 3 8" xfId="5925"/>
    <cellStyle name="Normal 4 3 7 3 9" xfId="5926"/>
    <cellStyle name="Normal 4 3 7 4" xfId="451"/>
    <cellStyle name="Normal 4 3 7 4 10" xfId="5928"/>
    <cellStyle name="Normal 4 3 7 4 11" xfId="5929"/>
    <cellStyle name="Normal 4 3 7 4 12" xfId="5930"/>
    <cellStyle name="Normal 4 3 7 4 13" xfId="5931"/>
    <cellStyle name="Normal 4 3 7 4 14" xfId="5932"/>
    <cellStyle name="Normal 4 3 7 4 15" xfId="5661"/>
    <cellStyle name="Normal 4 3 7 4 2" xfId="5927"/>
    <cellStyle name="Normal 4 3 7 4 3" xfId="5934"/>
    <cellStyle name="Normal 4 3 7 4 4" xfId="5935"/>
    <cellStyle name="Normal 4 3 7 4 5" xfId="5936"/>
    <cellStyle name="Normal 4 3 7 4 6" xfId="5937"/>
    <cellStyle name="Normal 4 3 7 4 7" xfId="5938"/>
    <cellStyle name="Normal 4 3 7 4 8" xfId="5939"/>
    <cellStyle name="Normal 4 3 7 4 9" xfId="5940"/>
    <cellStyle name="Normal 4 3 7 5" xfId="452"/>
    <cellStyle name="Normal 4 3 7 5 10" xfId="5942"/>
    <cellStyle name="Normal 4 3 7 5 11" xfId="5943"/>
    <cellStyle name="Normal 4 3 7 5 12" xfId="5944"/>
    <cellStyle name="Normal 4 3 7 5 13" xfId="5945"/>
    <cellStyle name="Normal 4 3 7 5 14" xfId="5946"/>
    <cellStyle name="Normal 4 3 7 5 15" xfId="5650"/>
    <cellStyle name="Normal 4 3 7 5 2" xfId="5941"/>
    <cellStyle name="Normal 4 3 7 5 3" xfId="5948"/>
    <cellStyle name="Normal 4 3 7 5 4" xfId="5949"/>
    <cellStyle name="Normal 4 3 7 5 5" xfId="5950"/>
    <cellStyle name="Normal 4 3 7 5 6" xfId="5951"/>
    <cellStyle name="Normal 4 3 7 5 7" xfId="5952"/>
    <cellStyle name="Normal 4 3 7 5 8" xfId="5953"/>
    <cellStyle name="Normal 4 3 7 5 9" xfId="5954"/>
    <cellStyle name="Normal 4 3 7 6" xfId="453"/>
    <cellStyle name="Normal 4 3 7 6 10" xfId="5956"/>
    <cellStyle name="Normal 4 3 7 6 11" xfId="5957"/>
    <cellStyle name="Normal 4 3 7 6 12" xfId="5958"/>
    <cellStyle name="Normal 4 3 7 6 13" xfId="5959"/>
    <cellStyle name="Normal 4 3 7 6 14" xfId="5960"/>
    <cellStyle name="Normal 4 3 7 6 15" xfId="5636"/>
    <cellStyle name="Normal 4 3 7 6 2" xfId="5955"/>
    <cellStyle name="Normal 4 3 7 6 3" xfId="5962"/>
    <cellStyle name="Normal 4 3 7 6 4" xfId="5963"/>
    <cellStyle name="Normal 4 3 7 6 5" xfId="5964"/>
    <cellStyle name="Normal 4 3 7 6 6" xfId="5965"/>
    <cellStyle name="Normal 4 3 7 6 7" xfId="5966"/>
    <cellStyle name="Normal 4 3 7 6 8" xfId="5967"/>
    <cellStyle name="Normal 4 3 7 6 9" xfId="5968"/>
    <cellStyle name="Normal 4 3 7 7" xfId="454"/>
    <cellStyle name="Normal 4 3 7 7 10" xfId="5970"/>
    <cellStyle name="Normal 4 3 7 7 11" xfId="5971"/>
    <cellStyle name="Normal 4 3 7 7 12" xfId="5972"/>
    <cellStyle name="Normal 4 3 7 7 13" xfId="5973"/>
    <cellStyle name="Normal 4 3 7 7 14" xfId="5974"/>
    <cellStyle name="Normal 4 3 7 7 15" xfId="5622"/>
    <cellStyle name="Normal 4 3 7 7 2" xfId="5969"/>
    <cellStyle name="Normal 4 3 7 7 3" xfId="5976"/>
    <cellStyle name="Normal 4 3 7 7 4" xfId="5977"/>
    <cellStyle name="Normal 4 3 7 7 5" xfId="5978"/>
    <cellStyle name="Normal 4 3 7 7 6" xfId="5979"/>
    <cellStyle name="Normal 4 3 7 7 7" xfId="5980"/>
    <cellStyle name="Normal 4 3 7 7 8" xfId="5981"/>
    <cellStyle name="Normal 4 3 7 7 9" xfId="5982"/>
    <cellStyle name="Normal 4 3 7 8" xfId="455"/>
    <cellStyle name="Normal 4 3 7 8 10" xfId="5984"/>
    <cellStyle name="Normal 4 3 7 8 11" xfId="5985"/>
    <cellStyle name="Normal 4 3 7 8 12" xfId="5986"/>
    <cellStyle name="Normal 4 3 7 8 13" xfId="5987"/>
    <cellStyle name="Normal 4 3 7 8 14" xfId="5988"/>
    <cellStyle name="Normal 4 3 7 8 15" xfId="5608"/>
    <cellStyle name="Normal 4 3 7 8 2" xfId="5983"/>
    <cellStyle name="Normal 4 3 7 8 3" xfId="5990"/>
    <cellStyle name="Normal 4 3 7 8 4" xfId="5991"/>
    <cellStyle name="Normal 4 3 7 8 5" xfId="5992"/>
    <cellStyle name="Normal 4 3 7 8 6" xfId="5993"/>
    <cellStyle name="Normal 4 3 7 8 7" xfId="5994"/>
    <cellStyle name="Normal 4 3 7 8 8" xfId="5995"/>
    <cellStyle name="Normal 4 3 7 8 9" xfId="5996"/>
    <cellStyle name="Normal 4 3 7 9" xfId="456"/>
    <cellStyle name="Normal 4 3 7 9 2" xfId="5997"/>
    <cellStyle name="Normal 4 3 7 9 3" xfId="5594"/>
    <cellStyle name="Normal 4 3 8" xfId="457"/>
    <cellStyle name="Normal 4 3 8 10" xfId="458"/>
    <cellStyle name="Normal 4 3 8 10 2" xfId="5999"/>
    <cellStyle name="Normal 4 3 8 10 3" xfId="5563"/>
    <cellStyle name="Normal 4 3 8 11" xfId="5998"/>
    <cellStyle name="Normal 4 3 8 12" xfId="6001"/>
    <cellStyle name="Normal 4 3 8 13" xfId="6002"/>
    <cellStyle name="Normal 4 3 8 14" xfId="6003"/>
    <cellStyle name="Normal 4 3 8 15" xfId="6004"/>
    <cellStyle name="Normal 4 3 8 16" xfId="6005"/>
    <cellStyle name="Normal 4 3 8 17" xfId="6006"/>
    <cellStyle name="Normal 4 3 8 18" xfId="6007"/>
    <cellStyle name="Normal 4 3 8 19" xfId="6008"/>
    <cellStyle name="Normal 4 3 8 2" xfId="459"/>
    <cellStyle name="Normal 4 3 8 2 10" xfId="6010"/>
    <cellStyle name="Normal 4 3 8 2 11" xfId="6011"/>
    <cellStyle name="Normal 4 3 8 2 12" xfId="6012"/>
    <cellStyle name="Normal 4 3 8 2 13" xfId="6013"/>
    <cellStyle name="Normal 4 3 8 2 14" xfId="6014"/>
    <cellStyle name="Normal 4 3 8 2 15" xfId="5548"/>
    <cellStyle name="Normal 4 3 8 2 2" xfId="6009"/>
    <cellStyle name="Normal 4 3 8 2 3" xfId="6016"/>
    <cellStyle name="Normal 4 3 8 2 4" xfId="6017"/>
    <cellStyle name="Normal 4 3 8 2 5" xfId="6018"/>
    <cellStyle name="Normal 4 3 8 2 6" xfId="6019"/>
    <cellStyle name="Normal 4 3 8 2 7" xfId="6020"/>
    <cellStyle name="Normal 4 3 8 2 8" xfId="6021"/>
    <cellStyle name="Normal 4 3 8 2 9" xfId="6022"/>
    <cellStyle name="Normal 4 3 8 20" xfId="6023"/>
    <cellStyle name="Normal 4 3 8 21" xfId="6024"/>
    <cellStyle name="Normal 4 3 8 22" xfId="6025"/>
    <cellStyle name="Normal 4 3 8 23" xfId="5580"/>
    <cellStyle name="Normal 4 3 8 3" xfId="460"/>
    <cellStyle name="Normal 4 3 8 3 10" xfId="6027"/>
    <cellStyle name="Normal 4 3 8 3 11" xfId="6028"/>
    <cellStyle name="Normal 4 3 8 3 12" xfId="6029"/>
    <cellStyle name="Normal 4 3 8 3 13" xfId="6030"/>
    <cellStyle name="Normal 4 3 8 3 14" xfId="6031"/>
    <cellStyle name="Normal 4 3 8 3 15" xfId="5538"/>
    <cellStyle name="Normal 4 3 8 3 2" xfId="6026"/>
    <cellStyle name="Normal 4 3 8 3 3" xfId="6033"/>
    <cellStyle name="Normal 4 3 8 3 4" xfId="6034"/>
    <cellStyle name="Normal 4 3 8 3 5" xfId="6035"/>
    <cellStyle name="Normal 4 3 8 3 6" xfId="6036"/>
    <cellStyle name="Normal 4 3 8 3 7" xfId="6037"/>
    <cellStyle name="Normal 4 3 8 3 8" xfId="6038"/>
    <cellStyle name="Normal 4 3 8 3 9" xfId="6039"/>
    <cellStyle name="Normal 4 3 8 4" xfId="461"/>
    <cellStyle name="Normal 4 3 8 4 10" xfId="6041"/>
    <cellStyle name="Normal 4 3 8 4 11" xfId="6042"/>
    <cellStyle name="Normal 4 3 8 4 12" xfId="6043"/>
    <cellStyle name="Normal 4 3 8 4 13" xfId="6044"/>
    <cellStyle name="Normal 4 3 8 4 14" xfId="6045"/>
    <cellStyle name="Normal 4 3 8 4 15" xfId="5524"/>
    <cellStyle name="Normal 4 3 8 4 2" xfId="6040"/>
    <cellStyle name="Normal 4 3 8 4 3" xfId="6047"/>
    <cellStyle name="Normal 4 3 8 4 4" xfId="6048"/>
    <cellStyle name="Normal 4 3 8 4 5" xfId="6049"/>
    <cellStyle name="Normal 4 3 8 4 6" xfId="6050"/>
    <cellStyle name="Normal 4 3 8 4 7" xfId="6051"/>
    <cellStyle name="Normal 4 3 8 4 8" xfId="6052"/>
    <cellStyle name="Normal 4 3 8 4 9" xfId="6053"/>
    <cellStyle name="Normal 4 3 8 5" xfId="462"/>
    <cellStyle name="Normal 4 3 8 5 10" xfId="6055"/>
    <cellStyle name="Normal 4 3 8 5 11" xfId="6056"/>
    <cellStyle name="Normal 4 3 8 5 12" xfId="6057"/>
    <cellStyle name="Normal 4 3 8 5 13" xfId="6058"/>
    <cellStyle name="Normal 4 3 8 5 14" xfId="6059"/>
    <cellStyle name="Normal 4 3 8 5 15" xfId="5510"/>
    <cellStyle name="Normal 4 3 8 5 2" xfId="6054"/>
    <cellStyle name="Normal 4 3 8 5 3" xfId="6061"/>
    <cellStyle name="Normal 4 3 8 5 4" xfId="6062"/>
    <cellStyle name="Normal 4 3 8 5 5" xfId="6063"/>
    <cellStyle name="Normal 4 3 8 5 6" xfId="6064"/>
    <cellStyle name="Normal 4 3 8 5 7" xfId="6065"/>
    <cellStyle name="Normal 4 3 8 5 8" xfId="6066"/>
    <cellStyle name="Normal 4 3 8 5 9" xfId="6067"/>
    <cellStyle name="Normal 4 3 8 6" xfId="463"/>
    <cellStyle name="Normal 4 3 8 6 10" xfId="6069"/>
    <cellStyle name="Normal 4 3 8 6 11" xfId="6070"/>
    <cellStyle name="Normal 4 3 8 6 12" xfId="6071"/>
    <cellStyle name="Normal 4 3 8 6 13" xfId="6072"/>
    <cellStyle name="Normal 4 3 8 6 14" xfId="6073"/>
    <cellStyle name="Normal 4 3 8 6 15" xfId="5495"/>
    <cellStyle name="Normal 4 3 8 6 2" xfId="6068"/>
    <cellStyle name="Normal 4 3 8 6 3" xfId="6075"/>
    <cellStyle name="Normal 4 3 8 6 4" xfId="6076"/>
    <cellStyle name="Normal 4 3 8 6 5" xfId="6077"/>
    <cellStyle name="Normal 4 3 8 6 6" xfId="6078"/>
    <cellStyle name="Normal 4 3 8 6 7" xfId="6079"/>
    <cellStyle name="Normal 4 3 8 6 8" xfId="6080"/>
    <cellStyle name="Normal 4 3 8 6 9" xfId="6081"/>
    <cellStyle name="Normal 4 3 8 7" xfId="464"/>
    <cellStyle name="Normal 4 3 8 7 10" xfId="6083"/>
    <cellStyle name="Normal 4 3 8 7 11" xfId="6084"/>
    <cellStyle name="Normal 4 3 8 7 12" xfId="6085"/>
    <cellStyle name="Normal 4 3 8 7 13" xfId="6086"/>
    <cellStyle name="Normal 4 3 8 7 14" xfId="6087"/>
    <cellStyle name="Normal 4 3 8 7 15" xfId="5481"/>
    <cellStyle name="Normal 4 3 8 7 2" xfId="6082"/>
    <cellStyle name="Normal 4 3 8 7 3" xfId="6089"/>
    <cellStyle name="Normal 4 3 8 7 4" xfId="6090"/>
    <cellStyle name="Normal 4 3 8 7 5" xfId="6091"/>
    <cellStyle name="Normal 4 3 8 7 6" xfId="6092"/>
    <cellStyle name="Normal 4 3 8 7 7" xfId="6093"/>
    <cellStyle name="Normal 4 3 8 7 8" xfId="6094"/>
    <cellStyle name="Normal 4 3 8 7 9" xfId="6095"/>
    <cellStyle name="Normal 4 3 8 8" xfId="465"/>
    <cellStyle name="Normal 4 3 8 8 10" xfId="6097"/>
    <cellStyle name="Normal 4 3 8 8 11" xfId="6098"/>
    <cellStyle name="Normal 4 3 8 8 12" xfId="6099"/>
    <cellStyle name="Normal 4 3 8 8 13" xfId="6100"/>
    <cellStyle name="Normal 4 3 8 8 14" xfId="6101"/>
    <cellStyle name="Normal 4 3 8 8 15" xfId="5467"/>
    <cellStyle name="Normal 4 3 8 8 2" xfId="6096"/>
    <cellStyle name="Normal 4 3 8 8 3" xfId="6103"/>
    <cellStyle name="Normal 4 3 8 8 4" xfId="6104"/>
    <cellStyle name="Normal 4 3 8 8 5" xfId="6105"/>
    <cellStyle name="Normal 4 3 8 8 6" xfId="6106"/>
    <cellStyle name="Normal 4 3 8 8 7" xfId="6107"/>
    <cellStyle name="Normal 4 3 8 8 8" xfId="6108"/>
    <cellStyle name="Normal 4 3 8 8 9" xfId="6109"/>
    <cellStyle name="Normal 4 3 8 9" xfId="466"/>
    <cellStyle name="Normal 4 3 8 9 2" xfId="6110"/>
    <cellStyle name="Normal 4 3 8 9 3" xfId="5453"/>
    <cellStyle name="Normal 4 3 9" xfId="467"/>
    <cellStyle name="Normal 4 3 9 10" xfId="6112"/>
    <cellStyle name="Normal 4 3 9 11" xfId="6113"/>
    <cellStyle name="Normal 4 3 9 12" xfId="6114"/>
    <cellStyle name="Normal 4 3 9 13" xfId="6115"/>
    <cellStyle name="Normal 4 3 9 14" xfId="6116"/>
    <cellStyle name="Normal 4 3 9 15" xfId="5439"/>
    <cellStyle name="Normal 4 3 9 2" xfId="6111"/>
    <cellStyle name="Normal 4 3 9 3" xfId="6118"/>
    <cellStyle name="Normal 4 3 9 4" xfId="6119"/>
    <cellStyle name="Normal 4 3 9 5" xfId="6120"/>
    <cellStyle name="Normal 4 3 9 6" xfId="6121"/>
    <cellStyle name="Normal 4 3 9 7" xfId="6122"/>
    <cellStyle name="Normal 4 3 9 8" xfId="6123"/>
    <cellStyle name="Normal 4 3 9 9" xfId="6124"/>
    <cellStyle name="Normal 4 30" xfId="6125"/>
    <cellStyle name="Normal 4 31" xfId="6126"/>
    <cellStyle name="Normal 4 32" xfId="6127"/>
    <cellStyle name="Normal 4 33" xfId="10922"/>
    <cellStyle name="Normal 4 34" xfId="11887"/>
    <cellStyle name="Normal 4 35" xfId="33533"/>
    <cellStyle name="Normal 4 36" xfId="51378"/>
    <cellStyle name="Normal 4 4" xfId="468"/>
    <cellStyle name="Normal 4 4 10" xfId="469"/>
    <cellStyle name="Normal 4 4 10 10" xfId="6130"/>
    <cellStyle name="Normal 4 4 10 11" xfId="6131"/>
    <cellStyle name="Normal 4 4 10 12" xfId="6132"/>
    <cellStyle name="Normal 4 4 10 13" xfId="6133"/>
    <cellStyle name="Normal 4 4 10 14" xfId="6134"/>
    <cellStyle name="Normal 4 4 10 15" xfId="5408"/>
    <cellStyle name="Normal 4 4 10 2" xfId="6129"/>
    <cellStyle name="Normal 4 4 10 3" xfId="6136"/>
    <cellStyle name="Normal 4 4 10 4" xfId="6137"/>
    <cellStyle name="Normal 4 4 10 5" xfId="6138"/>
    <cellStyle name="Normal 4 4 10 6" xfId="6139"/>
    <cellStyle name="Normal 4 4 10 7" xfId="6140"/>
    <cellStyle name="Normal 4 4 10 8" xfId="6141"/>
    <cellStyle name="Normal 4 4 10 9" xfId="6142"/>
    <cellStyle name="Normal 4 4 11" xfId="470"/>
    <cellStyle name="Normal 4 4 11 10" xfId="6144"/>
    <cellStyle name="Normal 4 4 11 11" xfId="6145"/>
    <cellStyle name="Normal 4 4 11 12" xfId="6146"/>
    <cellStyle name="Normal 4 4 11 13" xfId="6147"/>
    <cellStyle name="Normal 4 4 11 14" xfId="6148"/>
    <cellStyle name="Normal 4 4 11 15" xfId="5393"/>
    <cellStyle name="Normal 4 4 11 2" xfId="6143"/>
    <cellStyle name="Normal 4 4 11 3" xfId="6150"/>
    <cellStyle name="Normal 4 4 11 4" xfId="6151"/>
    <cellStyle name="Normal 4 4 11 5" xfId="6152"/>
    <cellStyle name="Normal 4 4 11 6" xfId="6153"/>
    <cellStyle name="Normal 4 4 11 7" xfId="6154"/>
    <cellStyle name="Normal 4 4 11 8" xfId="6155"/>
    <cellStyle name="Normal 4 4 11 9" xfId="6156"/>
    <cellStyle name="Normal 4 4 12" xfId="471"/>
    <cellStyle name="Normal 4 4 12 10" xfId="6158"/>
    <cellStyle name="Normal 4 4 12 11" xfId="6159"/>
    <cellStyle name="Normal 4 4 12 12" xfId="6160"/>
    <cellStyle name="Normal 4 4 12 13" xfId="6161"/>
    <cellStyle name="Normal 4 4 12 14" xfId="6162"/>
    <cellStyle name="Normal 4 4 12 15" xfId="5382"/>
    <cellStyle name="Normal 4 4 12 2" xfId="6157"/>
    <cellStyle name="Normal 4 4 12 3" xfId="6164"/>
    <cellStyle name="Normal 4 4 12 4" xfId="6165"/>
    <cellStyle name="Normal 4 4 12 5" xfId="6166"/>
    <cellStyle name="Normal 4 4 12 6" xfId="6167"/>
    <cellStyle name="Normal 4 4 12 7" xfId="6168"/>
    <cellStyle name="Normal 4 4 12 8" xfId="6169"/>
    <cellStyle name="Normal 4 4 12 9" xfId="6170"/>
    <cellStyle name="Normal 4 4 13" xfId="472"/>
    <cellStyle name="Normal 4 4 13 10" xfId="6172"/>
    <cellStyle name="Normal 4 4 13 11" xfId="6173"/>
    <cellStyle name="Normal 4 4 13 12" xfId="6174"/>
    <cellStyle name="Normal 4 4 13 13" xfId="6175"/>
    <cellStyle name="Normal 4 4 13 14" xfId="6176"/>
    <cellStyle name="Normal 4 4 13 15" xfId="5368"/>
    <cellStyle name="Normal 4 4 13 2" xfId="6171"/>
    <cellStyle name="Normal 4 4 13 3" xfId="6178"/>
    <cellStyle name="Normal 4 4 13 4" xfId="6179"/>
    <cellStyle name="Normal 4 4 13 5" xfId="6180"/>
    <cellStyle name="Normal 4 4 13 6" xfId="6181"/>
    <cellStyle name="Normal 4 4 13 7" xfId="6182"/>
    <cellStyle name="Normal 4 4 13 8" xfId="6183"/>
    <cellStyle name="Normal 4 4 13 9" xfId="6184"/>
    <cellStyle name="Normal 4 4 14" xfId="473"/>
    <cellStyle name="Normal 4 4 14 10" xfId="6186"/>
    <cellStyle name="Normal 4 4 14 11" xfId="6187"/>
    <cellStyle name="Normal 4 4 14 12" xfId="6188"/>
    <cellStyle name="Normal 4 4 14 13" xfId="6189"/>
    <cellStyle name="Normal 4 4 14 14" xfId="6190"/>
    <cellStyle name="Normal 4 4 14 15" xfId="5354"/>
    <cellStyle name="Normal 4 4 14 2" xfId="6185"/>
    <cellStyle name="Normal 4 4 14 3" xfId="6192"/>
    <cellStyle name="Normal 4 4 14 4" xfId="6193"/>
    <cellStyle name="Normal 4 4 14 5" xfId="6194"/>
    <cellStyle name="Normal 4 4 14 6" xfId="6195"/>
    <cellStyle name="Normal 4 4 14 7" xfId="6196"/>
    <cellStyle name="Normal 4 4 14 8" xfId="6197"/>
    <cellStyle name="Normal 4 4 14 9" xfId="6198"/>
    <cellStyle name="Normal 4 4 15" xfId="474"/>
    <cellStyle name="Normal 4 4 15 10" xfId="6200"/>
    <cellStyle name="Normal 4 4 15 11" xfId="6201"/>
    <cellStyle name="Normal 4 4 15 12" xfId="6202"/>
    <cellStyle name="Normal 4 4 15 13" xfId="6203"/>
    <cellStyle name="Normal 4 4 15 14" xfId="6204"/>
    <cellStyle name="Normal 4 4 15 15" xfId="5340"/>
    <cellStyle name="Normal 4 4 15 2" xfId="6199"/>
    <cellStyle name="Normal 4 4 15 3" xfId="6206"/>
    <cellStyle name="Normal 4 4 15 4" xfId="6207"/>
    <cellStyle name="Normal 4 4 15 5" xfId="6208"/>
    <cellStyle name="Normal 4 4 15 6" xfId="6209"/>
    <cellStyle name="Normal 4 4 15 7" xfId="6210"/>
    <cellStyle name="Normal 4 4 15 8" xfId="6211"/>
    <cellStyle name="Normal 4 4 15 9" xfId="6212"/>
    <cellStyle name="Normal 4 4 16" xfId="475"/>
    <cellStyle name="Normal 4 4 16 2" xfId="6213"/>
    <cellStyle name="Normal 4 4 16 3" xfId="5326"/>
    <cellStyle name="Normal 4 4 17" xfId="476"/>
    <cellStyle name="Normal 4 4 17 2" xfId="6214"/>
    <cellStyle name="Normal 4 4 17 3" xfId="5312"/>
    <cellStyle name="Normal 4 4 18" xfId="6128"/>
    <cellStyle name="Normal 4 4 19" xfId="6216"/>
    <cellStyle name="Normal 4 4 2" xfId="477"/>
    <cellStyle name="Normal 4 4 2 10" xfId="478"/>
    <cellStyle name="Normal 4 4 2 10 10" xfId="6219"/>
    <cellStyle name="Normal 4 4 2 10 11" xfId="6220"/>
    <cellStyle name="Normal 4 4 2 10 12" xfId="6221"/>
    <cellStyle name="Normal 4 4 2 10 13" xfId="6222"/>
    <cellStyle name="Normal 4 4 2 10 14" xfId="6223"/>
    <cellStyle name="Normal 4 4 2 10 15" xfId="5280"/>
    <cellStyle name="Normal 4 4 2 10 2" xfId="6218"/>
    <cellStyle name="Normal 4 4 2 10 3" xfId="6225"/>
    <cellStyle name="Normal 4 4 2 10 4" xfId="6226"/>
    <cellStyle name="Normal 4 4 2 10 5" xfId="6227"/>
    <cellStyle name="Normal 4 4 2 10 6" xfId="6228"/>
    <cellStyle name="Normal 4 4 2 10 7" xfId="6229"/>
    <cellStyle name="Normal 4 4 2 10 8" xfId="6230"/>
    <cellStyle name="Normal 4 4 2 10 9" xfId="6231"/>
    <cellStyle name="Normal 4 4 2 11" xfId="479"/>
    <cellStyle name="Normal 4 4 2 11 10" xfId="6233"/>
    <cellStyle name="Normal 4 4 2 11 11" xfId="6234"/>
    <cellStyle name="Normal 4 4 2 11 12" xfId="6235"/>
    <cellStyle name="Normal 4 4 2 11 13" xfId="6236"/>
    <cellStyle name="Normal 4 4 2 11 14" xfId="6237"/>
    <cellStyle name="Normal 4 4 2 11 15" xfId="5269"/>
    <cellStyle name="Normal 4 4 2 11 2" xfId="6232"/>
    <cellStyle name="Normal 4 4 2 11 3" xfId="6239"/>
    <cellStyle name="Normal 4 4 2 11 4" xfId="6240"/>
    <cellStyle name="Normal 4 4 2 11 5" xfId="6241"/>
    <cellStyle name="Normal 4 4 2 11 6" xfId="6242"/>
    <cellStyle name="Normal 4 4 2 11 7" xfId="6243"/>
    <cellStyle name="Normal 4 4 2 11 8" xfId="6244"/>
    <cellStyle name="Normal 4 4 2 11 9" xfId="6245"/>
    <cellStyle name="Normal 4 4 2 12" xfId="480"/>
    <cellStyle name="Normal 4 4 2 12 10" xfId="6247"/>
    <cellStyle name="Normal 4 4 2 12 11" xfId="6248"/>
    <cellStyle name="Normal 4 4 2 12 12" xfId="6249"/>
    <cellStyle name="Normal 4 4 2 12 13" xfId="6250"/>
    <cellStyle name="Normal 4 4 2 12 14" xfId="6251"/>
    <cellStyle name="Normal 4 4 2 12 15" xfId="5255"/>
    <cellStyle name="Normal 4 4 2 12 2" xfId="6246"/>
    <cellStyle name="Normal 4 4 2 12 3" xfId="6253"/>
    <cellStyle name="Normal 4 4 2 12 4" xfId="6254"/>
    <cellStyle name="Normal 4 4 2 12 5" xfId="6255"/>
    <cellStyle name="Normal 4 4 2 12 6" xfId="6256"/>
    <cellStyle name="Normal 4 4 2 12 7" xfId="6257"/>
    <cellStyle name="Normal 4 4 2 12 8" xfId="6258"/>
    <cellStyle name="Normal 4 4 2 12 9" xfId="6259"/>
    <cellStyle name="Normal 4 4 2 13" xfId="481"/>
    <cellStyle name="Normal 4 4 2 13 10" xfId="6261"/>
    <cellStyle name="Normal 4 4 2 13 11" xfId="6262"/>
    <cellStyle name="Normal 4 4 2 13 12" xfId="6263"/>
    <cellStyle name="Normal 4 4 2 13 13" xfId="6264"/>
    <cellStyle name="Normal 4 4 2 13 14" xfId="6265"/>
    <cellStyle name="Normal 4 4 2 13 15" xfId="5241"/>
    <cellStyle name="Normal 4 4 2 13 2" xfId="6260"/>
    <cellStyle name="Normal 4 4 2 13 3" xfId="6267"/>
    <cellStyle name="Normal 4 4 2 13 4" xfId="6268"/>
    <cellStyle name="Normal 4 4 2 13 5" xfId="6269"/>
    <cellStyle name="Normal 4 4 2 13 6" xfId="6270"/>
    <cellStyle name="Normal 4 4 2 13 7" xfId="6271"/>
    <cellStyle name="Normal 4 4 2 13 8" xfId="6272"/>
    <cellStyle name="Normal 4 4 2 13 9" xfId="6273"/>
    <cellStyle name="Normal 4 4 2 14" xfId="482"/>
    <cellStyle name="Normal 4 4 2 14 2" xfId="6274"/>
    <cellStyle name="Normal 4 4 2 14 3" xfId="5227"/>
    <cellStyle name="Normal 4 4 2 15" xfId="483"/>
    <cellStyle name="Normal 4 4 2 15 2" xfId="6275"/>
    <cellStyle name="Normal 4 4 2 15 3" xfId="5213"/>
    <cellStyle name="Normal 4 4 2 16" xfId="6217"/>
    <cellStyle name="Normal 4 4 2 17" xfId="6277"/>
    <cellStyle name="Normal 4 4 2 18" xfId="6278"/>
    <cellStyle name="Normal 4 4 2 19" xfId="6279"/>
    <cellStyle name="Normal 4 4 2 2" xfId="484"/>
    <cellStyle name="Normal 4 4 2 2 10" xfId="485"/>
    <cellStyle name="Normal 4 4 2 2 10 2" xfId="6281"/>
    <cellStyle name="Normal 4 4 2 2 10 3" xfId="5182"/>
    <cellStyle name="Normal 4 4 2 2 11" xfId="6280"/>
    <cellStyle name="Normal 4 4 2 2 12" xfId="6283"/>
    <cellStyle name="Normal 4 4 2 2 13" xfId="6284"/>
    <cellStyle name="Normal 4 4 2 2 14" xfId="6285"/>
    <cellStyle name="Normal 4 4 2 2 15" xfId="6286"/>
    <cellStyle name="Normal 4 4 2 2 16" xfId="6287"/>
    <cellStyle name="Normal 4 4 2 2 17" xfId="6288"/>
    <cellStyle name="Normal 4 4 2 2 18" xfId="6289"/>
    <cellStyle name="Normal 4 4 2 2 19" xfId="6290"/>
    <cellStyle name="Normal 4 4 2 2 2" xfId="486"/>
    <cellStyle name="Normal 4 4 2 2 2 10" xfId="6292"/>
    <cellStyle name="Normal 4 4 2 2 2 11" xfId="6293"/>
    <cellStyle name="Normal 4 4 2 2 2 12" xfId="6294"/>
    <cellStyle name="Normal 4 4 2 2 2 13" xfId="6295"/>
    <cellStyle name="Normal 4 4 2 2 2 14" xfId="6296"/>
    <cellStyle name="Normal 4 4 2 2 2 15" xfId="5167"/>
    <cellStyle name="Normal 4 4 2 2 2 2" xfId="6291"/>
    <cellStyle name="Normal 4 4 2 2 2 3" xfId="6298"/>
    <cellStyle name="Normal 4 4 2 2 2 4" xfId="6299"/>
    <cellStyle name="Normal 4 4 2 2 2 5" xfId="6300"/>
    <cellStyle name="Normal 4 4 2 2 2 6" xfId="6301"/>
    <cellStyle name="Normal 4 4 2 2 2 7" xfId="6302"/>
    <cellStyle name="Normal 4 4 2 2 2 8" xfId="6303"/>
    <cellStyle name="Normal 4 4 2 2 2 9" xfId="6304"/>
    <cellStyle name="Normal 4 4 2 2 20" xfId="6305"/>
    <cellStyle name="Normal 4 4 2 2 21" xfId="6306"/>
    <cellStyle name="Normal 4 4 2 2 22" xfId="6307"/>
    <cellStyle name="Normal 4 4 2 2 23" xfId="5199"/>
    <cellStyle name="Normal 4 4 2 2 3" xfId="487"/>
    <cellStyle name="Normal 4 4 2 2 3 10" xfId="6309"/>
    <cellStyle name="Normal 4 4 2 2 3 11" xfId="6310"/>
    <cellStyle name="Normal 4 4 2 2 3 12" xfId="6311"/>
    <cellStyle name="Normal 4 4 2 2 3 13" xfId="6312"/>
    <cellStyle name="Normal 4 4 2 2 3 14" xfId="6313"/>
    <cellStyle name="Normal 4 4 2 2 3 15" xfId="5156"/>
    <cellStyle name="Normal 4 4 2 2 3 2" xfId="6308"/>
    <cellStyle name="Normal 4 4 2 2 3 3" xfId="6315"/>
    <cellStyle name="Normal 4 4 2 2 3 4" xfId="6316"/>
    <cellStyle name="Normal 4 4 2 2 3 5" xfId="6317"/>
    <cellStyle name="Normal 4 4 2 2 3 6" xfId="6318"/>
    <cellStyle name="Normal 4 4 2 2 3 7" xfId="6319"/>
    <cellStyle name="Normal 4 4 2 2 3 8" xfId="6320"/>
    <cellStyle name="Normal 4 4 2 2 3 9" xfId="6321"/>
    <cellStyle name="Normal 4 4 2 2 4" xfId="488"/>
    <cellStyle name="Normal 4 4 2 2 4 10" xfId="6323"/>
    <cellStyle name="Normal 4 4 2 2 4 11" xfId="6324"/>
    <cellStyle name="Normal 4 4 2 2 4 12" xfId="6325"/>
    <cellStyle name="Normal 4 4 2 2 4 13" xfId="6326"/>
    <cellStyle name="Normal 4 4 2 2 4 14" xfId="6327"/>
    <cellStyle name="Normal 4 4 2 2 4 15" xfId="5142"/>
    <cellStyle name="Normal 4 4 2 2 4 2" xfId="6322"/>
    <cellStyle name="Normal 4 4 2 2 4 3" xfId="6329"/>
    <cellStyle name="Normal 4 4 2 2 4 4" xfId="6330"/>
    <cellStyle name="Normal 4 4 2 2 4 5" xfId="6331"/>
    <cellStyle name="Normal 4 4 2 2 4 6" xfId="6332"/>
    <cellStyle name="Normal 4 4 2 2 4 7" xfId="6333"/>
    <cellStyle name="Normal 4 4 2 2 4 8" xfId="6334"/>
    <cellStyle name="Normal 4 4 2 2 4 9" xfId="6335"/>
    <cellStyle name="Normal 4 4 2 2 5" xfId="489"/>
    <cellStyle name="Normal 4 4 2 2 5 10" xfId="6337"/>
    <cellStyle name="Normal 4 4 2 2 5 11" xfId="6338"/>
    <cellStyle name="Normal 4 4 2 2 5 12" xfId="6339"/>
    <cellStyle name="Normal 4 4 2 2 5 13" xfId="6340"/>
    <cellStyle name="Normal 4 4 2 2 5 14" xfId="6341"/>
    <cellStyle name="Normal 4 4 2 2 5 15" xfId="5128"/>
    <cellStyle name="Normal 4 4 2 2 5 2" xfId="6336"/>
    <cellStyle name="Normal 4 4 2 2 5 3" xfId="6343"/>
    <cellStyle name="Normal 4 4 2 2 5 4" xfId="6344"/>
    <cellStyle name="Normal 4 4 2 2 5 5" xfId="6345"/>
    <cellStyle name="Normal 4 4 2 2 5 6" xfId="6346"/>
    <cellStyle name="Normal 4 4 2 2 5 7" xfId="6347"/>
    <cellStyle name="Normal 4 4 2 2 5 8" xfId="6348"/>
    <cellStyle name="Normal 4 4 2 2 5 9" xfId="6349"/>
    <cellStyle name="Normal 4 4 2 2 6" xfId="490"/>
    <cellStyle name="Normal 4 4 2 2 6 10" xfId="6351"/>
    <cellStyle name="Normal 4 4 2 2 6 11" xfId="6352"/>
    <cellStyle name="Normal 4 4 2 2 6 12" xfId="6353"/>
    <cellStyle name="Normal 4 4 2 2 6 13" xfId="6354"/>
    <cellStyle name="Normal 4 4 2 2 6 14" xfId="6355"/>
    <cellStyle name="Normal 4 4 2 2 6 15" xfId="5114"/>
    <cellStyle name="Normal 4 4 2 2 6 2" xfId="6350"/>
    <cellStyle name="Normal 4 4 2 2 6 3" xfId="6357"/>
    <cellStyle name="Normal 4 4 2 2 6 4" xfId="6358"/>
    <cellStyle name="Normal 4 4 2 2 6 5" xfId="6359"/>
    <cellStyle name="Normal 4 4 2 2 6 6" xfId="6360"/>
    <cellStyle name="Normal 4 4 2 2 6 7" xfId="6361"/>
    <cellStyle name="Normal 4 4 2 2 6 8" xfId="6362"/>
    <cellStyle name="Normal 4 4 2 2 6 9" xfId="6363"/>
    <cellStyle name="Normal 4 4 2 2 7" xfId="491"/>
    <cellStyle name="Normal 4 4 2 2 7 10" xfId="6365"/>
    <cellStyle name="Normal 4 4 2 2 7 11" xfId="6366"/>
    <cellStyle name="Normal 4 4 2 2 7 12" xfId="6367"/>
    <cellStyle name="Normal 4 4 2 2 7 13" xfId="6368"/>
    <cellStyle name="Normal 4 4 2 2 7 14" xfId="6369"/>
    <cellStyle name="Normal 4 4 2 2 7 15" xfId="5100"/>
    <cellStyle name="Normal 4 4 2 2 7 2" xfId="6364"/>
    <cellStyle name="Normal 4 4 2 2 7 3" xfId="6371"/>
    <cellStyle name="Normal 4 4 2 2 7 4" xfId="6372"/>
    <cellStyle name="Normal 4 4 2 2 7 5" xfId="6373"/>
    <cellStyle name="Normal 4 4 2 2 7 6" xfId="6374"/>
    <cellStyle name="Normal 4 4 2 2 7 7" xfId="6375"/>
    <cellStyle name="Normal 4 4 2 2 7 8" xfId="6376"/>
    <cellStyle name="Normal 4 4 2 2 7 9" xfId="6377"/>
    <cellStyle name="Normal 4 4 2 2 8" xfId="492"/>
    <cellStyle name="Normal 4 4 2 2 8 10" xfId="6379"/>
    <cellStyle name="Normal 4 4 2 2 8 11" xfId="6380"/>
    <cellStyle name="Normal 4 4 2 2 8 12" xfId="6381"/>
    <cellStyle name="Normal 4 4 2 2 8 13" xfId="6382"/>
    <cellStyle name="Normal 4 4 2 2 8 14" xfId="6383"/>
    <cellStyle name="Normal 4 4 2 2 8 15" xfId="5086"/>
    <cellStyle name="Normal 4 4 2 2 8 2" xfId="6378"/>
    <cellStyle name="Normal 4 4 2 2 8 3" xfId="6385"/>
    <cellStyle name="Normal 4 4 2 2 8 4" xfId="6386"/>
    <cellStyle name="Normal 4 4 2 2 8 5" xfId="6387"/>
    <cellStyle name="Normal 4 4 2 2 8 6" xfId="6388"/>
    <cellStyle name="Normal 4 4 2 2 8 7" xfId="6389"/>
    <cellStyle name="Normal 4 4 2 2 8 8" xfId="6390"/>
    <cellStyle name="Normal 4 4 2 2 8 9" xfId="6391"/>
    <cellStyle name="Normal 4 4 2 2 9" xfId="493"/>
    <cellStyle name="Normal 4 4 2 2 9 2" xfId="6392"/>
    <cellStyle name="Normal 4 4 2 2 9 3" xfId="5069"/>
    <cellStyle name="Normal 4 4 2 20" xfId="6393"/>
    <cellStyle name="Normal 4 4 2 21" xfId="6394"/>
    <cellStyle name="Normal 4 4 2 22" xfId="6395"/>
    <cellStyle name="Normal 4 4 2 23" xfId="6396"/>
    <cellStyle name="Normal 4 4 2 24" xfId="6397"/>
    <cellStyle name="Normal 4 4 2 25" xfId="6398"/>
    <cellStyle name="Normal 4 4 2 26" xfId="6399"/>
    <cellStyle name="Normal 4 4 2 27" xfId="6400"/>
    <cellStyle name="Normal 4 4 2 28" xfId="5295"/>
    <cellStyle name="Normal 4 4 2 29" xfId="12082"/>
    <cellStyle name="Normal 4 4 2 3" xfId="494"/>
    <cellStyle name="Normal 4 4 2 3 10" xfId="495"/>
    <cellStyle name="Normal 4 4 2 3 10 2" xfId="6402"/>
    <cellStyle name="Normal 4 4 2 3 10 3" xfId="5035"/>
    <cellStyle name="Normal 4 4 2 3 11" xfId="6401"/>
    <cellStyle name="Normal 4 4 2 3 12" xfId="6404"/>
    <cellStyle name="Normal 4 4 2 3 13" xfId="6405"/>
    <cellStyle name="Normal 4 4 2 3 14" xfId="6406"/>
    <cellStyle name="Normal 4 4 2 3 15" xfId="6407"/>
    <cellStyle name="Normal 4 4 2 3 16" xfId="6408"/>
    <cellStyle name="Normal 4 4 2 3 17" xfId="6409"/>
    <cellStyle name="Normal 4 4 2 3 18" xfId="6410"/>
    <cellStyle name="Normal 4 4 2 3 19" xfId="6411"/>
    <cellStyle name="Normal 4 4 2 3 2" xfId="496"/>
    <cellStyle name="Normal 4 4 2 3 2 10" xfId="6413"/>
    <cellStyle name="Normal 4 4 2 3 2 11" xfId="6414"/>
    <cellStyle name="Normal 4 4 2 3 2 12" xfId="6415"/>
    <cellStyle name="Normal 4 4 2 3 2 13" xfId="6416"/>
    <cellStyle name="Normal 4 4 2 3 2 14" xfId="6417"/>
    <cellStyle name="Normal 4 4 2 3 2 15" xfId="5021"/>
    <cellStyle name="Normal 4 4 2 3 2 2" xfId="6412"/>
    <cellStyle name="Normal 4 4 2 3 2 3" xfId="6419"/>
    <cellStyle name="Normal 4 4 2 3 2 4" xfId="6420"/>
    <cellStyle name="Normal 4 4 2 3 2 5" xfId="6421"/>
    <cellStyle name="Normal 4 4 2 3 2 6" xfId="6422"/>
    <cellStyle name="Normal 4 4 2 3 2 7" xfId="6423"/>
    <cellStyle name="Normal 4 4 2 3 2 8" xfId="6424"/>
    <cellStyle name="Normal 4 4 2 3 2 9" xfId="6425"/>
    <cellStyle name="Normal 4 4 2 3 20" xfId="6426"/>
    <cellStyle name="Normal 4 4 2 3 21" xfId="6427"/>
    <cellStyle name="Normal 4 4 2 3 22" xfId="6428"/>
    <cellStyle name="Normal 4 4 2 3 23" xfId="5054"/>
    <cellStyle name="Normal 4 4 2 3 3" xfId="497"/>
    <cellStyle name="Normal 4 4 2 3 3 10" xfId="6430"/>
    <cellStyle name="Normal 4 4 2 3 3 11" xfId="6431"/>
    <cellStyle name="Normal 4 4 2 3 3 12" xfId="6432"/>
    <cellStyle name="Normal 4 4 2 3 3 13" xfId="6433"/>
    <cellStyle name="Normal 4 4 2 3 3 14" xfId="6434"/>
    <cellStyle name="Normal 4 4 2 3 3 15" xfId="5007"/>
    <cellStyle name="Normal 4 4 2 3 3 2" xfId="6429"/>
    <cellStyle name="Normal 4 4 2 3 3 3" xfId="6436"/>
    <cellStyle name="Normal 4 4 2 3 3 4" xfId="6437"/>
    <cellStyle name="Normal 4 4 2 3 3 5" xfId="6438"/>
    <cellStyle name="Normal 4 4 2 3 3 6" xfId="6439"/>
    <cellStyle name="Normal 4 4 2 3 3 7" xfId="6440"/>
    <cellStyle name="Normal 4 4 2 3 3 8" xfId="6441"/>
    <cellStyle name="Normal 4 4 2 3 3 9" xfId="6442"/>
    <cellStyle name="Normal 4 4 2 3 4" xfId="498"/>
    <cellStyle name="Normal 4 4 2 3 4 10" xfId="6444"/>
    <cellStyle name="Normal 4 4 2 3 4 11" xfId="6445"/>
    <cellStyle name="Normal 4 4 2 3 4 12" xfId="6446"/>
    <cellStyle name="Normal 4 4 2 3 4 13" xfId="6447"/>
    <cellStyle name="Normal 4 4 2 3 4 14" xfId="6448"/>
    <cellStyle name="Normal 4 4 2 3 4 15" xfId="4993"/>
    <cellStyle name="Normal 4 4 2 3 4 2" xfId="6443"/>
    <cellStyle name="Normal 4 4 2 3 4 3" xfId="6450"/>
    <cellStyle name="Normal 4 4 2 3 4 4" xfId="6451"/>
    <cellStyle name="Normal 4 4 2 3 4 5" xfId="6452"/>
    <cellStyle name="Normal 4 4 2 3 4 6" xfId="6453"/>
    <cellStyle name="Normal 4 4 2 3 4 7" xfId="6454"/>
    <cellStyle name="Normal 4 4 2 3 4 8" xfId="6455"/>
    <cellStyle name="Normal 4 4 2 3 4 9" xfId="6456"/>
    <cellStyle name="Normal 4 4 2 3 5" xfId="499"/>
    <cellStyle name="Normal 4 4 2 3 5 10" xfId="6458"/>
    <cellStyle name="Normal 4 4 2 3 5 11" xfId="6459"/>
    <cellStyle name="Normal 4 4 2 3 5 12" xfId="6460"/>
    <cellStyle name="Normal 4 4 2 3 5 13" xfId="6461"/>
    <cellStyle name="Normal 4 4 2 3 5 14" xfId="6462"/>
    <cellStyle name="Normal 4 4 2 3 5 15" xfId="4979"/>
    <cellStyle name="Normal 4 4 2 3 5 2" xfId="6457"/>
    <cellStyle name="Normal 4 4 2 3 5 3" xfId="6464"/>
    <cellStyle name="Normal 4 4 2 3 5 4" xfId="6465"/>
    <cellStyle name="Normal 4 4 2 3 5 5" xfId="6466"/>
    <cellStyle name="Normal 4 4 2 3 5 6" xfId="6467"/>
    <cellStyle name="Normal 4 4 2 3 5 7" xfId="6468"/>
    <cellStyle name="Normal 4 4 2 3 5 8" xfId="6469"/>
    <cellStyle name="Normal 4 4 2 3 5 9" xfId="6470"/>
    <cellStyle name="Normal 4 4 2 3 6" xfId="500"/>
    <cellStyle name="Normal 4 4 2 3 6 10" xfId="6472"/>
    <cellStyle name="Normal 4 4 2 3 6 11" xfId="6473"/>
    <cellStyle name="Normal 4 4 2 3 6 12" xfId="6474"/>
    <cellStyle name="Normal 4 4 2 3 6 13" xfId="6475"/>
    <cellStyle name="Normal 4 4 2 3 6 14" xfId="6476"/>
    <cellStyle name="Normal 4 4 2 3 6 15" xfId="4965"/>
    <cellStyle name="Normal 4 4 2 3 6 2" xfId="6471"/>
    <cellStyle name="Normal 4 4 2 3 6 3" xfId="6478"/>
    <cellStyle name="Normal 4 4 2 3 6 4" xfId="6479"/>
    <cellStyle name="Normal 4 4 2 3 6 5" xfId="6480"/>
    <cellStyle name="Normal 4 4 2 3 6 6" xfId="6481"/>
    <cellStyle name="Normal 4 4 2 3 6 7" xfId="6482"/>
    <cellStyle name="Normal 4 4 2 3 6 8" xfId="6483"/>
    <cellStyle name="Normal 4 4 2 3 6 9" xfId="6484"/>
    <cellStyle name="Normal 4 4 2 3 7" xfId="501"/>
    <cellStyle name="Normal 4 4 2 3 7 10" xfId="6486"/>
    <cellStyle name="Normal 4 4 2 3 7 11" xfId="6487"/>
    <cellStyle name="Normal 4 4 2 3 7 12" xfId="6488"/>
    <cellStyle name="Normal 4 4 2 3 7 13" xfId="6489"/>
    <cellStyle name="Normal 4 4 2 3 7 14" xfId="6490"/>
    <cellStyle name="Normal 4 4 2 3 7 15" xfId="4948"/>
    <cellStyle name="Normal 4 4 2 3 7 2" xfId="6485"/>
    <cellStyle name="Normal 4 4 2 3 7 3" xfId="6492"/>
    <cellStyle name="Normal 4 4 2 3 7 4" xfId="6493"/>
    <cellStyle name="Normal 4 4 2 3 7 5" xfId="6494"/>
    <cellStyle name="Normal 4 4 2 3 7 6" xfId="6495"/>
    <cellStyle name="Normal 4 4 2 3 7 7" xfId="6496"/>
    <cellStyle name="Normal 4 4 2 3 7 8" xfId="6497"/>
    <cellStyle name="Normal 4 4 2 3 7 9" xfId="6498"/>
    <cellStyle name="Normal 4 4 2 3 8" xfId="502"/>
    <cellStyle name="Normal 4 4 2 3 8 10" xfId="6500"/>
    <cellStyle name="Normal 4 4 2 3 8 11" xfId="6501"/>
    <cellStyle name="Normal 4 4 2 3 8 12" xfId="6502"/>
    <cellStyle name="Normal 4 4 2 3 8 13" xfId="6503"/>
    <cellStyle name="Normal 4 4 2 3 8 14" xfId="6504"/>
    <cellStyle name="Normal 4 4 2 3 8 15" xfId="4933"/>
    <cellStyle name="Normal 4 4 2 3 8 2" xfId="6499"/>
    <cellStyle name="Normal 4 4 2 3 8 3" xfId="6506"/>
    <cellStyle name="Normal 4 4 2 3 8 4" xfId="6507"/>
    <cellStyle name="Normal 4 4 2 3 8 5" xfId="6508"/>
    <cellStyle name="Normal 4 4 2 3 8 6" xfId="6509"/>
    <cellStyle name="Normal 4 4 2 3 8 7" xfId="6510"/>
    <cellStyle name="Normal 4 4 2 3 8 8" xfId="6511"/>
    <cellStyle name="Normal 4 4 2 3 8 9" xfId="6512"/>
    <cellStyle name="Normal 4 4 2 3 9" xfId="503"/>
    <cellStyle name="Normal 4 4 2 3 9 2" xfId="6513"/>
    <cellStyle name="Normal 4 4 2 3 9 3" xfId="4927"/>
    <cellStyle name="Normal 4 4 2 30" xfId="33551"/>
    <cellStyle name="Normal 4 4 2 31" xfId="44440"/>
    <cellStyle name="Normal 4 4 2 4" xfId="504"/>
    <cellStyle name="Normal 4 4 2 4 10" xfId="505"/>
    <cellStyle name="Normal 4 4 2 4 10 2" xfId="6515"/>
    <cellStyle name="Normal 4 4 2 4 10 3" xfId="4903"/>
    <cellStyle name="Normal 4 4 2 4 11" xfId="6514"/>
    <cellStyle name="Normal 4 4 2 4 12" xfId="6517"/>
    <cellStyle name="Normal 4 4 2 4 13" xfId="6518"/>
    <cellStyle name="Normal 4 4 2 4 14" xfId="6519"/>
    <cellStyle name="Normal 4 4 2 4 15" xfId="6520"/>
    <cellStyle name="Normal 4 4 2 4 16" xfId="6521"/>
    <cellStyle name="Normal 4 4 2 4 17" xfId="6522"/>
    <cellStyle name="Normal 4 4 2 4 18" xfId="6523"/>
    <cellStyle name="Normal 4 4 2 4 19" xfId="6524"/>
    <cellStyle name="Normal 4 4 2 4 2" xfId="506"/>
    <cellStyle name="Normal 4 4 2 4 2 10" xfId="6526"/>
    <cellStyle name="Normal 4 4 2 4 2 11" xfId="6527"/>
    <cellStyle name="Normal 4 4 2 4 2 12" xfId="6528"/>
    <cellStyle name="Normal 4 4 2 4 2 13" xfId="6529"/>
    <cellStyle name="Normal 4 4 2 4 2 14" xfId="6530"/>
    <cellStyle name="Normal 4 4 2 4 2 15" xfId="4889"/>
    <cellStyle name="Normal 4 4 2 4 2 2" xfId="6525"/>
    <cellStyle name="Normal 4 4 2 4 2 3" xfId="6532"/>
    <cellStyle name="Normal 4 4 2 4 2 4" xfId="6533"/>
    <cellStyle name="Normal 4 4 2 4 2 5" xfId="6534"/>
    <cellStyle name="Normal 4 4 2 4 2 6" xfId="6535"/>
    <cellStyle name="Normal 4 4 2 4 2 7" xfId="6536"/>
    <cellStyle name="Normal 4 4 2 4 2 8" xfId="6537"/>
    <cellStyle name="Normal 4 4 2 4 2 9" xfId="6538"/>
    <cellStyle name="Normal 4 4 2 4 20" xfId="6539"/>
    <cellStyle name="Normal 4 4 2 4 21" xfId="6540"/>
    <cellStyle name="Normal 4 4 2 4 22" xfId="6541"/>
    <cellStyle name="Normal 4 4 2 4 23" xfId="4917"/>
    <cellStyle name="Normal 4 4 2 4 3" xfId="507"/>
    <cellStyle name="Normal 4 4 2 4 3 10" xfId="6543"/>
    <cellStyle name="Normal 4 4 2 4 3 11" xfId="6544"/>
    <cellStyle name="Normal 4 4 2 4 3 12" xfId="6545"/>
    <cellStyle name="Normal 4 4 2 4 3 13" xfId="6546"/>
    <cellStyle name="Normal 4 4 2 4 3 14" xfId="6547"/>
    <cellStyle name="Normal 4 4 2 4 3 15" xfId="4875"/>
    <cellStyle name="Normal 4 4 2 4 3 2" xfId="6542"/>
    <cellStyle name="Normal 4 4 2 4 3 3" xfId="6549"/>
    <cellStyle name="Normal 4 4 2 4 3 4" xfId="6550"/>
    <cellStyle name="Normal 4 4 2 4 3 5" xfId="6551"/>
    <cellStyle name="Normal 4 4 2 4 3 6" xfId="6552"/>
    <cellStyle name="Normal 4 4 2 4 3 7" xfId="6553"/>
    <cellStyle name="Normal 4 4 2 4 3 8" xfId="6554"/>
    <cellStyle name="Normal 4 4 2 4 3 9" xfId="6555"/>
    <cellStyle name="Normal 4 4 2 4 4" xfId="508"/>
    <cellStyle name="Normal 4 4 2 4 4 10" xfId="6557"/>
    <cellStyle name="Normal 4 4 2 4 4 11" xfId="6558"/>
    <cellStyle name="Normal 4 4 2 4 4 12" xfId="6559"/>
    <cellStyle name="Normal 4 4 2 4 4 13" xfId="6560"/>
    <cellStyle name="Normal 4 4 2 4 4 14" xfId="6561"/>
    <cellStyle name="Normal 4 4 2 4 4 15" xfId="4850"/>
    <cellStyle name="Normal 4 4 2 4 4 2" xfId="6556"/>
    <cellStyle name="Normal 4 4 2 4 4 3" xfId="6563"/>
    <cellStyle name="Normal 4 4 2 4 4 4" xfId="6564"/>
    <cellStyle name="Normal 4 4 2 4 4 5" xfId="6565"/>
    <cellStyle name="Normal 4 4 2 4 4 6" xfId="6566"/>
    <cellStyle name="Normal 4 4 2 4 4 7" xfId="6567"/>
    <cellStyle name="Normal 4 4 2 4 4 8" xfId="6568"/>
    <cellStyle name="Normal 4 4 2 4 4 9" xfId="6569"/>
    <cellStyle name="Normal 4 4 2 4 5" xfId="509"/>
    <cellStyle name="Normal 4 4 2 4 5 10" xfId="6571"/>
    <cellStyle name="Normal 4 4 2 4 5 11" xfId="6572"/>
    <cellStyle name="Normal 4 4 2 4 5 12" xfId="6573"/>
    <cellStyle name="Normal 4 4 2 4 5 13" xfId="6574"/>
    <cellStyle name="Normal 4 4 2 4 5 14" xfId="6575"/>
    <cellStyle name="Normal 4 4 2 4 5 15" xfId="4836"/>
    <cellStyle name="Normal 4 4 2 4 5 2" xfId="6570"/>
    <cellStyle name="Normal 4 4 2 4 5 3" xfId="6577"/>
    <cellStyle name="Normal 4 4 2 4 5 4" xfId="6578"/>
    <cellStyle name="Normal 4 4 2 4 5 5" xfId="6579"/>
    <cellStyle name="Normal 4 4 2 4 5 6" xfId="6580"/>
    <cellStyle name="Normal 4 4 2 4 5 7" xfId="6581"/>
    <cellStyle name="Normal 4 4 2 4 5 8" xfId="6582"/>
    <cellStyle name="Normal 4 4 2 4 5 9" xfId="6583"/>
    <cellStyle name="Normal 4 4 2 4 6" xfId="510"/>
    <cellStyle name="Normal 4 4 2 4 6 10" xfId="6585"/>
    <cellStyle name="Normal 4 4 2 4 6 11" xfId="6586"/>
    <cellStyle name="Normal 4 4 2 4 6 12" xfId="6587"/>
    <cellStyle name="Normal 4 4 2 4 6 13" xfId="6588"/>
    <cellStyle name="Normal 4 4 2 4 6 14" xfId="6589"/>
    <cellStyle name="Normal 4 4 2 4 6 15" xfId="4822"/>
    <cellStyle name="Normal 4 4 2 4 6 2" xfId="6584"/>
    <cellStyle name="Normal 4 4 2 4 6 3" xfId="6591"/>
    <cellStyle name="Normal 4 4 2 4 6 4" xfId="6592"/>
    <cellStyle name="Normal 4 4 2 4 6 5" xfId="6593"/>
    <cellStyle name="Normal 4 4 2 4 6 6" xfId="6594"/>
    <cellStyle name="Normal 4 4 2 4 6 7" xfId="6595"/>
    <cellStyle name="Normal 4 4 2 4 6 8" xfId="6596"/>
    <cellStyle name="Normal 4 4 2 4 6 9" xfId="6597"/>
    <cellStyle name="Normal 4 4 2 4 7" xfId="511"/>
    <cellStyle name="Normal 4 4 2 4 7 10" xfId="6599"/>
    <cellStyle name="Normal 4 4 2 4 7 11" xfId="6600"/>
    <cellStyle name="Normal 4 4 2 4 7 12" xfId="6601"/>
    <cellStyle name="Normal 4 4 2 4 7 13" xfId="6602"/>
    <cellStyle name="Normal 4 4 2 4 7 14" xfId="6603"/>
    <cellStyle name="Normal 4 4 2 4 7 15" xfId="4807"/>
    <cellStyle name="Normal 4 4 2 4 7 2" xfId="6598"/>
    <cellStyle name="Normal 4 4 2 4 7 3" xfId="6605"/>
    <cellStyle name="Normal 4 4 2 4 7 4" xfId="6606"/>
    <cellStyle name="Normal 4 4 2 4 7 5" xfId="6607"/>
    <cellStyle name="Normal 4 4 2 4 7 6" xfId="6608"/>
    <cellStyle name="Normal 4 4 2 4 7 7" xfId="6609"/>
    <cellStyle name="Normal 4 4 2 4 7 8" xfId="6610"/>
    <cellStyle name="Normal 4 4 2 4 7 9" xfId="6611"/>
    <cellStyle name="Normal 4 4 2 4 8" xfId="512"/>
    <cellStyle name="Normal 4 4 2 4 8 10" xfId="6613"/>
    <cellStyle name="Normal 4 4 2 4 8 11" xfId="6614"/>
    <cellStyle name="Normal 4 4 2 4 8 12" xfId="6615"/>
    <cellStyle name="Normal 4 4 2 4 8 13" xfId="6616"/>
    <cellStyle name="Normal 4 4 2 4 8 14" xfId="6617"/>
    <cellStyle name="Normal 4 4 2 4 8 15" xfId="4793"/>
    <cellStyle name="Normal 4 4 2 4 8 2" xfId="6612"/>
    <cellStyle name="Normal 4 4 2 4 8 3" xfId="6619"/>
    <cellStyle name="Normal 4 4 2 4 8 4" xfId="6620"/>
    <cellStyle name="Normal 4 4 2 4 8 5" xfId="6621"/>
    <cellStyle name="Normal 4 4 2 4 8 6" xfId="6622"/>
    <cellStyle name="Normal 4 4 2 4 8 7" xfId="6623"/>
    <cellStyle name="Normal 4 4 2 4 8 8" xfId="6624"/>
    <cellStyle name="Normal 4 4 2 4 8 9" xfId="6625"/>
    <cellStyle name="Normal 4 4 2 4 9" xfId="513"/>
    <cellStyle name="Normal 4 4 2 4 9 2" xfId="6626"/>
    <cellStyle name="Normal 4 4 2 4 9 3" xfId="4779"/>
    <cellStyle name="Normal 4 4 2 5" xfId="514"/>
    <cellStyle name="Normal 4 4 2 5 10" xfId="515"/>
    <cellStyle name="Normal 4 4 2 5 10 2" xfId="6628"/>
    <cellStyle name="Normal 4 4 2 5 10 3" xfId="4751"/>
    <cellStyle name="Normal 4 4 2 5 11" xfId="6627"/>
    <cellStyle name="Normal 4 4 2 5 12" xfId="6630"/>
    <cellStyle name="Normal 4 4 2 5 13" xfId="6631"/>
    <cellStyle name="Normal 4 4 2 5 14" xfId="6632"/>
    <cellStyle name="Normal 4 4 2 5 15" xfId="6633"/>
    <cellStyle name="Normal 4 4 2 5 16" xfId="6634"/>
    <cellStyle name="Normal 4 4 2 5 17" xfId="6635"/>
    <cellStyle name="Normal 4 4 2 5 18" xfId="6636"/>
    <cellStyle name="Normal 4 4 2 5 19" xfId="6637"/>
    <cellStyle name="Normal 4 4 2 5 2" xfId="516"/>
    <cellStyle name="Normal 4 4 2 5 2 10" xfId="6639"/>
    <cellStyle name="Normal 4 4 2 5 2 11" xfId="6640"/>
    <cellStyle name="Normal 4 4 2 5 2 12" xfId="6641"/>
    <cellStyle name="Normal 4 4 2 5 2 13" xfId="6642"/>
    <cellStyle name="Normal 4 4 2 5 2 14" xfId="6643"/>
    <cellStyle name="Normal 4 4 2 5 2 15" xfId="4737"/>
    <cellStyle name="Normal 4 4 2 5 2 2" xfId="6638"/>
    <cellStyle name="Normal 4 4 2 5 2 3" xfId="6645"/>
    <cellStyle name="Normal 4 4 2 5 2 4" xfId="6646"/>
    <cellStyle name="Normal 4 4 2 5 2 5" xfId="6647"/>
    <cellStyle name="Normal 4 4 2 5 2 6" xfId="6648"/>
    <cellStyle name="Normal 4 4 2 5 2 7" xfId="6649"/>
    <cellStyle name="Normal 4 4 2 5 2 8" xfId="6650"/>
    <cellStyle name="Normal 4 4 2 5 2 9" xfId="6651"/>
    <cellStyle name="Normal 4 4 2 5 20" xfId="6652"/>
    <cellStyle name="Normal 4 4 2 5 21" xfId="6653"/>
    <cellStyle name="Normal 4 4 2 5 22" xfId="6654"/>
    <cellStyle name="Normal 4 4 2 5 23" xfId="4765"/>
    <cellStyle name="Normal 4 4 2 5 3" xfId="517"/>
    <cellStyle name="Normal 4 4 2 5 3 10" xfId="6656"/>
    <cellStyle name="Normal 4 4 2 5 3 11" xfId="6657"/>
    <cellStyle name="Normal 4 4 2 5 3 12" xfId="6658"/>
    <cellStyle name="Normal 4 4 2 5 3 13" xfId="6659"/>
    <cellStyle name="Normal 4 4 2 5 3 14" xfId="6660"/>
    <cellStyle name="Normal 4 4 2 5 3 15" xfId="4720"/>
    <cellStyle name="Normal 4 4 2 5 3 2" xfId="6655"/>
    <cellStyle name="Normal 4 4 2 5 3 3" xfId="6662"/>
    <cellStyle name="Normal 4 4 2 5 3 4" xfId="6663"/>
    <cellStyle name="Normal 4 4 2 5 3 5" xfId="6664"/>
    <cellStyle name="Normal 4 4 2 5 3 6" xfId="6665"/>
    <cellStyle name="Normal 4 4 2 5 3 7" xfId="6666"/>
    <cellStyle name="Normal 4 4 2 5 3 8" xfId="6667"/>
    <cellStyle name="Normal 4 4 2 5 3 9" xfId="6668"/>
    <cellStyle name="Normal 4 4 2 5 4" xfId="518"/>
    <cellStyle name="Normal 4 4 2 5 4 10" xfId="6670"/>
    <cellStyle name="Normal 4 4 2 5 4 11" xfId="6671"/>
    <cellStyle name="Normal 4 4 2 5 4 12" xfId="6672"/>
    <cellStyle name="Normal 4 4 2 5 4 13" xfId="6673"/>
    <cellStyle name="Normal 4 4 2 5 4 14" xfId="6674"/>
    <cellStyle name="Normal 4 4 2 5 4 15" xfId="4705"/>
    <cellStyle name="Normal 4 4 2 5 4 2" xfId="6669"/>
    <cellStyle name="Normal 4 4 2 5 4 3" xfId="6676"/>
    <cellStyle name="Normal 4 4 2 5 4 4" xfId="6677"/>
    <cellStyle name="Normal 4 4 2 5 4 5" xfId="6678"/>
    <cellStyle name="Normal 4 4 2 5 4 6" xfId="6679"/>
    <cellStyle name="Normal 4 4 2 5 4 7" xfId="6680"/>
    <cellStyle name="Normal 4 4 2 5 4 8" xfId="6681"/>
    <cellStyle name="Normal 4 4 2 5 4 9" xfId="6682"/>
    <cellStyle name="Normal 4 4 2 5 5" xfId="519"/>
    <cellStyle name="Normal 4 4 2 5 5 10" xfId="6684"/>
    <cellStyle name="Normal 4 4 2 5 5 11" xfId="6685"/>
    <cellStyle name="Normal 4 4 2 5 5 12" xfId="6686"/>
    <cellStyle name="Normal 4 4 2 5 5 13" xfId="6687"/>
    <cellStyle name="Normal 4 4 2 5 5 14" xfId="6688"/>
    <cellStyle name="Normal 4 4 2 5 5 15" xfId="4694"/>
    <cellStyle name="Normal 4 4 2 5 5 2" xfId="6683"/>
    <cellStyle name="Normal 4 4 2 5 5 3" xfId="6690"/>
    <cellStyle name="Normal 4 4 2 5 5 4" xfId="6691"/>
    <cellStyle name="Normal 4 4 2 5 5 5" xfId="6692"/>
    <cellStyle name="Normal 4 4 2 5 5 6" xfId="6693"/>
    <cellStyle name="Normal 4 4 2 5 5 7" xfId="6694"/>
    <cellStyle name="Normal 4 4 2 5 5 8" xfId="6695"/>
    <cellStyle name="Normal 4 4 2 5 5 9" xfId="6696"/>
    <cellStyle name="Normal 4 4 2 5 6" xfId="520"/>
    <cellStyle name="Normal 4 4 2 5 6 10" xfId="6698"/>
    <cellStyle name="Normal 4 4 2 5 6 11" xfId="6699"/>
    <cellStyle name="Normal 4 4 2 5 6 12" xfId="6700"/>
    <cellStyle name="Normal 4 4 2 5 6 13" xfId="6701"/>
    <cellStyle name="Normal 4 4 2 5 6 14" xfId="6702"/>
    <cellStyle name="Normal 4 4 2 5 6 15" xfId="4680"/>
    <cellStyle name="Normal 4 4 2 5 6 2" xfId="6697"/>
    <cellStyle name="Normal 4 4 2 5 6 3" xfId="6704"/>
    <cellStyle name="Normal 4 4 2 5 6 4" xfId="6705"/>
    <cellStyle name="Normal 4 4 2 5 6 5" xfId="6706"/>
    <cellStyle name="Normal 4 4 2 5 6 6" xfId="6707"/>
    <cellStyle name="Normal 4 4 2 5 6 7" xfId="6708"/>
    <cellStyle name="Normal 4 4 2 5 6 8" xfId="6709"/>
    <cellStyle name="Normal 4 4 2 5 6 9" xfId="6710"/>
    <cellStyle name="Normal 4 4 2 5 7" xfId="521"/>
    <cellStyle name="Normal 4 4 2 5 7 10" xfId="6712"/>
    <cellStyle name="Normal 4 4 2 5 7 11" xfId="6713"/>
    <cellStyle name="Normal 4 4 2 5 7 12" xfId="6714"/>
    <cellStyle name="Normal 4 4 2 5 7 13" xfId="6715"/>
    <cellStyle name="Normal 4 4 2 5 7 14" xfId="6716"/>
    <cellStyle name="Normal 4 4 2 5 7 15" xfId="4666"/>
    <cellStyle name="Normal 4 4 2 5 7 2" xfId="6711"/>
    <cellStyle name="Normal 4 4 2 5 7 3" xfId="6718"/>
    <cellStyle name="Normal 4 4 2 5 7 4" xfId="6719"/>
    <cellStyle name="Normal 4 4 2 5 7 5" xfId="6720"/>
    <cellStyle name="Normal 4 4 2 5 7 6" xfId="6721"/>
    <cellStyle name="Normal 4 4 2 5 7 7" xfId="6722"/>
    <cellStyle name="Normal 4 4 2 5 7 8" xfId="6723"/>
    <cellStyle name="Normal 4 4 2 5 7 9" xfId="6724"/>
    <cellStyle name="Normal 4 4 2 5 8" xfId="522"/>
    <cellStyle name="Normal 4 4 2 5 8 10" xfId="6726"/>
    <cellStyle name="Normal 4 4 2 5 8 11" xfId="6727"/>
    <cellStyle name="Normal 4 4 2 5 8 12" xfId="6728"/>
    <cellStyle name="Normal 4 4 2 5 8 13" xfId="6729"/>
    <cellStyle name="Normal 4 4 2 5 8 14" xfId="6730"/>
    <cellStyle name="Normal 4 4 2 5 8 15" xfId="4652"/>
    <cellStyle name="Normal 4 4 2 5 8 2" xfId="6725"/>
    <cellStyle name="Normal 4 4 2 5 8 3" xfId="6732"/>
    <cellStyle name="Normal 4 4 2 5 8 4" xfId="6733"/>
    <cellStyle name="Normal 4 4 2 5 8 5" xfId="6734"/>
    <cellStyle name="Normal 4 4 2 5 8 6" xfId="6735"/>
    <cellStyle name="Normal 4 4 2 5 8 7" xfId="6736"/>
    <cellStyle name="Normal 4 4 2 5 8 8" xfId="6737"/>
    <cellStyle name="Normal 4 4 2 5 8 9" xfId="6738"/>
    <cellStyle name="Normal 4 4 2 5 9" xfId="523"/>
    <cellStyle name="Normal 4 4 2 5 9 2" xfId="6739"/>
    <cellStyle name="Normal 4 4 2 5 9 3" xfId="4638"/>
    <cellStyle name="Normal 4 4 2 6" xfId="524"/>
    <cellStyle name="Normal 4 4 2 6 10" xfId="525"/>
    <cellStyle name="Normal 4 4 2 6 10 2" xfId="6741"/>
    <cellStyle name="Normal 4 4 2 6 10 3" xfId="4607"/>
    <cellStyle name="Normal 4 4 2 6 11" xfId="6740"/>
    <cellStyle name="Normal 4 4 2 6 12" xfId="6743"/>
    <cellStyle name="Normal 4 4 2 6 13" xfId="6744"/>
    <cellStyle name="Normal 4 4 2 6 14" xfId="6745"/>
    <cellStyle name="Normal 4 4 2 6 15" xfId="6746"/>
    <cellStyle name="Normal 4 4 2 6 16" xfId="6747"/>
    <cellStyle name="Normal 4 4 2 6 17" xfId="6748"/>
    <cellStyle name="Normal 4 4 2 6 18" xfId="6749"/>
    <cellStyle name="Normal 4 4 2 6 19" xfId="6750"/>
    <cellStyle name="Normal 4 4 2 6 2" xfId="526"/>
    <cellStyle name="Normal 4 4 2 6 2 10" xfId="6752"/>
    <cellStyle name="Normal 4 4 2 6 2 11" xfId="6753"/>
    <cellStyle name="Normal 4 4 2 6 2 12" xfId="6754"/>
    <cellStyle name="Normal 4 4 2 6 2 13" xfId="6755"/>
    <cellStyle name="Normal 4 4 2 6 2 14" xfId="6756"/>
    <cellStyle name="Normal 4 4 2 6 2 15" xfId="4592"/>
    <cellStyle name="Normal 4 4 2 6 2 2" xfId="6751"/>
    <cellStyle name="Normal 4 4 2 6 2 3" xfId="6758"/>
    <cellStyle name="Normal 4 4 2 6 2 4" xfId="6759"/>
    <cellStyle name="Normal 4 4 2 6 2 5" xfId="6760"/>
    <cellStyle name="Normal 4 4 2 6 2 6" xfId="6761"/>
    <cellStyle name="Normal 4 4 2 6 2 7" xfId="6762"/>
    <cellStyle name="Normal 4 4 2 6 2 8" xfId="6763"/>
    <cellStyle name="Normal 4 4 2 6 2 9" xfId="6764"/>
    <cellStyle name="Normal 4 4 2 6 20" xfId="6765"/>
    <cellStyle name="Normal 4 4 2 6 21" xfId="6766"/>
    <cellStyle name="Normal 4 4 2 6 22" xfId="6767"/>
    <cellStyle name="Normal 4 4 2 6 23" xfId="4624"/>
    <cellStyle name="Normal 4 4 2 6 3" xfId="527"/>
    <cellStyle name="Normal 4 4 2 6 3 10" xfId="6769"/>
    <cellStyle name="Normal 4 4 2 6 3 11" xfId="6770"/>
    <cellStyle name="Normal 4 4 2 6 3 12" xfId="6771"/>
    <cellStyle name="Normal 4 4 2 6 3 13" xfId="6772"/>
    <cellStyle name="Normal 4 4 2 6 3 14" xfId="6773"/>
    <cellStyle name="Normal 4 4 2 6 3 15" xfId="4581"/>
    <cellStyle name="Normal 4 4 2 6 3 2" xfId="6768"/>
    <cellStyle name="Normal 4 4 2 6 3 3" xfId="6775"/>
    <cellStyle name="Normal 4 4 2 6 3 4" xfId="6776"/>
    <cellStyle name="Normal 4 4 2 6 3 5" xfId="6777"/>
    <cellStyle name="Normal 4 4 2 6 3 6" xfId="6778"/>
    <cellStyle name="Normal 4 4 2 6 3 7" xfId="6779"/>
    <cellStyle name="Normal 4 4 2 6 3 8" xfId="6780"/>
    <cellStyle name="Normal 4 4 2 6 3 9" xfId="6781"/>
    <cellStyle name="Normal 4 4 2 6 4" xfId="528"/>
    <cellStyle name="Normal 4 4 2 6 4 10" xfId="6783"/>
    <cellStyle name="Normal 4 4 2 6 4 11" xfId="6784"/>
    <cellStyle name="Normal 4 4 2 6 4 12" xfId="6785"/>
    <cellStyle name="Normal 4 4 2 6 4 13" xfId="6786"/>
    <cellStyle name="Normal 4 4 2 6 4 14" xfId="6787"/>
    <cellStyle name="Normal 4 4 2 6 4 15" xfId="4567"/>
    <cellStyle name="Normal 4 4 2 6 4 2" xfId="6782"/>
    <cellStyle name="Normal 4 4 2 6 4 3" xfId="6789"/>
    <cellStyle name="Normal 4 4 2 6 4 4" xfId="6790"/>
    <cellStyle name="Normal 4 4 2 6 4 5" xfId="6791"/>
    <cellStyle name="Normal 4 4 2 6 4 6" xfId="6792"/>
    <cellStyle name="Normal 4 4 2 6 4 7" xfId="6793"/>
    <cellStyle name="Normal 4 4 2 6 4 8" xfId="6794"/>
    <cellStyle name="Normal 4 4 2 6 4 9" xfId="6795"/>
    <cellStyle name="Normal 4 4 2 6 5" xfId="529"/>
    <cellStyle name="Normal 4 4 2 6 5 10" xfId="6797"/>
    <cellStyle name="Normal 4 4 2 6 5 11" xfId="6798"/>
    <cellStyle name="Normal 4 4 2 6 5 12" xfId="6799"/>
    <cellStyle name="Normal 4 4 2 6 5 13" xfId="6800"/>
    <cellStyle name="Normal 4 4 2 6 5 14" xfId="6801"/>
    <cellStyle name="Normal 4 4 2 6 5 15" xfId="4553"/>
    <cellStyle name="Normal 4 4 2 6 5 2" xfId="6796"/>
    <cellStyle name="Normal 4 4 2 6 5 3" xfId="6803"/>
    <cellStyle name="Normal 4 4 2 6 5 4" xfId="6804"/>
    <cellStyle name="Normal 4 4 2 6 5 5" xfId="6805"/>
    <cellStyle name="Normal 4 4 2 6 5 6" xfId="6806"/>
    <cellStyle name="Normal 4 4 2 6 5 7" xfId="6807"/>
    <cellStyle name="Normal 4 4 2 6 5 8" xfId="6808"/>
    <cellStyle name="Normal 4 4 2 6 5 9" xfId="6809"/>
    <cellStyle name="Normal 4 4 2 6 6" xfId="530"/>
    <cellStyle name="Normal 4 4 2 6 6 10" xfId="6811"/>
    <cellStyle name="Normal 4 4 2 6 6 11" xfId="6812"/>
    <cellStyle name="Normal 4 4 2 6 6 12" xfId="6813"/>
    <cellStyle name="Normal 4 4 2 6 6 13" xfId="6814"/>
    <cellStyle name="Normal 4 4 2 6 6 14" xfId="6815"/>
    <cellStyle name="Normal 4 4 2 6 6 15" xfId="4539"/>
    <cellStyle name="Normal 4 4 2 6 6 2" xfId="6810"/>
    <cellStyle name="Normal 4 4 2 6 6 3" xfId="6817"/>
    <cellStyle name="Normal 4 4 2 6 6 4" xfId="6818"/>
    <cellStyle name="Normal 4 4 2 6 6 5" xfId="6819"/>
    <cellStyle name="Normal 4 4 2 6 6 6" xfId="6820"/>
    <cellStyle name="Normal 4 4 2 6 6 7" xfId="6821"/>
    <cellStyle name="Normal 4 4 2 6 6 8" xfId="6822"/>
    <cellStyle name="Normal 4 4 2 6 6 9" xfId="6823"/>
    <cellStyle name="Normal 4 4 2 6 7" xfId="531"/>
    <cellStyle name="Normal 4 4 2 6 7 10" xfId="6825"/>
    <cellStyle name="Normal 4 4 2 6 7 11" xfId="6826"/>
    <cellStyle name="Normal 4 4 2 6 7 12" xfId="6827"/>
    <cellStyle name="Normal 4 4 2 6 7 13" xfId="6828"/>
    <cellStyle name="Normal 4 4 2 6 7 14" xfId="6829"/>
    <cellStyle name="Normal 4 4 2 6 7 15" xfId="4525"/>
    <cellStyle name="Normal 4 4 2 6 7 2" xfId="6824"/>
    <cellStyle name="Normal 4 4 2 6 7 3" xfId="6831"/>
    <cellStyle name="Normal 4 4 2 6 7 4" xfId="6832"/>
    <cellStyle name="Normal 4 4 2 6 7 5" xfId="6833"/>
    <cellStyle name="Normal 4 4 2 6 7 6" xfId="6834"/>
    <cellStyle name="Normal 4 4 2 6 7 7" xfId="6835"/>
    <cellStyle name="Normal 4 4 2 6 7 8" xfId="6836"/>
    <cellStyle name="Normal 4 4 2 6 7 9" xfId="6837"/>
    <cellStyle name="Normal 4 4 2 6 8" xfId="532"/>
    <cellStyle name="Normal 4 4 2 6 8 10" xfId="6839"/>
    <cellStyle name="Normal 4 4 2 6 8 11" xfId="6840"/>
    <cellStyle name="Normal 4 4 2 6 8 12" xfId="6841"/>
    <cellStyle name="Normal 4 4 2 6 8 13" xfId="6842"/>
    <cellStyle name="Normal 4 4 2 6 8 14" xfId="6843"/>
    <cellStyle name="Normal 4 4 2 6 8 15" xfId="4511"/>
    <cellStyle name="Normal 4 4 2 6 8 2" xfId="6838"/>
    <cellStyle name="Normal 4 4 2 6 8 3" xfId="6845"/>
    <cellStyle name="Normal 4 4 2 6 8 4" xfId="6846"/>
    <cellStyle name="Normal 4 4 2 6 8 5" xfId="6847"/>
    <cellStyle name="Normal 4 4 2 6 8 6" xfId="6848"/>
    <cellStyle name="Normal 4 4 2 6 8 7" xfId="6849"/>
    <cellStyle name="Normal 4 4 2 6 8 8" xfId="6850"/>
    <cellStyle name="Normal 4 4 2 6 8 9" xfId="6851"/>
    <cellStyle name="Normal 4 4 2 6 9" xfId="533"/>
    <cellStyle name="Normal 4 4 2 6 9 2" xfId="6852"/>
    <cellStyle name="Normal 4 4 2 6 9 3" xfId="4494"/>
    <cellStyle name="Normal 4 4 2 7" xfId="534"/>
    <cellStyle name="Normal 4 4 2 7 10" xfId="6854"/>
    <cellStyle name="Normal 4 4 2 7 11" xfId="6855"/>
    <cellStyle name="Normal 4 4 2 7 12" xfId="6856"/>
    <cellStyle name="Normal 4 4 2 7 13" xfId="6857"/>
    <cellStyle name="Normal 4 4 2 7 14" xfId="6858"/>
    <cellStyle name="Normal 4 4 2 7 15" xfId="4479"/>
    <cellStyle name="Normal 4 4 2 7 2" xfId="6853"/>
    <cellStyle name="Normal 4 4 2 7 3" xfId="6860"/>
    <cellStyle name="Normal 4 4 2 7 4" xfId="6861"/>
    <cellStyle name="Normal 4 4 2 7 5" xfId="6862"/>
    <cellStyle name="Normal 4 4 2 7 6" xfId="6863"/>
    <cellStyle name="Normal 4 4 2 7 7" xfId="6864"/>
    <cellStyle name="Normal 4 4 2 7 8" xfId="6865"/>
    <cellStyle name="Normal 4 4 2 7 9" xfId="6866"/>
    <cellStyle name="Normal 4 4 2 8" xfId="535"/>
    <cellStyle name="Normal 4 4 2 8 10" xfId="6868"/>
    <cellStyle name="Normal 4 4 2 8 11" xfId="6869"/>
    <cellStyle name="Normal 4 4 2 8 12" xfId="6870"/>
    <cellStyle name="Normal 4 4 2 8 13" xfId="6871"/>
    <cellStyle name="Normal 4 4 2 8 14" xfId="6872"/>
    <cellStyle name="Normal 4 4 2 8 15" xfId="4468"/>
    <cellStyle name="Normal 4 4 2 8 2" xfId="6867"/>
    <cellStyle name="Normal 4 4 2 8 3" xfId="6874"/>
    <cellStyle name="Normal 4 4 2 8 4" xfId="6875"/>
    <cellStyle name="Normal 4 4 2 8 5" xfId="6876"/>
    <cellStyle name="Normal 4 4 2 8 6" xfId="6877"/>
    <cellStyle name="Normal 4 4 2 8 7" xfId="6878"/>
    <cellStyle name="Normal 4 4 2 8 8" xfId="6879"/>
    <cellStyle name="Normal 4 4 2 8 9" xfId="6880"/>
    <cellStyle name="Normal 4 4 2 9" xfId="536"/>
    <cellStyle name="Normal 4 4 2 9 10" xfId="6882"/>
    <cellStyle name="Normal 4 4 2 9 11" xfId="6883"/>
    <cellStyle name="Normal 4 4 2 9 12" xfId="6884"/>
    <cellStyle name="Normal 4 4 2 9 13" xfId="6885"/>
    <cellStyle name="Normal 4 4 2 9 14" xfId="6886"/>
    <cellStyle name="Normal 4 4 2 9 15" xfId="4454"/>
    <cellStyle name="Normal 4 4 2 9 2" xfId="6881"/>
    <cellStyle name="Normal 4 4 2 9 3" xfId="6888"/>
    <cellStyle name="Normal 4 4 2 9 4" xfId="6889"/>
    <cellStyle name="Normal 4 4 2 9 5" xfId="6890"/>
    <cellStyle name="Normal 4 4 2 9 6" xfId="6891"/>
    <cellStyle name="Normal 4 4 2 9 7" xfId="6892"/>
    <cellStyle name="Normal 4 4 2 9 8" xfId="6893"/>
    <cellStyle name="Normal 4 4 2 9 9" xfId="6894"/>
    <cellStyle name="Normal 4 4 20" xfId="6895"/>
    <cellStyle name="Normal 4 4 21" xfId="6896"/>
    <cellStyle name="Normal 4 4 22" xfId="6897"/>
    <cellStyle name="Normal 4 4 23" xfId="6898"/>
    <cellStyle name="Normal 4 4 24" xfId="6899"/>
    <cellStyle name="Normal 4 4 25" xfId="6900"/>
    <cellStyle name="Normal 4 4 26" xfId="6901"/>
    <cellStyle name="Normal 4 4 27" xfId="6902"/>
    <cellStyle name="Normal 4 4 28" xfId="6903"/>
    <cellStyle name="Normal 4 4 29" xfId="6904"/>
    <cellStyle name="Normal 4 4 3" xfId="537"/>
    <cellStyle name="Normal 4 4 3 10" xfId="538"/>
    <cellStyle name="Normal 4 4 3 10 10" xfId="6907"/>
    <cellStyle name="Normal 4 4 3 10 11" xfId="6908"/>
    <cellStyle name="Normal 4 4 3 10 12" xfId="6909"/>
    <cellStyle name="Normal 4 4 3 10 13" xfId="6910"/>
    <cellStyle name="Normal 4 4 3 10 14" xfId="6911"/>
    <cellStyle name="Normal 4 4 3 10 15" xfId="4426"/>
    <cellStyle name="Normal 4 4 3 10 2" xfId="6906"/>
    <cellStyle name="Normal 4 4 3 10 3" xfId="6913"/>
    <cellStyle name="Normal 4 4 3 10 4" xfId="6914"/>
    <cellStyle name="Normal 4 4 3 10 5" xfId="6915"/>
    <cellStyle name="Normal 4 4 3 10 6" xfId="6916"/>
    <cellStyle name="Normal 4 4 3 10 7" xfId="6917"/>
    <cellStyle name="Normal 4 4 3 10 8" xfId="6918"/>
    <cellStyle name="Normal 4 4 3 10 9" xfId="6919"/>
    <cellStyle name="Normal 4 4 3 11" xfId="539"/>
    <cellStyle name="Normal 4 4 3 11 10" xfId="6921"/>
    <cellStyle name="Normal 4 4 3 11 11" xfId="6922"/>
    <cellStyle name="Normal 4 4 3 11 12" xfId="6923"/>
    <cellStyle name="Normal 4 4 3 11 13" xfId="6924"/>
    <cellStyle name="Normal 4 4 3 11 14" xfId="6925"/>
    <cellStyle name="Normal 4 4 3 11 15" xfId="4412"/>
    <cellStyle name="Normal 4 4 3 11 2" xfId="6920"/>
    <cellStyle name="Normal 4 4 3 11 3" xfId="6927"/>
    <cellStyle name="Normal 4 4 3 11 4" xfId="6928"/>
    <cellStyle name="Normal 4 4 3 11 5" xfId="6929"/>
    <cellStyle name="Normal 4 4 3 11 6" xfId="6930"/>
    <cellStyle name="Normal 4 4 3 11 7" xfId="6931"/>
    <cellStyle name="Normal 4 4 3 11 8" xfId="6932"/>
    <cellStyle name="Normal 4 4 3 11 9" xfId="6933"/>
    <cellStyle name="Normal 4 4 3 12" xfId="540"/>
    <cellStyle name="Normal 4 4 3 12 10" xfId="6935"/>
    <cellStyle name="Normal 4 4 3 12 11" xfId="6936"/>
    <cellStyle name="Normal 4 4 3 12 12" xfId="6937"/>
    <cellStyle name="Normal 4 4 3 12 13" xfId="6938"/>
    <cellStyle name="Normal 4 4 3 12 14" xfId="6939"/>
    <cellStyle name="Normal 4 4 3 12 15" xfId="4398"/>
    <cellStyle name="Normal 4 4 3 12 2" xfId="6934"/>
    <cellStyle name="Normal 4 4 3 12 3" xfId="6941"/>
    <cellStyle name="Normal 4 4 3 12 4" xfId="6942"/>
    <cellStyle name="Normal 4 4 3 12 5" xfId="6943"/>
    <cellStyle name="Normal 4 4 3 12 6" xfId="6944"/>
    <cellStyle name="Normal 4 4 3 12 7" xfId="6945"/>
    <cellStyle name="Normal 4 4 3 12 8" xfId="6946"/>
    <cellStyle name="Normal 4 4 3 12 9" xfId="6947"/>
    <cellStyle name="Normal 4 4 3 13" xfId="541"/>
    <cellStyle name="Normal 4 4 3 13 10" xfId="6949"/>
    <cellStyle name="Normal 4 4 3 13 11" xfId="6950"/>
    <cellStyle name="Normal 4 4 3 13 12" xfId="6951"/>
    <cellStyle name="Normal 4 4 3 13 13" xfId="6952"/>
    <cellStyle name="Normal 4 4 3 13 14" xfId="6953"/>
    <cellStyle name="Normal 4 4 3 13 15" xfId="4381"/>
    <cellStyle name="Normal 4 4 3 13 2" xfId="6948"/>
    <cellStyle name="Normal 4 4 3 13 3" xfId="6955"/>
    <cellStyle name="Normal 4 4 3 13 4" xfId="6956"/>
    <cellStyle name="Normal 4 4 3 13 5" xfId="6957"/>
    <cellStyle name="Normal 4 4 3 13 6" xfId="6958"/>
    <cellStyle name="Normal 4 4 3 13 7" xfId="6959"/>
    <cellStyle name="Normal 4 4 3 13 8" xfId="6960"/>
    <cellStyle name="Normal 4 4 3 13 9" xfId="6961"/>
    <cellStyle name="Normal 4 4 3 14" xfId="542"/>
    <cellStyle name="Normal 4 4 3 14 2" xfId="6962"/>
    <cellStyle name="Normal 4 4 3 14 3" xfId="4366"/>
    <cellStyle name="Normal 4 4 3 15" xfId="543"/>
    <cellStyle name="Normal 4 4 3 15 2" xfId="6963"/>
    <cellStyle name="Normal 4 4 3 15 3" xfId="4347"/>
    <cellStyle name="Normal 4 4 3 16" xfId="6905"/>
    <cellStyle name="Normal 4 4 3 17" xfId="6965"/>
    <cellStyle name="Normal 4 4 3 18" xfId="6966"/>
    <cellStyle name="Normal 4 4 3 19" xfId="6967"/>
    <cellStyle name="Normal 4 4 3 2" xfId="544"/>
    <cellStyle name="Normal 4 4 3 2 10" xfId="545"/>
    <cellStyle name="Normal 4 4 3 2 10 2" xfId="6969"/>
    <cellStyle name="Normal 4 4 3 2 10 3" xfId="4319"/>
    <cellStyle name="Normal 4 4 3 2 11" xfId="6968"/>
    <cellStyle name="Normal 4 4 3 2 12" xfId="6971"/>
    <cellStyle name="Normal 4 4 3 2 13" xfId="6972"/>
    <cellStyle name="Normal 4 4 3 2 14" xfId="6973"/>
    <cellStyle name="Normal 4 4 3 2 15" xfId="6974"/>
    <cellStyle name="Normal 4 4 3 2 16" xfId="6975"/>
    <cellStyle name="Normal 4 4 3 2 17" xfId="6976"/>
    <cellStyle name="Normal 4 4 3 2 18" xfId="6977"/>
    <cellStyle name="Normal 4 4 3 2 19" xfId="6978"/>
    <cellStyle name="Normal 4 4 3 2 2" xfId="546"/>
    <cellStyle name="Normal 4 4 3 2 2 10" xfId="6980"/>
    <cellStyle name="Normal 4 4 3 2 2 11" xfId="6981"/>
    <cellStyle name="Normal 4 4 3 2 2 12" xfId="6982"/>
    <cellStyle name="Normal 4 4 3 2 2 13" xfId="6983"/>
    <cellStyle name="Normal 4 4 3 2 2 14" xfId="6984"/>
    <cellStyle name="Normal 4 4 3 2 2 15" xfId="4305"/>
    <cellStyle name="Normal 4 4 3 2 2 2" xfId="6979"/>
    <cellStyle name="Normal 4 4 3 2 2 3" xfId="6986"/>
    <cellStyle name="Normal 4 4 3 2 2 4" xfId="6987"/>
    <cellStyle name="Normal 4 4 3 2 2 5" xfId="6988"/>
    <cellStyle name="Normal 4 4 3 2 2 6" xfId="6989"/>
    <cellStyle name="Normal 4 4 3 2 2 7" xfId="6990"/>
    <cellStyle name="Normal 4 4 3 2 2 8" xfId="6991"/>
    <cellStyle name="Normal 4 4 3 2 2 9" xfId="6992"/>
    <cellStyle name="Normal 4 4 3 2 20" xfId="6993"/>
    <cellStyle name="Normal 4 4 3 2 21" xfId="6994"/>
    <cellStyle name="Normal 4 4 3 2 22" xfId="6995"/>
    <cellStyle name="Normal 4 4 3 2 23" xfId="4333"/>
    <cellStyle name="Normal 4 4 3 2 3" xfId="547"/>
    <cellStyle name="Normal 4 4 3 2 3 10" xfId="6997"/>
    <cellStyle name="Normal 4 4 3 2 3 11" xfId="6998"/>
    <cellStyle name="Normal 4 4 3 2 3 12" xfId="6999"/>
    <cellStyle name="Normal 4 4 3 2 3 13" xfId="7000"/>
    <cellStyle name="Normal 4 4 3 2 3 14" xfId="7001"/>
    <cellStyle name="Normal 4 4 3 2 3 15" xfId="4291"/>
    <cellStyle name="Normal 4 4 3 2 3 2" xfId="6996"/>
    <cellStyle name="Normal 4 4 3 2 3 3" xfId="7003"/>
    <cellStyle name="Normal 4 4 3 2 3 4" xfId="7004"/>
    <cellStyle name="Normal 4 4 3 2 3 5" xfId="7005"/>
    <cellStyle name="Normal 4 4 3 2 3 6" xfId="7006"/>
    <cellStyle name="Normal 4 4 3 2 3 7" xfId="7007"/>
    <cellStyle name="Normal 4 4 3 2 3 8" xfId="7008"/>
    <cellStyle name="Normal 4 4 3 2 3 9" xfId="7009"/>
    <cellStyle name="Normal 4 4 3 2 4" xfId="548"/>
    <cellStyle name="Normal 4 4 3 2 4 10" xfId="7011"/>
    <cellStyle name="Normal 4 4 3 2 4 11" xfId="7012"/>
    <cellStyle name="Normal 4 4 3 2 4 12" xfId="7013"/>
    <cellStyle name="Normal 4 4 3 2 4 13" xfId="7014"/>
    <cellStyle name="Normal 4 4 3 2 4 14" xfId="7015"/>
    <cellStyle name="Normal 4 4 3 2 4 15" xfId="4277"/>
    <cellStyle name="Normal 4 4 3 2 4 2" xfId="7010"/>
    <cellStyle name="Normal 4 4 3 2 4 3" xfId="7017"/>
    <cellStyle name="Normal 4 4 3 2 4 4" xfId="7018"/>
    <cellStyle name="Normal 4 4 3 2 4 5" xfId="7019"/>
    <cellStyle name="Normal 4 4 3 2 4 6" xfId="7020"/>
    <cellStyle name="Normal 4 4 3 2 4 7" xfId="7021"/>
    <cellStyle name="Normal 4 4 3 2 4 8" xfId="7022"/>
    <cellStyle name="Normal 4 4 3 2 4 9" xfId="7023"/>
    <cellStyle name="Normal 4 4 3 2 5" xfId="549"/>
    <cellStyle name="Normal 4 4 3 2 5 10" xfId="7025"/>
    <cellStyle name="Normal 4 4 3 2 5 11" xfId="7026"/>
    <cellStyle name="Normal 4 4 3 2 5 12" xfId="7027"/>
    <cellStyle name="Normal 4 4 3 2 5 13" xfId="7028"/>
    <cellStyle name="Normal 4 4 3 2 5 14" xfId="7029"/>
    <cellStyle name="Normal 4 4 3 2 5 15" xfId="4260"/>
    <cellStyle name="Normal 4 4 3 2 5 2" xfId="7024"/>
    <cellStyle name="Normal 4 4 3 2 5 3" xfId="7031"/>
    <cellStyle name="Normal 4 4 3 2 5 4" xfId="7032"/>
    <cellStyle name="Normal 4 4 3 2 5 5" xfId="7033"/>
    <cellStyle name="Normal 4 4 3 2 5 6" xfId="7034"/>
    <cellStyle name="Normal 4 4 3 2 5 7" xfId="7035"/>
    <cellStyle name="Normal 4 4 3 2 5 8" xfId="7036"/>
    <cellStyle name="Normal 4 4 3 2 5 9" xfId="7037"/>
    <cellStyle name="Normal 4 4 3 2 6" xfId="550"/>
    <cellStyle name="Normal 4 4 3 2 6 10" xfId="7039"/>
    <cellStyle name="Normal 4 4 3 2 6 11" xfId="7040"/>
    <cellStyle name="Normal 4 4 3 2 6 12" xfId="7041"/>
    <cellStyle name="Normal 4 4 3 2 6 13" xfId="7042"/>
    <cellStyle name="Normal 4 4 3 2 6 14" xfId="7043"/>
    <cellStyle name="Normal 4 4 3 2 6 15" xfId="4245"/>
    <cellStyle name="Normal 4 4 3 2 6 2" xfId="7038"/>
    <cellStyle name="Normal 4 4 3 2 6 3" xfId="7045"/>
    <cellStyle name="Normal 4 4 3 2 6 4" xfId="7046"/>
    <cellStyle name="Normal 4 4 3 2 6 5" xfId="7047"/>
    <cellStyle name="Normal 4 4 3 2 6 6" xfId="7048"/>
    <cellStyle name="Normal 4 4 3 2 6 7" xfId="7049"/>
    <cellStyle name="Normal 4 4 3 2 6 8" xfId="7050"/>
    <cellStyle name="Normal 4 4 3 2 6 9" xfId="7051"/>
    <cellStyle name="Normal 4 4 3 2 7" xfId="551"/>
    <cellStyle name="Normal 4 4 3 2 7 10" xfId="7053"/>
    <cellStyle name="Normal 4 4 3 2 7 11" xfId="7054"/>
    <cellStyle name="Normal 4 4 3 2 7 12" xfId="7055"/>
    <cellStyle name="Normal 4 4 3 2 7 13" xfId="7056"/>
    <cellStyle name="Normal 4 4 3 2 7 14" xfId="7057"/>
    <cellStyle name="Normal 4 4 3 2 7 15" xfId="4239"/>
    <cellStyle name="Normal 4 4 3 2 7 2" xfId="7052"/>
    <cellStyle name="Normal 4 4 3 2 7 3" xfId="7059"/>
    <cellStyle name="Normal 4 4 3 2 7 4" xfId="7060"/>
    <cellStyle name="Normal 4 4 3 2 7 5" xfId="7061"/>
    <cellStyle name="Normal 4 4 3 2 7 6" xfId="7062"/>
    <cellStyle name="Normal 4 4 3 2 7 7" xfId="7063"/>
    <cellStyle name="Normal 4 4 3 2 7 8" xfId="7064"/>
    <cellStyle name="Normal 4 4 3 2 7 9" xfId="7065"/>
    <cellStyle name="Normal 4 4 3 2 8" xfId="552"/>
    <cellStyle name="Normal 4 4 3 2 8 10" xfId="7067"/>
    <cellStyle name="Normal 4 4 3 2 8 11" xfId="7068"/>
    <cellStyle name="Normal 4 4 3 2 8 12" xfId="7069"/>
    <cellStyle name="Normal 4 4 3 2 8 13" xfId="7070"/>
    <cellStyle name="Normal 4 4 3 2 8 14" xfId="7071"/>
    <cellStyle name="Normal 4 4 3 2 8 15" xfId="4229"/>
    <cellStyle name="Normal 4 4 3 2 8 2" xfId="7066"/>
    <cellStyle name="Normal 4 4 3 2 8 3" xfId="7073"/>
    <cellStyle name="Normal 4 4 3 2 8 4" xfId="7074"/>
    <cellStyle name="Normal 4 4 3 2 8 5" xfId="7075"/>
    <cellStyle name="Normal 4 4 3 2 8 6" xfId="7076"/>
    <cellStyle name="Normal 4 4 3 2 8 7" xfId="7077"/>
    <cellStyle name="Normal 4 4 3 2 8 8" xfId="7078"/>
    <cellStyle name="Normal 4 4 3 2 8 9" xfId="7079"/>
    <cellStyle name="Normal 4 4 3 2 9" xfId="553"/>
    <cellStyle name="Normal 4 4 3 2 9 2" xfId="7080"/>
    <cellStyle name="Normal 4 4 3 2 9 3" xfId="4215"/>
    <cellStyle name="Normal 4 4 3 20" xfId="7081"/>
    <cellStyle name="Normal 4 4 3 21" xfId="7082"/>
    <cellStyle name="Normal 4 4 3 22" xfId="7083"/>
    <cellStyle name="Normal 4 4 3 23" xfId="7084"/>
    <cellStyle name="Normal 4 4 3 24" xfId="7085"/>
    <cellStyle name="Normal 4 4 3 25" xfId="7086"/>
    <cellStyle name="Normal 4 4 3 26" xfId="7087"/>
    <cellStyle name="Normal 4 4 3 27" xfId="7088"/>
    <cellStyle name="Normal 4 4 3 28" xfId="4440"/>
    <cellStyle name="Normal 4 4 3 29" xfId="12083"/>
    <cellStyle name="Normal 4 4 3 3" xfId="554"/>
    <cellStyle name="Normal 4 4 3 3 10" xfId="555"/>
    <cellStyle name="Normal 4 4 3 3 10 2" xfId="7090"/>
    <cellStyle name="Normal 4 4 3 3 10 3" xfId="4187"/>
    <cellStyle name="Normal 4 4 3 3 11" xfId="7089"/>
    <cellStyle name="Normal 4 4 3 3 12" xfId="7092"/>
    <cellStyle name="Normal 4 4 3 3 13" xfId="7093"/>
    <cellStyle name="Normal 4 4 3 3 14" xfId="7094"/>
    <cellStyle name="Normal 4 4 3 3 15" xfId="7095"/>
    <cellStyle name="Normal 4 4 3 3 16" xfId="7096"/>
    <cellStyle name="Normal 4 4 3 3 17" xfId="7097"/>
    <cellStyle name="Normal 4 4 3 3 18" xfId="7098"/>
    <cellStyle name="Normal 4 4 3 3 19" xfId="7099"/>
    <cellStyle name="Normal 4 4 3 3 2" xfId="556"/>
    <cellStyle name="Normal 4 4 3 3 2 10" xfId="7101"/>
    <cellStyle name="Normal 4 4 3 3 2 11" xfId="7102"/>
    <cellStyle name="Normal 4 4 3 3 2 12" xfId="7103"/>
    <cellStyle name="Normal 4 4 3 3 2 13" xfId="7104"/>
    <cellStyle name="Normal 4 4 3 3 2 14" xfId="7105"/>
    <cellStyle name="Normal 4 4 3 3 2 15" xfId="4178"/>
    <cellStyle name="Normal 4 4 3 3 2 2" xfId="7100"/>
    <cellStyle name="Normal 4 4 3 3 2 3" xfId="7107"/>
    <cellStyle name="Normal 4 4 3 3 2 4" xfId="7108"/>
    <cellStyle name="Normal 4 4 3 3 2 5" xfId="7109"/>
    <cellStyle name="Normal 4 4 3 3 2 6" xfId="7110"/>
    <cellStyle name="Normal 4 4 3 3 2 7" xfId="7111"/>
    <cellStyle name="Normal 4 4 3 3 2 8" xfId="7112"/>
    <cellStyle name="Normal 4 4 3 3 2 9" xfId="7113"/>
    <cellStyle name="Normal 4 4 3 3 20" xfId="7114"/>
    <cellStyle name="Normal 4 4 3 3 21" xfId="7115"/>
    <cellStyle name="Normal 4 4 3 3 22" xfId="7116"/>
    <cellStyle name="Normal 4 4 3 3 23" xfId="4201"/>
    <cellStyle name="Normal 4 4 3 3 3" xfId="557"/>
    <cellStyle name="Normal 4 4 3 3 3 10" xfId="7118"/>
    <cellStyle name="Normal 4 4 3 3 3 11" xfId="7119"/>
    <cellStyle name="Normal 4 4 3 3 3 12" xfId="7120"/>
    <cellStyle name="Normal 4 4 3 3 3 13" xfId="7121"/>
    <cellStyle name="Normal 4 4 3 3 3 14" xfId="7122"/>
    <cellStyle name="Normal 4 4 3 3 3 15" xfId="4168"/>
    <cellStyle name="Normal 4 4 3 3 3 2" xfId="7117"/>
    <cellStyle name="Normal 4 4 3 3 3 3" xfId="7124"/>
    <cellStyle name="Normal 4 4 3 3 3 4" xfId="7125"/>
    <cellStyle name="Normal 4 4 3 3 3 5" xfId="7126"/>
    <cellStyle name="Normal 4 4 3 3 3 6" xfId="7127"/>
    <cellStyle name="Normal 4 4 3 3 3 7" xfId="7128"/>
    <cellStyle name="Normal 4 4 3 3 3 8" xfId="7129"/>
    <cellStyle name="Normal 4 4 3 3 3 9" xfId="7130"/>
    <cellStyle name="Normal 4 4 3 3 4" xfId="558"/>
    <cellStyle name="Normal 4 4 3 3 4 10" xfId="7132"/>
    <cellStyle name="Normal 4 4 3 3 4 11" xfId="7133"/>
    <cellStyle name="Normal 4 4 3 3 4 12" xfId="7134"/>
    <cellStyle name="Normal 4 4 3 3 4 13" xfId="7135"/>
    <cellStyle name="Normal 4 4 3 3 4 14" xfId="7136"/>
    <cellStyle name="Normal 4 4 3 3 4 15" xfId="4154"/>
    <cellStyle name="Normal 4 4 3 3 4 2" xfId="7131"/>
    <cellStyle name="Normal 4 4 3 3 4 3" xfId="7138"/>
    <cellStyle name="Normal 4 4 3 3 4 4" xfId="7139"/>
    <cellStyle name="Normal 4 4 3 3 4 5" xfId="7140"/>
    <cellStyle name="Normal 4 4 3 3 4 6" xfId="7141"/>
    <cellStyle name="Normal 4 4 3 3 4 7" xfId="7142"/>
    <cellStyle name="Normal 4 4 3 3 4 8" xfId="7143"/>
    <cellStyle name="Normal 4 4 3 3 4 9" xfId="7144"/>
    <cellStyle name="Normal 4 4 3 3 5" xfId="559"/>
    <cellStyle name="Normal 4 4 3 3 5 10" xfId="7146"/>
    <cellStyle name="Normal 4 4 3 3 5 11" xfId="7147"/>
    <cellStyle name="Normal 4 4 3 3 5 12" xfId="7148"/>
    <cellStyle name="Normal 4 4 3 3 5 13" xfId="7149"/>
    <cellStyle name="Normal 4 4 3 3 5 14" xfId="7150"/>
    <cellStyle name="Normal 4 4 3 3 5 15" xfId="4140"/>
    <cellStyle name="Normal 4 4 3 3 5 2" xfId="7145"/>
    <cellStyle name="Normal 4 4 3 3 5 3" xfId="7152"/>
    <cellStyle name="Normal 4 4 3 3 5 4" xfId="7153"/>
    <cellStyle name="Normal 4 4 3 3 5 5" xfId="7154"/>
    <cellStyle name="Normal 4 4 3 3 5 6" xfId="7155"/>
    <cellStyle name="Normal 4 4 3 3 5 7" xfId="7156"/>
    <cellStyle name="Normal 4 4 3 3 5 8" xfId="7157"/>
    <cellStyle name="Normal 4 4 3 3 5 9" xfId="7158"/>
    <cellStyle name="Normal 4 4 3 3 6" xfId="560"/>
    <cellStyle name="Normal 4 4 3 3 6 10" xfId="7160"/>
    <cellStyle name="Normal 4 4 3 3 6 11" xfId="7161"/>
    <cellStyle name="Normal 4 4 3 3 6 12" xfId="7162"/>
    <cellStyle name="Normal 4 4 3 3 6 13" xfId="7163"/>
    <cellStyle name="Normal 4 4 3 3 6 14" xfId="7164"/>
    <cellStyle name="Normal 4 4 3 3 6 15" xfId="4126"/>
    <cellStyle name="Normal 4 4 3 3 6 2" xfId="7159"/>
    <cellStyle name="Normal 4 4 3 3 6 3" xfId="7166"/>
    <cellStyle name="Normal 4 4 3 3 6 4" xfId="7167"/>
    <cellStyle name="Normal 4 4 3 3 6 5" xfId="7168"/>
    <cellStyle name="Normal 4 4 3 3 6 6" xfId="7169"/>
    <cellStyle name="Normal 4 4 3 3 6 7" xfId="7170"/>
    <cellStyle name="Normal 4 4 3 3 6 8" xfId="7171"/>
    <cellStyle name="Normal 4 4 3 3 6 9" xfId="7172"/>
    <cellStyle name="Normal 4 4 3 3 7" xfId="561"/>
    <cellStyle name="Normal 4 4 3 3 7 10" xfId="7174"/>
    <cellStyle name="Normal 4 4 3 3 7 11" xfId="7175"/>
    <cellStyle name="Normal 4 4 3 3 7 12" xfId="7176"/>
    <cellStyle name="Normal 4 4 3 3 7 13" xfId="7177"/>
    <cellStyle name="Normal 4 4 3 3 7 14" xfId="7178"/>
    <cellStyle name="Normal 4 4 3 3 7 15" xfId="4112"/>
    <cellStyle name="Normal 4 4 3 3 7 2" xfId="7173"/>
    <cellStyle name="Normal 4 4 3 3 7 3" xfId="7180"/>
    <cellStyle name="Normal 4 4 3 3 7 4" xfId="7181"/>
    <cellStyle name="Normal 4 4 3 3 7 5" xfId="7182"/>
    <cellStyle name="Normal 4 4 3 3 7 6" xfId="7183"/>
    <cellStyle name="Normal 4 4 3 3 7 7" xfId="7184"/>
    <cellStyle name="Normal 4 4 3 3 7 8" xfId="7185"/>
    <cellStyle name="Normal 4 4 3 3 7 9" xfId="7186"/>
    <cellStyle name="Normal 4 4 3 3 8" xfId="562"/>
    <cellStyle name="Normal 4 4 3 3 8 10" xfId="7188"/>
    <cellStyle name="Normal 4 4 3 3 8 11" xfId="7189"/>
    <cellStyle name="Normal 4 4 3 3 8 12" xfId="7190"/>
    <cellStyle name="Normal 4 4 3 3 8 13" xfId="7191"/>
    <cellStyle name="Normal 4 4 3 3 8 14" xfId="7192"/>
    <cellStyle name="Normal 4 4 3 3 8 15" xfId="4098"/>
    <cellStyle name="Normal 4 4 3 3 8 2" xfId="7187"/>
    <cellStyle name="Normal 4 4 3 3 8 3" xfId="7194"/>
    <cellStyle name="Normal 4 4 3 3 8 4" xfId="7195"/>
    <cellStyle name="Normal 4 4 3 3 8 5" xfId="7196"/>
    <cellStyle name="Normal 4 4 3 3 8 6" xfId="7197"/>
    <cellStyle name="Normal 4 4 3 3 8 7" xfId="7198"/>
    <cellStyle name="Normal 4 4 3 3 8 8" xfId="7199"/>
    <cellStyle name="Normal 4 4 3 3 8 9" xfId="7200"/>
    <cellStyle name="Normal 4 4 3 3 9" xfId="563"/>
    <cellStyle name="Normal 4 4 3 3 9 2" xfId="7201"/>
    <cellStyle name="Normal 4 4 3 3 9 3" xfId="4085"/>
    <cellStyle name="Normal 4 4 3 30" xfId="33552"/>
    <cellStyle name="Normal 4 4 3 31" xfId="44392"/>
    <cellStyle name="Normal 4 4 3 4" xfId="564"/>
    <cellStyle name="Normal 4 4 3 4 10" xfId="565"/>
    <cellStyle name="Normal 4 4 3 4 10 2" xfId="7203"/>
    <cellStyle name="Normal 4 4 3 4 10 3" xfId="4058"/>
    <cellStyle name="Normal 4 4 3 4 11" xfId="7202"/>
    <cellStyle name="Normal 4 4 3 4 12" xfId="7205"/>
    <cellStyle name="Normal 4 4 3 4 13" xfId="7206"/>
    <cellStyle name="Normal 4 4 3 4 14" xfId="7207"/>
    <cellStyle name="Normal 4 4 3 4 15" xfId="7208"/>
    <cellStyle name="Normal 4 4 3 4 16" xfId="7209"/>
    <cellStyle name="Normal 4 4 3 4 17" xfId="7210"/>
    <cellStyle name="Normal 4 4 3 4 18" xfId="7211"/>
    <cellStyle name="Normal 4 4 3 4 19" xfId="7212"/>
    <cellStyle name="Normal 4 4 3 4 2" xfId="566"/>
    <cellStyle name="Normal 4 4 3 4 2 10" xfId="7214"/>
    <cellStyle name="Normal 4 4 3 4 2 11" xfId="7215"/>
    <cellStyle name="Normal 4 4 3 4 2 12" xfId="7216"/>
    <cellStyle name="Normal 4 4 3 4 2 13" xfId="7217"/>
    <cellStyle name="Normal 4 4 3 4 2 14" xfId="7218"/>
    <cellStyle name="Normal 4 4 3 4 2 15" xfId="4044"/>
    <cellStyle name="Normal 4 4 3 4 2 2" xfId="7213"/>
    <cellStyle name="Normal 4 4 3 4 2 3" xfId="7220"/>
    <cellStyle name="Normal 4 4 3 4 2 4" xfId="7221"/>
    <cellStyle name="Normal 4 4 3 4 2 5" xfId="7222"/>
    <cellStyle name="Normal 4 4 3 4 2 6" xfId="7223"/>
    <cellStyle name="Normal 4 4 3 4 2 7" xfId="7224"/>
    <cellStyle name="Normal 4 4 3 4 2 8" xfId="7225"/>
    <cellStyle name="Normal 4 4 3 4 2 9" xfId="7226"/>
    <cellStyle name="Normal 4 4 3 4 20" xfId="7227"/>
    <cellStyle name="Normal 4 4 3 4 21" xfId="7228"/>
    <cellStyle name="Normal 4 4 3 4 22" xfId="7229"/>
    <cellStyle name="Normal 4 4 3 4 23" xfId="4073"/>
    <cellStyle name="Normal 4 4 3 4 3" xfId="567"/>
    <cellStyle name="Normal 4 4 3 4 3 10" xfId="7231"/>
    <cellStyle name="Normal 4 4 3 4 3 11" xfId="7232"/>
    <cellStyle name="Normal 4 4 3 4 3 12" xfId="7233"/>
    <cellStyle name="Normal 4 4 3 4 3 13" xfId="7234"/>
    <cellStyle name="Normal 4 4 3 4 3 14" xfId="7235"/>
    <cellStyle name="Normal 4 4 3 4 3 15" xfId="4030"/>
    <cellStyle name="Normal 4 4 3 4 3 2" xfId="7230"/>
    <cellStyle name="Normal 4 4 3 4 3 3" xfId="7237"/>
    <cellStyle name="Normal 4 4 3 4 3 4" xfId="7238"/>
    <cellStyle name="Normal 4 4 3 4 3 5" xfId="7239"/>
    <cellStyle name="Normal 4 4 3 4 3 6" xfId="7240"/>
    <cellStyle name="Normal 4 4 3 4 3 7" xfId="7241"/>
    <cellStyle name="Normal 4 4 3 4 3 8" xfId="7242"/>
    <cellStyle name="Normal 4 4 3 4 3 9" xfId="7243"/>
    <cellStyle name="Normal 4 4 3 4 4" xfId="568"/>
    <cellStyle name="Normal 4 4 3 4 4 10" xfId="7245"/>
    <cellStyle name="Normal 4 4 3 4 4 11" xfId="7246"/>
    <cellStyle name="Normal 4 4 3 4 4 12" xfId="7247"/>
    <cellStyle name="Normal 4 4 3 4 4 13" xfId="7248"/>
    <cellStyle name="Normal 4 4 3 4 4 14" xfId="7249"/>
    <cellStyle name="Normal 4 4 3 4 4 15" xfId="4016"/>
    <cellStyle name="Normal 4 4 3 4 4 2" xfId="7244"/>
    <cellStyle name="Normal 4 4 3 4 4 3" xfId="7251"/>
    <cellStyle name="Normal 4 4 3 4 4 4" xfId="7252"/>
    <cellStyle name="Normal 4 4 3 4 4 5" xfId="7253"/>
    <cellStyle name="Normal 4 4 3 4 4 6" xfId="7254"/>
    <cellStyle name="Normal 4 4 3 4 4 7" xfId="7255"/>
    <cellStyle name="Normal 4 4 3 4 4 8" xfId="7256"/>
    <cellStyle name="Normal 4 4 3 4 4 9" xfId="7257"/>
    <cellStyle name="Normal 4 4 3 4 5" xfId="569"/>
    <cellStyle name="Normal 4 4 3 4 5 10" xfId="7259"/>
    <cellStyle name="Normal 4 4 3 4 5 11" xfId="7260"/>
    <cellStyle name="Normal 4 4 3 4 5 12" xfId="7261"/>
    <cellStyle name="Normal 4 4 3 4 5 13" xfId="7262"/>
    <cellStyle name="Normal 4 4 3 4 5 14" xfId="7263"/>
    <cellStyle name="Normal 4 4 3 4 5 15" xfId="4002"/>
    <cellStyle name="Normal 4 4 3 4 5 2" xfId="7258"/>
    <cellStyle name="Normal 4 4 3 4 5 3" xfId="7265"/>
    <cellStyle name="Normal 4 4 3 4 5 4" xfId="7266"/>
    <cellStyle name="Normal 4 4 3 4 5 5" xfId="7267"/>
    <cellStyle name="Normal 4 4 3 4 5 6" xfId="7268"/>
    <cellStyle name="Normal 4 4 3 4 5 7" xfId="7269"/>
    <cellStyle name="Normal 4 4 3 4 5 8" xfId="7270"/>
    <cellStyle name="Normal 4 4 3 4 5 9" xfId="7271"/>
    <cellStyle name="Normal 4 4 3 4 6" xfId="570"/>
    <cellStyle name="Normal 4 4 3 4 6 10" xfId="7273"/>
    <cellStyle name="Normal 4 4 3 4 6 11" xfId="7274"/>
    <cellStyle name="Normal 4 4 3 4 6 12" xfId="7275"/>
    <cellStyle name="Normal 4 4 3 4 6 13" xfId="7276"/>
    <cellStyle name="Normal 4 4 3 4 6 14" xfId="7277"/>
    <cellStyle name="Normal 4 4 3 4 6 15" xfId="3988"/>
    <cellStyle name="Normal 4 4 3 4 6 2" xfId="7272"/>
    <cellStyle name="Normal 4 4 3 4 6 3" xfId="7279"/>
    <cellStyle name="Normal 4 4 3 4 6 4" xfId="7280"/>
    <cellStyle name="Normal 4 4 3 4 6 5" xfId="7281"/>
    <cellStyle name="Normal 4 4 3 4 6 6" xfId="7282"/>
    <cellStyle name="Normal 4 4 3 4 6 7" xfId="7283"/>
    <cellStyle name="Normal 4 4 3 4 6 8" xfId="7284"/>
    <cellStyle name="Normal 4 4 3 4 6 9" xfId="7285"/>
    <cellStyle name="Normal 4 4 3 4 7" xfId="571"/>
    <cellStyle name="Normal 4 4 3 4 7 10" xfId="7287"/>
    <cellStyle name="Normal 4 4 3 4 7 11" xfId="7288"/>
    <cellStyle name="Normal 4 4 3 4 7 12" xfId="7289"/>
    <cellStyle name="Normal 4 4 3 4 7 13" xfId="7290"/>
    <cellStyle name="Normal 4 4 3 4 7 14" xfId="7291"/>
    <cellStyle name="Normal 4 4 3 4 7 15" xfId="3971"/>
    <cellStyle name="Normal 4 4 3 4 7 2" xfId="7286"/>
    <cellStyle name="Normal 4 4 3 4 7 3" xfId="7293"/>
    <cellStyle name="Normal 4 4 3 4 7 4" xfId="7294"/>
    <cellStyle name="Normal 4 4 3 4 7 5" xfId="7295"/>
    <cellStyle name="Normal 4 4 3 4 7 6" xfId="7296"/>
    <cellStyle name="Normal 4 4 3 4 7 7" xfId="7297"/>
    <cellStyle name="Normal 4 4 3 4 7 8" xfId="7298"/>
    <cellStyle name="Normal 4 4 3 4 7 9" xfId="7299"/>
    <cellStyle name="Normal 4 4 3 4 8" xfId="572"/>
    <cellStyle name="Normal 4 4 3 4 8 10" xfId="7301"/>
    <cellStyle name="Normal 4 4 3 4 8 11" xfId="7302"/>
    <cellStyle name="Normal 4 4 3 4 8 12" xfId="7303"/>
    <cellStyle name="Normal 4 4 3 4 8 13" xfId="7304"/>
    <cellStyle name="Normal 4 4 3 4 8 14" xfId="7305"/>
    <cellStyle name="Normal 4 4 3 4 8 15" xfId="3956"/>
    <cellStyle name="Normal 4 4 3 4 8 2" xfId="7300"/>
    <cellStyle name="Normal 4 4 3 4 8 3" xfId="7307"/>
    <cellStyle name="Normal 4 4 3 4 8 4" xfId="7308"/>
    <cellStyle name="Normal 4 4 3 4 8 5" xfId="7309"/>
    <cellStyle name="Normal 4 4 3 4 8 6" xfId="7310"/>
    <cellStyle name="Normal 4 4 3 4 8 7" xfId="7311"/>
    <cellStyle name="Normal 4 4 3 4 8 8" xfId="7312"/>
    <cellStyle name="Normal 4 4 3 4 8 9" xfId="7313"/>
    <cellStyle name="Normal 4 4 3 4 9" xfId="573"/>
    <cellStyle name="Normal 4 4 3 4 9 2" xfId="7314"/>
    <cellStyle name="Normal 4 4 3 4 9 3" xfId="3945"/>
    <cellStyle name="Normal 4 4 3 5" xfId="574"/>
    <cellStyle name="Normal 4 4 3 5 10" xfId="575"/>
    <cellStyle name="Normal 4 4 3 5 10 2" xfId="7316"/>
    <cellStyle name="Normal 4 4 3 5 10 3" xfId="3917"/>
    <cellStyle name="Normal 4 4 3 5 11" xfId="7315"/>
    <cellStyle name="Normal 4 4 3 5 12" xfId="7318"/>
    <cellStyle name="Normal 4 4 3 5 13" xfId="7319"/>
    <cellStyle name="Normal 4 4 3 5 14" xfId="7320"/>
    <cellStyle name="Normal 4 4 3 5 15" xfId="7321"/>
    <cellStyle name="Normal 4 4 3 5 16" xfId="7322"/>
    <cellStyle name="Normal 4 4 3 5 17" xfId="7323"/>
    <cellStyle name="Normal 4 4 3 5 18" xfId="7324"/>
    <cellStyle name="Normal 4 4 3 5 19" xfId="7325"/>
    <cellStyle name="Normal 4 4 3 5 2" xfId="576"/>
    <cellStyle name="Normal 4 4 3 5 2 10" xfId="7327"/>
    <cellStyle name="Normal 4 4 3 5 2 11" xfId="7328"/>
    <cellStyle name="Normal 4 4 3 5 2 12" xfId="7329"/>
    <cellStyle name="Normal 4 4 3 5 2 13" xfId="7330"/>
    <cellStyle name="Normal 4 4 3 5 2 14" xfId="7331"/>
    <cellStyle name="Normal 4 4 3 5 2 15" xfId="3903"/>
    <cellStyle name="Normal 4 4 3 5 2 2" xfId="7326"/>
    <cellStyle name="Normal 4 4 3 5 2 3" xfId="7333"/>
    <cellStyle name="Normal 4 4 3 5 2 4" xfId="7334"/>
    <cellStyle name="Normal 4 4 3 5 2 5" xfId="7335"/>
    <cellStyle name="Normal 4 4 3 5 2 6" xfId="7336"/>
    <cellStyle name="Normal 4 4 3 5 2 7" xfId="7337"/>
    <cellStyle name="Normal 4 4 3 5 2 8" xfId="7338"/>
    <cellStyle name="Normal 4 4 3 5 2 9" xfId="7339"/>
    <cellStyle name="Normal 4 4 3 5 20" xfId="7340"/>
    <cellStyle name="Normal 4 4 3 5 21" xfId="7341"/>
    <cellStyle name="Normal 4 4 3 5 22" xfId="7342"/>
    <cellStyle name="Normal 4 4 3 5 23" xfId="3931"/>
    <cellStyle name="Normal 4 4 3 5 3" xfId="577"/>
    <cellStyle name="Normal 4 4 3 5 3 10" xfId="7344"/>
    <cellStyle name="Normal 4 4 3 5 3 11" xfId="7345"/>
    <cellStyle name="Normal 4 4 3 5 3 12" xfId="7346"/>
    <cellStyle name="Normal 4 4 3 5 3 13" xfId="7347"/>
    <cellStyle name="Normal 4 4 3 5 3 14" xfId="7348"/>
    <cellStyle name="Normal 4 4 3 5 3 15" xfId="3889"/>
    <cellStyle name="Normal 4 4 3 5 3 2" xfId="7343"/>
    <cellStyle name="Normal 4 4 3 5 3 3" xfId="7350"/>
    <cellStyle name="Normal 4 4 3 5 3 4" xfId="7351"/>
    <cellStyle name="Normal 4 4 3 5 3 5" xfId="7352"/>
    <cellStyle name="Normal 4 4 3 5 3 6" xfId="7353"/>
    <cellStyle name="Normal 4 4 3 5 3 7" xfId="7354"/>
    <cellStyle name="Normal 4 4 3 5 3 8" xfId="7355"/>
    <cellStyle name="Normal 4 4 3 5 3 9" xfId="7356"/>
    <cellStyle name="Normal 4 4 3 5 4" xfId="578"/>
    <cellStyle name="Normal 4 4 3 5 4 10" xfId="7358"/>
    <cellStyle name="Normal 4 4 3 5 4 11" xfId="7359"/>
    <cellStyle name="Normal 4 4 3 5 4 12" xfId="7360"/>
    <cellStyle name="Normal 4 4 3 5 4 13" xfId="7361"/>
    <cellStyle name="Normal 4 4 3 5 4 14" xfId="7362"/>
    <cellStyle name="Normal 4 4 3 5 4 15" xfId="3875"/>
    <cellStyle name="Normal 4 4 3 5 4 2" xfId="7357"/>
    <cellStyle name="Normal 4 4 3 5 4 3" xfId="7364"/>
    <cellStyle name="Normal 4 4 3 5 4 4" xfId="7365"/>
    <cellStyle name="Normal 4 4 3 5 4 5" xfId="7366"/>
    <cellStyle name="Normal 4 4 3 5 4 6" xfId="7367"/>
    <cellStyle name="Normal 4 4 3 5 4 7" xfId="7368"/>
    <cellStyle name="Normal 4 4 3 5 4 8" xfId="7369"/>
    <cellStyle name="Normal 4 4 3 5 4 9" xfId="7370"/>
    <cellStyle name="Normal 4 4 3 5 5" xfId="579"/>
    <cellStyle name="Normal 4 4 3 5 5 10" xfId="7372"/>
    <cellStyle name="Normal 4 4 3 5 5 11" xfId="7373"/>
    <cellStyle name="Normal 4 4 3 5 5 12" xfId="7374"/>
    <cellStyle name="Normal 4 4 3 5 5 13" xfId="7375"/>
    <cellStyle name="Normal 4 4 3 5 5 14" xfId="7376"/>
    <cellStyle name="Normal 4 4 3 5 5 15" xfId="3858"/>
    <cellStyle name="Normal 4 4 3 5 5 2" xfId="7371"/>
    <cellStyle name="Normal 4 4 3 5 5 3" xfId="7378"/>
    <cellStyle name="Normal 4 4 3 5 5 4" xfId="7379"/>
    <cellStyle name="Normal 4 4 3 5 5 5" xfId="7380"/>
    <cellStyle name="Normal 4 4 3 5 5 6" xfId="7381"/>
    <cellStyle name="Normal 4 4 3 5 5 7" xfId="7382"/>
    <cellStyle name="Normal 4 4 3 5 5 8" xfId="7383"/>
    <cellStyle name="Normal 4 4 3 5 5 9" xfId="7384"/>
    <cellStyle name="Normal 4 4 3 5 6" xfId="580"/>
    <cellStyle name="Normal 4 4 3 5 6 10" xfId="7386"/>
    <cellStyle name="Normal 4 4 3 5 6 11" xfId="7387"/>
    <cellStyle name="Normal 4 4 3 5 6 12" xfId="7388"/>
    <cellStyle name="Normal 4 4 3 5 6 13" xfId="7389"/>
    <cellStyle name="Normal 4 4 3 5 6 14" xfId="7390"/>
    <cellStyle name="Normal 4 4 3 5 6 15" xfId="3843"/>
    <cellStyle name="Normal 4 4 3 5 6 2" xfId="7385"/>
    <cellStyle name="Normal 4 4 3 5 6 3" xfId="7392"/>
    <cellStyle name="Normal 4 4 3 5 6 4" xfId="7393"/>
    <cellStyle name="Normal 4 4 3 5 6 5" xfId="7394"/>
    <cellStyle name="Normal 4 4 3 5 6 6" xfId="7395"/>
    <cellStyle name="Normal 4 4 3 5 6 7" xfId="7396"/>
    <cellStyle name="Normal 4 4 3 5 6 8" xfId="7397"/>
    <cellStyle name="Normal 4 4 3 5 6 9" xfId="7398"/>
    <cellStyle name="Normal 4 4 3 5 7" xfId="581"/>
    <cellStyle name="Normal 4 4 3 5 7 10" xfId="7400"/>
    <cellStyle name="Normal 4 4 3 5 7 11" xfId="7401"/>
    <cellStyle name="Normal 4 4 3 5 7 12" xfId="7402"/>
    <cellStyle name="Normal 4 4 3 5 7 13" xfId="7403"/>
    <cellStyle name="Normal 4 4 3 5 7 14" xfId="7404"/>
    <cellStyle name="Normal 4 4 3 5 7 15" xfId="3832"/>
    <cellStyle name="Normal 4 4 3 5 7 2" xfId="7399"/>
    <cellStyle name="Normal 4 4 3 5 7 3" xfId="7406"/>
    <cellStyle name="Normal 4 4 3 5 7 4" xfId="7407"/>
    <cellStyle name="Normal 4 4 3 5 7 5" xfId="7408"/>
    <cellStyle name="Normal 4 4 3 5 7 6" xfId="7409"/>
    <cellStyle name="Normal 4 4 3 5 7 7" xfId="7410"/>
    <cellStyle name="Normal 4 4 3 5 7 8" xfId="7411"/>
    <cellStyle name="Normal 4 4 3 5 7 9" xfId="7412"/>
    <cellStyle name="Normal 4 4 3 5 8" xfId="582"/>
    <cellStyle name="Normal 4 4 3 5 8 10" xfId="7414"/>
    <cellStyle name="Normal 4 4 3 5 8 11" xfId="7415"/>
    <cellStyle name="Normal 4 4 3 5 8 12" xfId="7416"/>
    <cellStyle name="Normal 4 4 3 5 8 13" xfId="7417"/>
    <cellStyle name="Normal 4 4 3 5 8 14" xfId="7418"/>
    <cellStyle name="Normal 4 4 3 5 8 15" xfId="3818"/>
    <cellStyle name="Normal 4 4 3 5 8 2" xfId="7413"/>
    <cellStyle name="Normal 4 4 3 5 8 3" xfId="7420"/>
    <cellStyle name="Normal 4 4 3 5 8 4" xfId="7421"/>
    <cellStyle name="Normal 4 4 3 5 8 5" xfId="7422"/>
    <cellStyle name="Normal 4 4 3 5 8 6" xfId="7423"/>
    <cellStyle name="Normal 4 4 3 5 8 7" xfId="7424"/>
    <cellStyle name="Normal 4 4 3 5 8 8" xfId="7425"/>
    <cellStyle name="Normal 4 4 3 5 8 9" xfId="7426"/>
    <cellStyle name="Normal 4 4 3 5 9" xfId="583"/>
    <cellStyle name="Normal 4 4 3 5 9 2" xfId="7427"/>
    <cellStyle name="Normal 4 4 3 5 9 3" xfId="3804"/>
    <cellStyle name="Normal 4 4 3 6" xfId="584"/>
    <cellStyle name="Normal 4 4 3 6 10" xfId="585"/>
    <cellStyle name="Normal 4 4 3 6 10 2" xfId="7429"/>
    <cellStyle name="Normal 4 4 3 6 10 3" xfId="3776"/>
    <cellStyle name="Normal 4 4 3 6 11" xfId="7428"/>
    <cellStyle name="Normal 4 4 3 6 12" xfId="7431"/>
    <cellStyle name="Normal 4 4 3 6 13" xfId="7432"/>
    <cellStyle name="Normal 4 4 3 6 14" xfId="7433"/>
    <cellStyle name="Normal 4 4 3 6 15" xfId="7434"/>
    <cellStyle name="Normal 4 4 3 6 16" xfId="7435"/>
    <cellStyle name="Normal 4 4 3 6 17" xfId="7436"/>
    <cellStyle name="Normal 4 4 3 6 18" xfId="7437"/>
    <cellStyle name="Normal 4 4 3 6 19" xfId="7438"/>
    <cellStyle name="Normal 4 4 3 6 2" xfId="586"/>
    <cellStyle name="Normal 4 4 3 6 2 10" xfId="7440"/>
    <cellStyle name="Normal 4 4 3 6 2 11" xfId="7441"/>
    <cellStyle name="Normal 4 4 3 6 2 12" xfId="7442"/>
    <cellStyle name="Normal 4 4 3 6 2 13" xfId="7443"/>
    <cellStyle name="Normal 4 4 3 6 2 14" xfId="7444"/>
    <cellStyle name="Normal 4 4 3 6 2 15" xfId="3762"/>
    <cellStyle name="Normal 4 4 3 6 2 2" xfId="7439"/>
    <cellStyle name="Normal 4 4 3 6 2 3" xfId="7446"/>
    <cellStyle name="Normal 4 4 3 6 2 4" xfId="7447"/>
    <cellStyle name="Normal 4 4 3 6 2 5" xfId="7448"/>
    <cellStyle name="Normal 4 4 3 6 2 6" xfId="7449"/>
    <cellStyle name="Normal 4 4 3 6 2 7" xfId="7450"/>
    <cellStyle name="Normal 4 4 3 6 2 8" xfId="7451"/>
    <cellStyle name="Normal 4 4 3 6 2 9" xfId="7452"/>
    <cellStyle name="Normal 4 4 3 6 20" xfId="7453"/>
    <cellStyle name="Normal 4 4 3 6 21" xfId="7454"/>
    <cellStyle name="Normal 4 4 3 6 22" xfId="7455"/>
    <cellStyle name="Normal 4 4 3 6 23" xfId="3790"/>
    <cellStyle name="Normal 4 4 3 6 3" xfId="587"/>
    <cellStyle name="Normal 4 4 3 6 3 10" xfId="7457"/>
    <cellStyle name="Normal 4 4 3 6 3 11" xfId="7458"/>
    <cellStyle name="Normal 4 4 3 6 3 12" xfId="7459"/>
    <cellStyle name="Normal 4 4 3 6 3 13" xfId="7460"/>
    <cellStyle name="Normal 4 4 3 6 3 14" xfId="7461"/>
    <cellStyle name="Normal 4 4 3 6 3 15" xfId="3745"/>
    <cellStyle name="Normal 4 4 3 6 3 2" xfId="7456"/>
    <cellStyle name="Normal 4 4 3 6 3 3" xfId="7463"/>
    <cellStyle name="Normal 4 4 3 6 3 4" xfId="7464"/>
    <cellStyle name="Normal 4 4 3 6 3 5" xfId="7465"/>
    <cellStyle name="Normal 4 4 3 6 3 6" xfId="7466"/>
    <cellStyle name="Normal 4 4 3 6 3 7" xfId="7467"/>
    <cellStyle name="Normal 4 4 3 6 3 8" xfId="7468"/>
    <cellStyle name="Normal 4 4 3 6 3 9" xfId="7469"/>
    <cellStyle name="Normal 4 4 3 6 4" xfId="588"/>
    <cellStyle name="Normal 4 4 3 6 4 10" xfId="7471"/>
    <cellStyle name="Normal 4 4 3 6 4 11" xfId="7472"/>
    <cellStyle name="Normal 4 4 3 6 4 12" xfId="7473"/>
    <cellStyle name="Normal 4 4 3 6 4 13" xfId="7474"/>
    <cellStyle name="Normal 4 4 3 6 4 14" xfId="7475"/>
    <cellStyle name="Normal 4 4 3 6 4 15" xfId="3730"/>
    <cellStyle name="Normal 4 4 3 6 4 2" xfId="7470"/>
    <cellStyle name="Normal 4 4 3 6 4 3" xfId="7477"/>
    <cellStyle name="Normal 4 4 3 6 4 4" xfId="7478"/>
    <cellStyle name="Normal 4 4 3 6 4 5" xfId="7479"/>
    <cellStyle name="Normal 4 4 3 6 4 6" xfId="7480"/>
    <cellStyle name="Normal 4 4 3 6 4 7" xfId="7481"/>
    <cellStyle name="Normal 4 4 3 6 4 8" xfId="7482"/>
    <cellStyle name="Normal 4 4 3 6 4 9" xfId="7483"/>
    <cellStyle name="Normal 4 4 3 6 5" xfId="589"/>
    <cellStyle name="Normal 4 4 3 6 5 10" xfId="7485"/>
    <cellStyle name="Normal 4 4 3 6 5 11" xfId="7486"/>
    <cellStyle name="Normal 4 4 3 6 5 12" xfId="7487"/>
    <cellStyle name="Normal 4 4 3 6 5 13" xfId="7488"/>
    <cellStyle name="Normal 4 4 3 6 5 14" xfId="7489"/>
    <cellStyle name="Normal 4 4 3 6 5 15" xfId="3719"/>
    <cellStyle name="Normal 4 4 3 6 5 2" xfId="7484"/>
    <cellStyle name="Normal 4 4 3 6 5 3" xfId="7491"/>
    <cellStyle name="Normal 4 4 3 6 5 4" xfId="7492"/>
    <cellStyle name="Normal 4 4 3 6 5 5" xfId="7493"/>
    <cellStyle name="Normal 4 4 3 6 5 6" xfId="7494"/>
    <cellStyle name="Normal 4 4 3 6 5 7" xfId="7495"/>
    <cellStyle name="Normal 4 4 3 6 5 8" xfId="7496"/>
    <cellStyle name="Normal 4 4 3 6 5 9" xfId="7497"/>
    <cellStyle name="Normal 4 4 3 6 6" xfId="590"/>
    <cellStyle name="Normal 4 4 3 6 6 10" xfId="7499"/>
    <cellStyle name="Normal 4 4 3 6 6 11" xfId="7500"/>
    <cellStyle name="Normal 4 4 3 6 6 12" xfId="7501"/>
    <cellStyle name="Normal 4 4 3 6 6 13" xfId="7502"/>
    <cellStyle name="Normal 4 4 3 6 6 14" xfId="7503"/>
    <cellStyle name="Normal 4 4 3 6 6 15" xfId="3705"/>
    <cellStyle name="Normal 4 4 3 6 6 2" xfId="7498"/>
    <cellStyle name="Normal 4 4 3 6 6 3" xfId="7505"/>
    <cellStyle name="Normal 4 4 3 6 6 4" xfId="7506"/>
    <cellStyle name="Normal 4 4 3 6 6 5" xfId="7507"/>
    <cellStyle name="Normal 4 4 3 6 6 6" xfId="7508"/>
    <cellStyle name="Normal 4 4 3 6 6 7" xfId="7509"/>
    <cellStyle name="Normal 4 4 3 6 6 8" xfId="7510"/>
    <cellStyle name="Normal 4 4 3 6 6 9" xfId="7511"/>
    <cellStyle name="Normal 4 4 3 6 7" xfId="591"/>
    <cellStyle name="Normal 4 4 3 6 7 10" xfId="7513"/>
    <cellStyle name="Normal 4 4 3 6 7 11" xfId="7514"/>
    <cellStyle name="Normal 4 4 3 6 7 12" xfId="7515"/>
    <cellStyle name="Normal 4 4 3 6 7 13" xfId="7516"/>
    <cellStyle name="Normal 4 4 3 6 7 14" xfId="7517"/>
    <cellStyle name="Normal 4 4 3 6 7 15" xfId="3691"/>
    <cellStyle name="Normal 4 4 3 6 7 2" xfId="7512"/>
    <cellStyle name="Normal 4 4 3 6 7 3" xfId="7519"/>
    <cellStyle name="Normal 4 4 3 6 7 4" xfId="7520"/>
    <cellStyle name="Normal 4 4 3 6 7 5" xfId="7521"/>
    <cellStyle name="Normal 4 4 3 6 7 6" xfId="7522"/>
    <cellStyle name="Normal 4 4 3 6 7 7" xfId="7523"/>
    <cellStyle name="Normal 4 4 3 6 7 8" xfId="7524"/>
    <cellStyle name="Normal 4 4 3 6 7 9" xfId="7525"/>
    <cellStyle name="Normal 4 4 3 6 8" xfId="592"/>
    <cellStyle name="Normal 4 4 3 6 8 10" xfId="7527"/>
    <cellStyle name="Normal 4 4 3 6 8 11" xfId="7528"/>
    <cellStyle name="Normal 4 4 3 6 8 12" xfId="7529"/>
    <cellStyle name="Normal 4 4 3 6 8 13" xfId="7530"/>
    <cellStyle name="Normal 4 4 3 6 8 14" xfId="7531"/>
    <cellStyle name="Normal 4 4 3 6 8 15" xfId="3677"/>
    <cellStyle name="Normal 4 4 3 6 8 2" xfId="7526"/>
    <cellStyle name="Normal 4 4 3 6 8 3" xfId="7533"/>
    <cellStyle name="Normal 4 4 3 6 8 4" xfId="7534"/>
    <cellStyle name="Normal 4 4 3 6 8 5" xfId="7535"/>
    <cellStyle name="Normal 4 4 3 6 8 6" xfId="7536"/>
    <cellStyle name="Normal 4 4 3 6 8 7" xfId="7537"/>
    <cellStyle name="Normal 4 4 3 6 8 8" xfId="7538"/>
    <cellStyle name="Normal 4 4 3 6 8 9" xfId="7539"/>
    <cellStyle name="Normal 4 4 3 6 9" xfId="593"/>
    <cellStyle name="Normal 4 4 3 6 9 2" xfId="7540"/>
    <cellStyle name="Normal 4 4 3 6 9 3" xfId="3663"/>
    <cellStyle name="Normal 4 4 3 7" xfId="594"/>
    <cellStyle name="Normal 4 4 3 7 10" xfId="7542"/>
    <cellStyle name="Normal 4 4 3 7 11" xfId="7543"/>
    <cellStyle name="Normal 4 4 3 7 12" xfId="7544"/>
    <cellStyle name="Normal 4 4 3 7 13" xfId="7545"/>
    <cellStyle name="Normal 4 4 3 7 14" xfId="7546"/>
    <cellStyle name="Normal 4 4 3 7 15" xfId="3649"/>
    <cellStyle name="Normal 4 4 3 7 2" xfId="7541"/>
    <cellStyle name="Normal 4 4 3 7 3" xfId="7548"/>
    <cellStyle name="Normal 4 4 3 7 4" xfId="7549"/>
    <cellStyle name="Normal 4 4 3 7 5" xfId="7550"/>
    <cellStyle name="Normal 4 4 3 7 6" xfId="7551"/>
    <cellStyle name="Normal 4 4 3 7 7" xfId="7552"/>
    <cellStyle name="Normal 4 4 3 7 8" xfId="7553"/>
    <cellStyle name="Normal 4 4 3 7 9" xfId="7554"/>
    <cellStyle name="Normal 4 4 3 8" xfId="595"/>
    <cellStyle name="Normal 4 4 3 8 10" xfId="7556"/>
    <cellStyle name="Normal 4 4 3 8 11" xfId="7557"/>
    <cellStyle name="Normal 4 4 3 8 12" xfId="7558"/>
    <cellStyle name="Normal 4 4 3 8 13" xfId="7559"/>
    <cellStyle name="Normal 4 4 3 8 14" xfId="7560"/>
    <cellStyle name="Normal 4 4 3 8 15" xfId="3632"/>
    <cellStyle name="Normal 4 4 3 8 2" xfId="7555"/>
    <cellStyle name="Normal 4 4 3 8 3" xfId="7562"/>
    <cellStyle name="Normal 4 4 3 8 4" xfId="7563"/>
    <cellStyle name="Normal 4 4 3 8 5" xfId="7564"/>
    <cellStyle name="Normal 4 4 3 8 6" xfId="7565"/>
    <cellStyle name="Normal 4 4 3 8 7" xfId="7566"/>
    <cellStyle name="Normal 4 4 3 8 8" xfId="7567"/>
    <cellStyle name="Normal 4 4 3 8 9" xfId="7568"/>
    <cellStyle name="Normal 4 4 3 9" xfId="596"/>
    <cellStyle name="Normal 4 4 3 9 10" xfId="7570"/>
    <cellStyle name="Normal 4 4 3 9 11" xfId="7571"/>
    <cellStyle name="Normal 4 4 3 9 12" xfId="7572"/>
    <cellStyle name="Normal 4 4 3 9 13" xfId="7573"/>
    <cellStyle name="Normal 4 4 3 9 14" xfId="7574"/>
    <cellStyle name="Normal 4 4 3 9 15" xfId="3617"/>
    <cellStyle name="Normal 4 4 3 9 2" xfId="7569"/>
    <cellStyle name="Normal 4 4 3 9 3" xfId="7576"/>
    <cellStyle name="Normal 4 4 3 9 4" xfId="7577"/>
    <cellStyle name="Normal 4 4 3 9 5" xfId="7578"/>
    <cellStyle name="Normal 4 4 3 9 6" xfId="7579"/>
    <cellStyle name="Normal 4 4 3 9 7" xfId="7580"/>
    <cellStyle name="Normal 4 4 3 9 8" xfId="7581"/>
    <cellStyle name="Normal 4 4 3 9 9" xfId="7582"/>
    <cellStyle name="Normal 4 4 30" xfId="5425"/>
    <cellStyle name="Normal 4 4 31" xfId="12081"/>
    <cellStyle name="Normal 4 4 32" xfId="33550"/>
    <cellStyle name="Normal 4 4 33" xfId="44477"/>
    <cellStyle name="Normal 4 4 4" xfId="597"/>
    <cellStyle name="Normal 4 4 4 10" xfId="598"/>
    <cellStyle name="Normal 4 4 4 10 2" xfId="7584"/>
    <cellStyle name="Normal 4 4 4 10 3" xfId="3592"/>
    <cellStyle name="Normal 4 4 4 11" xfId="7583"/>
    <cellStyle name="Normal 4 4 4 12" xfId="7586"/>
    <cellStyle name="Normal 4 4 4 13" xfId="7587"/>
    <cellStyle name="Normal 4 4 4 14" xfId="7588"/>
    <cellStyle name="Normal 4 4 4 15" xfId="7589"/>
    <cellStyle name="Normal 4 4 4 16" xfId="7590"/>
    <cellStyle name="Normal 4 4 4 17" xfId="7591"/>
    <cellStyle name="Normal 4 4 4 18" xfId="7592"/>
    <cellStyle name="Normal 4 4 4 19" xfId="7593"/>
    <cellStyle name="Normal 4 4 4 2" xfId="599"/>
    <cellStyle name="Normal 4 4 4 2 10" xfId="7595"/>
    <cellStyle name="Normal 4 4 4 2 11" xfId="7596"/>
    <cellStyle name="Normal 4 4 4 2 12" xfId="7597"/>
    <cellStyle name="Normal 4 4 4 2 13" xfId="7598"/>
    <cellStyle name="Normal 4 4 4 2 14" xfId="7599"/>
    <cellStyle name="Normal 4 4 4 2 15" xfId="3578"/>
    <cellStyle name="Normal 4 4 4 2 2" xfId="7594"/>
    <cellStyle name="Normal 4 4 4 2 3" xfId="7601"/>
    <cellStyle name="Normal 4 4 4 2 4" xfId="7602"/>
    <cellStyle name="Normal 4 4 4 2 5" xfId="7603"/>
    <cellStyle name="Normal 4 4 4 2 6" xfId="7604"/>
    <cellStyle name="Normal 4 4 4 2 7" xfId="7605"/>
    <cellStyle name="Normal 4 4 4 2 8" xfId="7606"/>
    <cellStyle name="Normal 4 4 4 2 9" xfId="7607"/>
    <cellStyle name="Normal 4 4 4 20" xfId="7608"/>
    <cellStyle name="Normal 4 4 4 21" xfId="7609"/>
    <cellStyle name="Normal 4 4 4 22" xfId="7610"/>
    <cellStyle name="Normal 4 4 4 23" xfId="3606"/>
    <cellStyle name="Normal 4 4 4 24" xfId="33553"/>
    <cellStyle name="Normal 4 4 4 3" xfId="600"/>
    <cellStyle name="Normal 4 4 4 3 10" xfId="7612"/>
    <cellStyle name="Normal 4 4 4 3 11" xfId="7613"/>
    <cellStyle name="Normal 4 4 4 3 12" xfId="7614"/>
    <cellStyle name="Normal 4 4 4 3 13" xfId="7615"/>
    <cellStyle name="Normal 4 4 4 3 14" xfId="7616"/>
    <cellStyle name="Normal 4 4 4 3 15" xfId="3564"/>
    <cellStyle name="Normal 4 4 4 3 2" xfId="7611"/>
    <cellStyle name="Normal 4 4 4 3 3" xfId="7618"/>
    <cellStyle name="Normal 4 4 4 3 4" xfId="7619"/>
    <cellStyle name="Normal 4 4 4 3 5" xfId="7620"/>
    <cellStyle name="Normal 4 4 4 3 6" xfId="7621"/>
    <cellStyle name="Normal 4 4 4 3 7" xfId="7622"/>
    <cellStyle name="Normal 4 4 4 3 8" xfId="7623"/>
    <cellStyle name="Normal 4 4 4 3 9" xfId="7624"/>
    <cellStyle name="Normal 4 4 4 4" xfId="601"/>
    <cellStyle name="Normal 4 4 4 4 10" xfId="7626"/>
    <cellStyle name="Normal 4 4 4 4 11" xfId="7627"/>
    <cellStyle name="Normal 4 4 4 4 12" xfId="7628"/>
    <cellStyle name="Normal 4 4 4 4 13" xfId="7629"/>
    <cellStyle name="Normal 4 4 4 4 14" xfId="7630"/>
    <cellStyle name="Normal 4 4 4 4 15" xfId="3550"/>
    <cellStyle name="Normal 4 4 4 4 2" xfId="7625"/>
    <cellStyle name="Normal 4 4 4 4 3" xfId="7632"/>
    <cellStyle name="Normal 4 4 4 4 4" xfId="7633"/>
    <cellStyle name="Normal 4 4 4 4 5" xfId="7634"/>
    <cellStyle name="Normal 4 4 4 4 6" xfId="7635"/>
    <cellStyle name="Normal 4 4 4 4 7" xfId="7636"/>
    <cellStyle name="Normal 4 4 4 4 8" xfId="7637"/>
    <cellStyle name="Normal 4 4 4 4 9" xfId="7638"/>
    <cellStyle name="Normal 4 4 4 5" xfId="602"/>
    <cellStyle name="Normal 4 4 4 5 10" xfId="7640"/>
    <cellStyle name="Normal 4 4 4 5 11" xfId="7641"/>
    <cellStyle name="Normal 4 4 4 5 12" xfId="7642"/>
    <cellStyle name="Normal 4 4 4 5 13" xfId="7643"/>
    <cellStyle name="Normal 4 4 4 5 14" xfId="7644"/>
    <cellStyle name="Normal 4 4 4 5 15" xfId="3536"/>
    <cellStyle name="Normal 4 4 4 5 2" xfId="7639"/>
    <cellStyle name="Normal 4 4 4 5 3" xfId="7646"/>
    <cellStyle name="Normal 4 4 4 5 4" xfId="7647"/>
    <cellStyle name="Normal 4 4 4 5 5" xfId="7648"/>
    <cellStyle name="Normal 4 4 4 5 6" xfId="7649"/>
    <cellStyle name="Normal 4 4 4 5 7" xfId="7650"/>
    <cellStyle name="Normal 4 4 4 5 8" xfId="7651"/>
    <cellStyle name="Normal 4 4 4 5 9" xfId="7652"/>
    <cellStyle name="Normal 4 4 4 6" xfId="603"/>
    <cellStyle name="Normal 4 4 4 6 10" xfId="7654"/>
    <cellStyle name="Normal 4 4 4 6 11" xfId="7655"/>
    <cellStyle name="Normal 4 4 4 6 12" xfId="7656"/>
    <cellStyle name="Normal 4 4 4 6 13" xfId="7657"/>
    <cellStyle name="Normal 4 4 4 6 14" xfId="7658"/>
    <cellStyle name="Normal 4 4 4 6 15" xfId="3519"/>
    <cellStyle name="Normal 4 4 4 6 2" xfId="7653"/>
    <cellStyle name="Normal 4 4 4 6 3" xfId="7660"/>
    <cellStyle name="Normal 4 4 4 6 4" xfId="7661"/>
    <cellStyle name="Normal 4 4 4 6 5" xfId="7662"/>
    <cellStyle name="Normal 4 4 4 6 6" xfId="7663"/>
    <cellStyle name="Normal 4 4 4 6 7" xfId="7664"/>
    <cellStyle name="Normal 4 4 4 6 8" xfId="7665"/>
    <cellStyle name="Normal 4 4 4 6 9" xfId="7666"/>
    <cellStyle name="Normal 4 4 4 7" xfId="604"/>
    <cellStyle name="Normal 4 4 4 7 10" xfId="7668"/>
    <cellStyle name="Normal 4 4 4 7 11" xfId="7669"/>
    <cellStyle name="Normal 4 4 4 7 12" xfId="7670"/>
    <cellStyle name="Normal 4 4 4 7 13" xfId="7671"/>
    <cellStyle name="Normal 4 4 4 7 14" xfId="7672"/>
    <cellStyle name="Normal 4 4 4 7 15" xfId="3504"/>
    <cellStyle name="Normal 4 4 4 7 2" xfId="7667"/>
    <cellStyle name="Normal 4 4 4 7 3" xfId="7674"/>
    <cellStyle name="Normal 4 4 4 7 4" xfId="7675"/>
    <cellStyle name="Normal 4 4 4 7 5" xfId="7676"/>
    <cellStyle name="Normal 4 4 4 7 6" xfId="7677"/>
    <cellStyle name="Normal 4 4 4 7 7" xfId="7678"/>
    <cellStyle name="Normal 4 4 4 7 8" xfId="7679"/>
    <cellStyle name="Normal 4 4 4 7 9" xfId="7680"/>
    <cellStyle name="Normal 4 4 4 8" xfId="605"/>
    <cellStyle name="Normal 4 4 4 8 10" xfId="7682"/>
    <cellStyle name="Normal 4 4 4 8 11" xfId="7683"/>
    <cellStyle name="Normal 4 4 4 8 12" xfId="7684"/>
    <cellStyle name="Normal 4 4 4 8 13" xfId="7685"/>
    <cellStyle name="Normal 4 4 4 8 14" xfId="7686"/>
    <cellStyle name="Normal 4 4 4 8 15" xfId="3494"/>
    <cellStyle name="Normal 4 4 4 8 2" xfId="7681"/>
    <cellStyle name="Normal 4 4 4 8 3" xfId="7688"/>
    <cellStyle name="Normal 4 4 4 8 4" xfId="7689"/>
    <cellStyle name="Normal 4 4 4 8 5" xfId="7690"/>
    <cellStyle name="Normal 4 4 4 8 6" xfId="7691"/>
    <cellStyle name="Normal 4 4 4 8 7" xfId="7692"/>
    <cellStyle name="Normal 4 4 4 8 8" xfId="7693"/>
    <cellStyle name="Normal 4 4 4 8 9" xfId="7694"/>
    <cellStyle name="Normal 4 4 4 9" xfId="606"/>
    <cellStyle name="Normal 4 4 4 9 2" xfId="7695"/>
    <cellStyle name="Normal 4 4 4 9 3" xfId="3480"/>
    <cellStyle name="Normal 4 4 5" xfId="607"/>
    <cellStyle name="Normal 4 4 5 10" xfId="608"/>
    <cellStyle name="Normal 4 4 5 10 2" xfId="7697"/>
    <cellStyle name="Normal 4 4 5 10 3" xfId="3451"/>
    <cellStyle name="Normal 4 4 5 11" xfId="7696"/>
    <cellStyle name="Normal 4 4 5 12" xfId="7699"/>
    <cellStyle name="Normal 4 4 5 13" xfId="7700"/>
    <cellStyle name="Normal 4 4 5 14" xfId="7701"/>
    <cellStyle name="Normal 4 4 5 15" xfId="7702"/>
    <cellStyle name="Normal 4 4 5 16" xfId="7703"/>
    <cellStyle name="Normal 4 4 5 17" xfId="7704"/>
    <cellStyle name="Normal 4 4 5 18" xfId="7705"/>
    <cellStyle name="Normal 4 4 5 19" xfId="7706"/>
    <cellStyle name="Normal 4 4 5 2" xfId="609"/>
    <cellStyle name="Normal 4 4 5 2 10" xfId="7708"/>
    <cellStyle name="Normal 4 4 5 2 11" xfId="7709"/>
    <cellStyle name="Normal 4 4 5 2 12" xfId="7710"/>
    <cellStyle name="Normal 4 4 5 2 13" xfId="7711"/>
    <cellStyle name="Normal 4 4 5 2 14" xfId="7712"/>
    <cellStyle name="Normal 4 4 5 2 15" xfId="3437"/>
    <cellStyle name="Normal 4 4 5 2 2" xfId="7707"/>
    <cellStyle name="Normal 4 4 5 2 3" xfId="7714"/>
    <cellStyle name="Normal 4 4 5 2 4" xfId="7715"/>
    <cellStyle name="Normal 4 4 5 2 5" xfId="7716"/>
    <cellStyle name="Normal 4 4 5 2 6" xfId="7717"/>
    <cellStyle name="Normal 4 4 5 2 7" xfId="7718"/>
    <cellStyle name="Normal 4 4 5 2 8" xfId="7719"/>
    <cellStyle name="Normal 4 4 5 2 9" xfId="7720"/>
    <cellStyle name="Normal 4 4 5 20" xfId="7721"/>
    <cellStyle name="Normal 4 4 5 21" xfId="7722"/>
    <cellStyle name="Normal 4 4 5 22" xfId="7723"/>
    <cellStyle name="Normal 4 4 5 23" xfId="3466"/>
    <cellStyle name="Normal 4 4 5 24" xfId="33554"/>
    <cellStyle name="Normal 4 4 5 3" xfId="610"/>
    <cellStyle name="Normal 4 4 5 3 10" xfId="7725"/>
    <cellStyle name="Normal 4 4 5 3 11" xfId="7726"/>
    <cellStyle name="Normal 4 4 5 3 12" xfId="7727"/>
    <cellStyle name="Normal 4 4 5 3 13" xfId="7728"/>
    <cellStyle name="Normal 4 4 5 3 14" xfId="7729"/>
    <cellStyle name="Normal 4 4 5 3 15" xfId="3423"/>
    <cellStyle name="Normal 4 4 5 3 2" xfId="7724"/>
    <cellStyle name="Normal 4 4 5 3 3" xfId="7731"/>
    <cellStyle name="Normal 4 4 5 3 4" xfId="7732"/>
    <cellStyle name="Normal 4 4 5 3 5" xfId="7733"/>
    <cellStyle name="Normal 4 4 5 3 6" xfId="7734"/>
    <cellStyle name="Normal 4 4 5 3 7" xfId="7735"/>
    <cellStyle name="Normal 4 4 5 3 8" xfId="7736"/>
    <cellStyle name="Normal 4 4 5 3 9" xfId="7737"/>
    <cellStyle name="Normal 4 4 5 4" xfId="611"/>
    <cellStyle name="Normal 4 4 5 4 10" xfId="7739"/>
    <cellStyle name="Normal 4 4 5 4 11" xfId="7740"/>
    <cellStyle name="Normal 4 4 5 4 12" xfId="7741"/>
    <cellStyle name="Normal 4 4 5 4 13" xfId="7742"/>
    <cellStyle name="Normal 4 4 5 4 14" xfId="7743"/>
    <cellStyle name="Normal 4 4 5 4 15" xfId="3409"/>
    <cellStyle name="Normal 4 4 5 4 2" xfId="7738"/>
    <cellStyle name="Normal 4 4 5 4 3" xfId="7745"/>
    <cellStyle name="Normal 4 4 5 4 4" xfId="7746"/>
    <cellStyle name="Normal 4 4 5 4 5" xfId="7747"/>
    <cellStyle name="Normal 4 4 5 4 6" xfId="7748"/>
    <cellStyle name="Normal 4 4 5 4 7" xfId="7749"/>
    <cellStyle name="Normal 4 4 5 4 8" xfId="7750"/>
    <cellStyle name="Normal 4 4 5 4 9" xfId="7751"/>
    <cellStyle name="Normal 4 4 5 5" xfId="612"/>
    <cellStyle name="Normal 4 4 5 5 10" xfId="7753"/>
    <cellStyle name="Normal 4 4 5 5 11" xfId="7754"/>
    <cellStyle name="Normal 4 4 5 5 12" xfId="7755"/>
    <cellStyle name="Normal 4 4 5 5 13" xfId="7756"/>
    <cellStyle name="Normal 4 4 5 5 14" xfId="7757"/>
    <cellStyle name="Normal 4 4 5 5 15" xfId="3395"/>
    <cellStyle name="Normal 4 4 5 5 2" xfId="7752"/>
    <cellStyle name="Normal 4 4 5 5 3" xfId="7759"/>
    <cellStyle name="Normal 4 4 5 5 4" xfId="7760"/>
    <cellStyle name="Normal 4 4 5 5 5" xfId="7761"/>
    <cellStyle name="Normal 4 4 5 5 6" xfId="7762"/>
    <cellStyle name="Normal 4 4 5 5 7" xfId="7763"/>
    <cellStyle name="Normal 4 4 5 5 8" xfId="7764"/>
    <cellStyle name="Normal 4 4 5 5 9" xfId="7765"/>
    <cellStyle name="Normal 4 4 5 6" xfId="613"/>
    <cellStyle name="Normal 4 4 5 6 10" xfId="7767"/>
    <cellStyle name="Normal 4 4 5 6 11" xfId="7768"/>
    <cellStyle name="Normal 4 4 5 6 12" xfId="7769"/>
    <cellStyle name="Normal 4 4 5 6 13" xfId="7770"/>
    <cellStyle name="Normal 4 4 5 6 14" xfId="7771"/>
    <cellStyle name="Normal 4 4 5 6 15" xfId="3381"/>
    <cellStyle name="Normal 4 4 5 6 2" xfId="7766"/>
    <cellStyle name="Normal 4 4 5 6 3" xfId="7773"/>
    <cellStyle name="Normal 4 4 5 6 4" xfId="7774"/>
    <cellStyle name="Normal 4 4 5 6 5" xfId="7775"/>
    <cellStyle name="Normal 4 4 5 6 6" xfId="7776"/>
    <cellStyle name="Normal 4 4 5 6 7" xfId="7777"/>
    <cellStyle name="Normal 4 4 5 6 8" xfId="7778"/>
    <cellStyle name="Normal 4 4 5 6 9" xfId="7779"/>
    <cellStyle name="Normal 4 4 5 7" xfId="614"/>
    <cellStyle name="Normal 4 4 5 7 10" xfId="7781"/>
    <cellStyle name="Normal 4 4 5 7 11" xfId="7782"/>
    <cellStyle name="Normal 4 4 5 7 12" xfId="7783"/>
    <cellStyle name="Normal 4 4 5 7 13" xfId="7784"/>
    <cellStyle name="Normal 4 4 5 7 14" xfId="7785"/>
    <cellStyle name="Normal 4 4 5 7 15" xfId="3364"/>
    <cellStyle name="Normal 4 4 5 7 2" xfId="7780"/>
    <cellStyle name="Normal 4 4 5 7 3" xfId="7787"/>
    <cellStyle name="Normal 4 4 5 7 4" xfId="7788"/>
    <cellStyle name="Normal 4 4 5 7 5" xfId="7789"/>
    <cellStyle name="Normal 4 4 5 7 6" xfId="7790"/>
    <cellStyle name="Normal 4 4 5 7 7" xfId="7791"/>
    <cellStyle name="Normal 4 4 5 7 8" xfId="7792"/>
    <cellStyle name="Normal 4 4 5 7 9" xfId="7793"/>
    <cellStyle name="Normal 4 4 5 8" xfId="615"/>
    <cellStyle name="Normal 4 4 5 8 10" xfId="7795"/>
    <cellStyle name="Normal 4 4 5 8 11" xfId="7796"/>
    <cellStyle name="Normal 4 4 5 8 12" xfId="7797"/>
    <cellStyle name="Normal 4 4 5 8 13" xfId="7798"/>
    <cellStyle name="Normal 4 4 5 8 14" xfId="7799"/>
    <cellStyle name="Normal 4 4 5 8 15" xfId="3349"/>
    <cellStyle name="Normal 4 4 5 8 2" xfId="7794"/>
    <cellStyle name="Normal 4 4 5 8 3" xfId="7801"/>
    <cellStyle name="Normal 4 4 5 8 4" xfId="7802"/>
    <cellStyle name="Normal 4 4 5 8 5" xfId="7803"/>
    <cellStyle name="Normal 4 4 5 8 6" xfId="7804"/>
    <cellStyle name="Normal 4 4 5 8 7" xfId="7805"/>
    <cellStyle name="Normal 4 4 5 8 8" xfId="7806"/>
    <cellStyle name="Normal 4 4 5 8 9" xfId="7807"/>
    <cellStyle name="Normal 4 4 5 9" xfId="616"/>
    <cellStyle name="Normal 4 4 5 9 2" xfId="7808"/>
    <cellStyle name="Normal 4 4 5 9 3" xfId="3338"/>
    <cellStyle name="Normal 4 4 6" xfId="617"/>
    <cellStyle name="Normal 4 4 6 10" xfId="618"/>
    <cellStyle name="Normal 4 4 6 10 2" xfId="7810"/>
    <cellStyle name="Normal 4 4 6 10 3" xfId="3310"/>
    <cellStyle name="Normal 4 4 6 11" xfId="7809"/>
    <cellStyle name="Normal 4 4 6 12" xfId="7812"/>
    <cellStyle name="Normal 4 4 6 13" xfId="7813"/>
    <cellStyle name="Normal 4 4 6 14" xfId="7814"/>
    <cellStyle name="Normal 4 4 6 15" xfId="7815"/>
    <cellStyle name="Normal 4 4 6 16" xfId="7816"/>
    <cellStyle name="Normal 4 4 6 17" xfId="7817"/>
    <cellStyle name="Normal 4 4 6 18" xfId="7818"/>
    <cellStyle name="Normal 4 4 6 19" xfId="7819"/>
    <cellStyle name="Normal 4 4 6 2" xfId="619"/>
    <cellStyle name="Normal 4 4 6 2 10" xfId="7821"/>
    <cellStyle name="Normal 4 4 6 2 11" xfId="7822"/>
    <cellStyle name="Normal 4 4 6 2 12" xfId="7823"/>
    <cellStyle name="Normal 4 4 6 2 13" xfId="7824"/>
    <cellStyle name="Normal 4 4 6 2 14" xfId="7825"/>
    <cellStyle name="Normal 4 4 6 2 15" xfId="3296"/>
    <cellStyle name="Normal 4 4 6 2 2" xfId="7820"/>
    <cellStyle name="Normal 4 4 6 2 3" xfId="7827"/>
    <cellStyle name="Normal 4 4 6 2 4" xfId="7828"/>
    <cellStyle name="Normal 4 4 6 2 5" xfId="7829"/>
    <cellStyle name="Normal 4 4 6 2 6" xfId="7830"/>
    <cellStyle name="Normal 4 4 6 2 7" xfId="7831"/>
    <cellStyle name="Normal 4 4 6 2 8" xfId="7832"/>
    <cellStyle name="Normal 4 4 6 2 9" xfId="7833"/>
    <cellStyle name="Normal 4 4 6 20" xfId="7834"/>
    <cellStyle name="Normal 4 4 6 21" xfId="7835"/>
    <cellStyle name="Normal 4 4 6 22" xfId="7836"/>
    <cellStyle name="Normal 4 4 6 23" xfId="3324"/>
    <cellStyle name="Normal 4 4 6 3" xfId="620"/>
    <cellStyle name="Normal 4 4 6 3 10" xfId="7838"/>
    <cellStyle name="Normal 4 4 6 3 11" xfId="7839"/>
    <cellStyle name="Normal 4 4 6 3 12" xfId="7840"/>
    <cellStyle name="Normal 4 4 6 3 13" xfId="7841"/>
    <cellStyle name="Normal 4 4 6 3 14" xfId="7842"/>
    <cellStyle name="Normal 4 4 6 3 15" xfId="3282"/>
    <cellStyle name="Normal 4 4 6 3 2" xfId="7837"/>
    <cellStyle name="Normal 4 4 6 3 3" xfId="7844"/>
    <cellStyle name="Normal 4 4 6 3 4" xfId="7845"/>
    <cellStyle name="Normal 4 4 6 3 5" xfId="7846"/>
    <cellStyle name="Normal 4 4 6 3 6" xfId="7847"/>
    <cellStyle name="Normal 4 4 6 3 7" xfId="7848"/>
    <cellStyle name="Normal 4 4 6 3 8" xfId="7849"/>
    <cellStyle name="Normal 4 4 6 3 9" xfId="7850"/>
    <cellStyle name="Normal 4 4 6 4" xfId="621"/>
    <cellStyle name="Normal 4 4 6 4 10" xfId="7852"/>
    <cellStyle name="Normal 4 4 6 4 11" xfId="7853"/>
    <cellStyle name="Normal 4 4 6 4 12" xfId="7854"/>
    <cellStyle name="Normal 4 4 6 4 13" xfId="7855"/>
    <cellStyle name="Normal 4 4 6 4 14" xfId="7856"/>
    <cellStyle name="Normal 4 4 6 4 15" xfId="3268"/>
    <cellStyle name="Normal 4 4 6 4 2" xfId="7851"/>
    <cellStyle name="Normal 4 4 6 4 3" xfId="7858"/>
    <cellStyle name="Normal 4 4 6 4 4" xfId="7859"/>
    <cellStyle name="Normal 4 4 6 4 5" xfId="7860"/>
    <cellStyle name="Normal 4 4 6 4 6" xfId="7861"/>
    <cellStyle name="Normal 4 4 6 4 7" xfId="7862"/>
    <cellStyle name="Normal 4 4 6 4 8" xfId="7863"/>
    <cellStyle name="Normal 4 4 6 4 9" xfId="7864"/>
    <cellStyle name="Normal 4 4 6 5" xfId="622"/>
    <cellStyle name="Normal 4 4 6 5 10" xfId="7866"/>
    <cellStyle name="Normal 4 4 6 5 11" xfId="7867"/>
    <cellStyle name="Normal 4 4 6 5 12" xfId="7868"/>
    <cellStyle name="Normal 4 4 6 5 13" xfId="7869"/>
    <cellStyle name="Normal 4 4 6 5 14" xfId="7870"/>
    <cellStyle name="Normal 4 4 6 5 15" xfId="3251"/>
    <cellStyle name="Normal 4 4 6 5 2" xfId="7865"/>
    <cellStyle name="Normal 4 4 6 5 3" xfId="7872"/>
    <cellStyle name="Normal 4 4 6 5 4" xfId="7873"/>
    <cellStyle name="Normal 4 4 6 5 5" xfId="7874"/>
    <cellStyle name="Normal 4 4 6 5 6" xfId="7875"/>
    <cellStyle name="Normal 4 4 6 5 7" xfId="7876"/>
    <cellStyle name="Normal 4 4 6 5 8" xfId="7877"/>
    <cellStyle name="Normal 4 4 6 5 9" xfId="7878"/>
    <cellStyle name="Normal 4 4 6 6" xfId="623"/>
    <cellStyle name="Normal 4 4 6 6 10" xfId="7880"/>
    <cellStyle name="Normal 4 4 6 6 11" xfId="7881"/>
    <cellStyle name="Normal 4 4 6 6 12" xfId="7882"/>
    <cellStyle name="Normal 4 4 6 6 13" xfId="7883"/>
    <cellStyle name="Normal 4 4 6 6 14" xfId="7884"/>
    <cellStyle name="Normal 4 4 6 6 15" xfId="3236"/>
    <cellStyle name="Normal 4 4 6 6 2" xfId="7879"/>
    <cellStyle name="Normal 4 4 6 6 3" xfId="7886"/>
    <cellStyle name="Normal 4 4 6 6 4" xfId="7887"/>
    <cellStyle name="Normal 4 4 6 6 5" xfId="7888"/>
    <cellStyle name="Normal 4 4 6 6 6" xfId="7889"/>
    <cellStyle name="Normal 4 4 6 6 7" xfId="7890"/>
    <cellStyle name="Normal 4 4 6 6 8" xfId="7891"/>
    <cellStyle name="Normal 4 4 6 6 9" xfId="7892"/>
    <cellStyle name="Normal 4 4 6 7" xfId="624"/>
    <cellStyle name="Normal 4 4 6 7 10" xfId="7894"/>
    <cellStyle name="Normal 4 4 6 7 11" xfId="7895"/>
    <cellStyle name="Normal 4 4 6 7 12" xfId="7896"/>
    <cellStyle name="Normal 4 4 6 7 13" xfId="7897"/>
    <cellStyle name="Normal 4 4 6 7 14" xfId="7898"/>
    <cellStyle name="Normal 4 4 6 7 15" xfId="3225"/>
    <cellStyle name="Normal 4 4 6 7 2" xfId="7893"/>
    <cellStyle name="Normal 4 4 6 7 3" xfId="7900"/>
    <cellStyle name="Normal 4 4 6 7 4" xfId="7901"/>
    <cellStyle name="Normal 4 4 6 7 5" xfId="7902"/>
    <cellStyle name="Normal 4 4 6 7 6" xfId="7903"/>
    <cellStyle name="Normal 4 4 6 7 7" xfId="7904"/>
    <cellStyle name="Normal 4 4 6 7 8" xfId="7905"/>
    <cellStyle name="Normal 4 4 6 7 9" xfId="7906"/>
    <cellStyle name="Normal 4 4 6 8" xfId="625"/>
    <cellStyle name="Normal 4 4 6 8 10" xfId="7908"/>
    <cellStyle name="Normal 4 4 6 8 11" xfId="7909"/>
    <cellStyle name="Normal 4 4 6 8 12" xfId="7910"/>
    <cellStyle name="Normal 4 4 6 8 13" xfId="7911"/>
    <cellStyle name="Normal 4 4 6 8 14" xfId="7912"/>
    <cellStyle name="Normal 4 4 6 8 15" xfId="3211"/>
    <cellStyle name="Normal 4 4 6 8 2" xfId="7907"/>
    <cellStyle name="Normal 4 4 6 8 3" xfId="7914"/>
    <cellStyle name="Normal 4 4 6 8 4" xfId="7915"/>
    <cellStyle name="Normal 4 4 6 8 5" xfId="7916"/>
    <cellStyle name="Normal 4 4 6 8 6" xfId="7917"/>
    <cellStyle name="Normal 4 4 6 8 7" xfId="7918"/>
    <cellStyle name="Normal 4 4 6 8 8" xfId="7919"/>
    <cellStyle name="Normal 4 4 6 8 9" xfId="7920"/>
    <cellStyle name="Normal 4 4 6 9" xfId="626"/>
    <cellStyle name="Normal 4 4 6 9 2" xfId="7921"/>
    <cellStyle name="Normal 4 4 6 9 3" xfId="3197"/>
    <cellStyle name="Normal 4 4 7" xfId="627"/>
    <cellStyle name="Normal 4 4 7 10" xfId="628"/>
    <cellStyle name="Normal 4 4 7 10 2" xfId="7923"/>
    <cellStyle name="Normal 4 4 7 10 3" xfId="3169"/>
    <cellStyle name="Normal 4 4 7 11" xfId="7922"/>
    <cellStyle name="Normal 4 4 7 12" xfId="7925"/>
    <cellStyle name="Normal 4 4 7 13" xfId="7926"/>
    <cellStyle name="Normal 4 4 7 14" xfId="7927"/>
    <cellStyle name="Normal 4 4 7 15" xfId="7928"/>
    <cellStyle name="Normal 4 4 7 16" xfId="7929"/>
    <cellStyle name="Normal 4 4 7 17" xfId="7930"/>
    <cellStyle name="Normal 4 4 7 18" xfId="7931"/>
    <cellStyle name="Normal 4 4 7 19" xfId="7932"/>
    <cellStyle name="Normal 4 4 7 2" xfId="629"/>
    <cellStyle name="Normal 4 4 7 2 10" xfId="7934"/>
    <cellStyle name="Normal 4 4 7 2 11" xfId="7935"/>
    <cellStyle name="Normal 4 4 7 2 12" xfId="7936"/>
    <cellStyle name="Normal 4 4 7 2 13" xfId="7937"/>
    <cellStyle name="Normal 4 4 7 2 14" xfId="7938"/>
    <cellStyle name="Normal 4 4 7 2 15" xfId="3155"/>
    <cellStyle name="Normal 4 4 7 2 2" xfId="7933"/>
    <cellStyle name="Normal 4 4 7 2 3" xfId="7940"/>
    <cellStyle name="Normal 4 4 7 2 4" xfId="7941"/>
    <cellStyle name="Normal 4 4 7 2 5" xfId="7942"/>
    <cellStyle name="Normal 4 4 7 2 6" xfId="7943"/>
    <cellStyle name="Normal 4 4 7 2 7" xfId="7944"/>
    <cellStyle name="Normal 4 4 7 2 8" xfId="7945"/>
    <cellStyle name="Normal 4 4 7 2 9" xfId="7946"/>
    <cellStyle name="Normal 4 4 7 20" xfId="7947"/>
    <cellStyle name="Normal 4 4 7 21" xfId="7948"/>
    <cellStyle name="Normal 4 4 7 22" xfId="7949"/>
    <cellStyle name="Normal 4 4 7 23" xfId="3183"/>
    <cellStyle name="Normal 4 4 7 3" xfId="630"/>
    <cellStyle name="Normal 4 4 7 3 10" xfId="7951"/>
    <cellStyle name="Normal 4 4 7 3 11" xfId="7952"/>
    <cellStyle name="Normal 4 4 7 3 12" xfId="7953"/>
    <cellStyle name="Normal 4 4 7 3 13" xfId="7954"/>
    <cellStyle name="Normal 4 4 7 3 14" xfId="7955"/>
    <cellStyle name="Normal 4 4 7 3 15" xfId="3138"/>
    <cellStyle name="Normal 4 4 7 3 2" xfId="7950"/>
    <cellStyle name="Normal 4 4 7 3 3" xfId="7957"/>
    <cellStyle name="Normal 4 4 7 3 4" xfId="7958"/>
    <cellStyle name="Normal 4 4 7 3 5" xfId="7959"/>
    <cellStyle name="Normal 4 4 7 3 6" xfId="7960"/>
    <cellStyle name="Normal 4 4 7 3 7" xfId="7961"/>
    <cellStyle name="Normal 4 4 7 3 8" xfId="7962"/>
    <cellStyle name="Normal 4 4 7 3 9" xfId="7963"/>
    <cellStyle name="Normal 4 4 7 4" xfId="631"/>
    <cellStyle name="Normal 4 4 7 4 10" xfId="7965"/>
    <cellStyle name="Normal 4 4 7 4 11" xfId="7966"/>
    <cellStyle name="Normal 4 4 7 4 12" xfId="7967"/>
    <cellStyle name="Normal 4 4 7 4 13" xfId="7968"/>
    <cellStyle name="Normal 4 4 7 4 14" xfId="7969"/>
    <cellStyle name="Normal 4 4 7 4 15" xfId="3123"/>
    <cellStyle name="Normal 4 4 7 4 2" xfId="7964"/>
    <cellStyle name="Normal 4 4 7 4 3" xfId="7971"/>
    <cellStyle name="Normal 4 4 7 4 4" xfId="7972"/>
    <cellStyle name="Normal 4 4 7 4 5" xfId="7973"/>
    <cellStyle name="Normal 4 4 7 4 6" xfId="7974"/>
    <cellStyle name="Normal 4 4 7 4 7" xfId="7975"/>
    <cellStyle name="Normal 4 4 7 4 8" xfId="7976"/>
    <cellStyle name="Normal 4 4 7 4 9" xfId="7977"/>
    <cellStyle name="Normal 4 4 7 5" xfId="632"/>
    <cellStyle name="Normal 4 4 7 5 10" xfId="7979"/>
    <cellStyle name="Normal 4 4 7 5 11" xfId="7980"/>
    <cellStyle name="Normal 4 4 7 5 12" xfId="7981"/>
    <cellStyle name="Normal 4 4 7 5 13" xfId="7982"/>
    <cellStyle name="Normal 4 4 7 5 14" xfId="7983"/>
    <cellStyle name="Normal 4 4 7 5 15" xfId="3112"/>
    <cellStyle name="Normal 4 4 7 5 2" xfId="7978"/>
    <cellStyle name="Normal 4 4 7 5 3" xfId="7985"/>
    <cellStyle name="Normal 4 4 7 5 4" xfId="7986"/>
    <cellStyle name="Normal 4 4 7 5 5" xfId="7987"/>
    <cellStyle name="Normal 4 4 7 5 6" xfId="7988"/>
    <cellStyle name="Normal 4 4 7 5 7" xfId="7989"/>
    <cellStyle name="Normal 4 4 7 5 8" xfId="7990"/>
    <cellStyle name="Normal 4 4 7 5 9" xfId="7991"/>
    <cellStyle name="Normal 4 4 7 6" xfId="633"/>
    <cellStyle name="Normal 4 4 7 6 10" xfId="7993"/>
    <cellStyle name="Normal 4 4 7 6 11" xfId="7994"/>
    <cellStyle name="Normal 4 4 7 6 12" xfId="7995"/>
    <cellStyle name="Normal 4 4 7 6 13" xfId="7996"/>
    <cellStyle name="Normal 4 4 7 6 14" xfId="7997"/>
    <cellStyle name="Normal 4 4 7 6 15" xfId="3098"/>
    <cellStyle name="Normal 4 4 7 6 2" xfId="7992"/>
    <cellStyle name="Normal 4 4 7 6 3" xfId="7999"/>
    <cellStyle name="Normal 4 4 7 6 4" xfId="8000"/>
    <cellStyle name="Normal 4 4 7 6 5" xfId="8001"/>
    <cellStyle name="Normal 4 4 7 6 6" xfId="8002"/>
    <cellStyle name="Normal 4 4 7 6 7" xfId="8003"/>
    <cellStyle name="Normal 4 4 7 6 8" xfId="8004"/>
    <cellStyle name="Normal 4 4 7 6 9" xfId="8005"/>
    <cellStyle name="Normal 4 4 7 7" xfId="634"/>
    <cellStyle name="Normal 4 4 7 7 10" xfId="8007"/>
    <cellStyle name="Normal 4 4 7 7 11" xfId="8008"/>
    <cellStyle name="Normal 4 4 7 7 12" xfId="8009"/>
    <cellStyle name="Normal 4 4 7 7 13" xfId="8010"/>
    <cellStyle name="Normal 4 4 7 7 14" xfId="8011"/>
    <cellStyle name="Normal 4 4 7 7 15" xfId="3084"/>
    <cellStyle name="Normal 4 4 7 7 2" xfId="8006"/>
    <cellStyle name="Normal 4 4 7 7 3" xfId="8013"/>
    <cellStyle name="Normal 4 4 7 7 4" xfId="8014"/>
    <cellStyle name="Normal 4 4 7 7 5" xfId="8015"/>
    <cellStyle name="Normal 4 4 7 7 6" xfId="8016"/>
    <cellStyle name="Normal 4 4 7 7 7" xfId="8017"/>
    <cellStyle name="Normal 4 4 7 7 8" xfId="8018"/>
    <cellStyle name="Normal 4 4 7 7 9" xfId="8019"/>
    <cellStyle name="Normal 4 4 7 8" xfId="635"/>
    <cellStyle name="Normal 4 4 7 8 10" xfId="8021"/>
    <cellStyle name="Normal 4 4 7 8 11" xfId="8022"/>
    <cellStyle name="Normal 4 4 7 8 12" xfId="8023"/>
    <cellStyle name="Normal 4 4 7 8 13" xfId="8024"/>
    <cellStyle name="Normal 4 4 7 8 14" xfId="8025"/>
    <cellStyle name="Normal 4 4 7 8 15" xfId="3070"/>
    <cellStyle name="Normal 4 4 7 8 2" xfId="8020"/>
    <cellStyle name="Normal 4 4 7 8 3" xfId="8027"/>
    <cellStyle name="Normal 4 4 7 8 4" xfId="8028"/>
    <cellStyle name="Normal 4 4 7 8 5" xfId="8029"/>
    <cellStyle name="Normal 4 4 7 8 6" xfId="8030"/>
    <cellStyle name="Normal 4 4 7 8 7" xfId="8031"/>
    <cellStyle name="Normal 4 4 7 8 8" xfId="8032"/>
    <cellStyle name="Normal 4 4 7 8 9" xfId="8033"/>
    <cellStyle name="Normal 4 4 7 9" xfId="636"/>
    <cellStyle name="Normal 4 4 7 9 2" xfId="8034"/>
    <cellStyle name="Normal 4 4 7 9 3" xfId="3056"/>
    <cellStyle name="Normal 4 4 8" xfId="637"/>
    <cellStyle name="Normal 4 4 8 10" xfId="638"/>
    <cellStyle name="Normal 4 4 8 10 2" xfId="8036"/>
    <cellStyle name="Normal 4 4 8 10 3" xfId="3025"/>
    <cellStyle name="Normal 4 4 8 11" xfId="8035"/>
    <cellStyle name="Normal 4 4 8 12" xfId="8038"/>
    <cellStyle name="Normal 4 4 8 13" xfId="8039"/>
    <cellStyle name="Normal 4 4 8 14" xfId="8040"/>
    <cellStyle name="Normal 4 4 8 15" xfId="8041"/>
    <cellStyle name="Normal 4 4 8 16" xfId="8042"/>
    <cellStyle name="Normal 4 4 8 17" xfId="8043"/>
    <cellStyle name="Normal 4 4 8 18" xfId="8044"/>
    <cellStyle name="Normal 4 4 8 19" xfId="8045"/>
    <cellStyle name="Normal 4 4 8 2" xfId="639"/>
    <cellStyle name="Normal 4 4 8 2 10" xfId="8047"/>
    <cellStyle name="Normal 4 4 8 2 11" xfId="8048"/>
    <cellStyle name="Normal 4 4 8 2 12" xfId="8049"/>
    <cellStyle name="Normal 4 4 8 2 13" xfId="8050"/>
    <cellStyle name="Normal 4 4 8 2 14" xfId="8051"/>
    <cellStyle name="Normal 4 4 8 2 15" xfId="3010"/>
    <cellStyle name="Normal 4 4 8 2 2" xfId="8046"/>
    <cellStyle name="Normal 4 4 8 2 3" xfId="8053"/>
    <cellStyle name="Normal 4 4 8 2 4" xfId="8054"/>
    <cellStyle name="Normal 4 4 8 2 5" xfId="8055"/>
    <cellStyle name="Normal 4 4 8 2 6" xfId="8056"/>
    <cellStyle name="Normal 4 4 8 2 7" xfId="8057"/>
    <cellStyle name="Normal 4 4 8 2 8" xfId="8058"/>
    <cellStyle name="Normal 4 4 8 2 9" xfId="8059"/>
    <cellStyle name="Normal 4 4 8 20" xfId="8060"/>
    <cellStyle name="Normal 4 4 8 21" xfId="8061"/>
    <cellStyle name="Normal 4 4 8 22" xfId="8062"/>
    <cellStyle name="Normal 4 4 8 23" xfId="3042"/>
    <cellStyle name="Normal 4 4 8 3" xfId="640"/>
    <cellStyle name="Normal 4 4 8 3 10" xfId="8064"/>
    <cellStyle name="Normal 4 4 8 3 11" xfId="8065"/>
    <cellStyle name="Normal 4 4 8 3 12" xfId="8066"/>
    <cellStyle name="Normal 4 4 8 3 13" xfId="8067"/>
    <cellStyle name="Normal 4 4 8 3 14" xfId="8068"/>
    <cellStyle name="Normal 4 4 8 3 15" xfId="2991"/>
    <cellStyle name="Normal 4 4 8 3 2" xfId="8063"/>
    <cellStyle name="Normal 4 4 8 3 3" xfId="8070"/>
    <cellStyle name="Normal 4 4 8 3 4" xfId="8071"/>
    <cellStyle name="Normal 4 4 8 3 5" xfId="8072"/>
    <cellStyle name="Normal 4 4 8 3 6" xfId="8073"/>
    <cellStyle name="Normal 4 4 8 3 7" xfId="8074"/>
    <cellStyle name="Normal 4 4 8 3 8" xfId="8075"/>
    <cellStyle name="Normal 4 4 8 3 9" xfId="8076"/>
    <cellStyle name="Normal 4 4 8 4" xfId="641"/>
    <cellStyle name="Normal 4 4 8 4 10" xfId="8078"/>
    <cellStyle name="Normal 4 4 8 4 11" xfId="8079"/>
    <cellStyle name="Normal 4 4 8 4 12" xfId="8080"/>
    <cellStyle name="Normal 4 4 8 4 13" xfId="8081"/>
    <cellStyle name="Normal 4 4 8 4 14" xfId="8082"/>
    <cellStyle name="Normal 4 4 8 4 15" xfId="2977"/>
    <cellStyle name="Normal 4 4 8 4 2" xfId="8077"/>
    <cellStyle name="Normal 4 4 8 4 3" xfId="8084"/>
    <cellStyle name="Normal 4 4 8 4 4" xfId="8085"/>
    <cellStyle name="Normal 4 4 8 4 5" xfId="8086"/>
    <cellStyle name="Normal 4 4 8 4 6" xfId="8087"/>
    <cellStyle name="Normal 4 4 8 4 7" xfId="8088"/>
    <cellStyle name="Normal 4 4 8 4 8" xfId="8089"/>
    <cellStyle name="Normal 4 4 8 4 9" xfId="8090"/>
    <cellStyle name="Normal 4 4 8 5" xfId="642"/>
    <cellStyle name="Normal 4 4 8 5 10" xfId="8092"/>
    <cellStyle name="Normal 4 4 8 5 11" xfId="8093"/>
    <cellStyle name="Normal 4 4 8 5 12" xfId="8094"/>
    <cellStyle name="Normal 4 4 8 5 13" xfId="8095"/>
    <cellStyle name="Normal 4 4 8 5 14" xfId="8096"/>
    <cellStyle name="Normal 4 4 8 5 15" xfId="2963"/>
    <cellStyle name="Normal 4 4 8 5 2" xfId="8091"/>
    <cellStyle name="Normal 4 4 8 5 3" xfId="8098"/>
    <cellStyle name="Normal 4 4 8 5 4" xfId="8099"/>
    <cellStyle name="Normal 4 4 8 5 5" xfId="8100"/>
    <cellStyle name="Normal 4 4 8 5 6" xfId="8101"/>
    <cellStyle name="Normal 4 4 8 5 7" xfId="8102"/>
    <cellStyle name="Normal 4 4 8 5 8" xfId="8103"/>
    <cellStyle name="Normal 4 4 8 5 9" xfId="8104"/>
    <cellStyle name="Normal 4 4 8 6" xfId="643"/>
    <cellStyle name="Normal 4 4 8 6 10" xfId="8106"/>
    <cellStyle name="Normal 4 4 8 6 11" xfId="8107"/>
    <cellStyle name="Normal 4 4 8 6 12" xfId="8108"/>
    <cellStyle name="Normal 4 4 8 6 13" xfId="8109"/>
    <cellStyle name="Normal 4 4 8 6 14" xfId="8110"/>
    <cellStyle name="Normal 4 4 8 6 15" xfId="2949"/>
    <cellStyle name="Normal 4 4 8 6 2" xfId="8105"/>
    <cellStyle name="Normal 4 4 8 6 3" xfId="8112"/>
    <cellStyle name="Normal 4 4 8 6 4" xfId="8113"/>
    <cellStyle name="Normal 4 4 8 6 5" xfId="8114"/>
    <cellStyle name="Normal 4 4 8 6 6" xfId="8115"/>
    <cellStyle name="Normal 4 4 8 6 7" xfId="8116"/>
    <cellStyle name="Normal 4 4 8 6 8" xfId="8117"/>
    <cellStyle name="Normal 4 4 8 6 9" xfId="8118"/>
    <cellStyle name="Normal 4 4 8 7" xfId="644"/>
    <cellStyle name="Normal 4 4 8 7 10" xfId="8120"/>
    <cellStyle name="Normal 4 4 8 7 11" xfId="8121"/>
    <cellStyle name="Normal 4 4 8 7 12" xfId="8122"/>
    <cellStyle name="Normal 4 4 8 7 13" xfId="8123"/>
    <cellStyle name="Normal 4 4 8 7 14" xfId="8124"/>
    <cellStyle name="Normal 4 4 8 7 15" xfId="2935"/>
    <cellStyle name="Normal 4 4 8 7 2" xfId="8119"/>
    <cellStyle name="Normal 4 4 8 7 3" xfId="8126"/>
    <cellStyle name="Normal 4 4 8 7 4" xfId="8127"/>
    <cellStyle name="Normal 4 4 8 7 5" xfId="8128"/>
    <cellStyle name="Normal 4 4 8 7 6" xfId="8129"/>
    <cellStyle name="Normal 4 4 8 7 7" xfId="8130"/>
    <cellStyle name="Normal 4 4 8 7 8" xfId="8131"/>
    <cellStyle name="Normal 4 4 8 7 9" xfId="8132"/>
    <cellStyle name="Normal 4 4 8 8" xfId="645"/>
    <cellStyle name="Normal 4 4 8 8 10" xfId="8134"/>
    <cellStyle name="Normal 4 4 8 8 11" xfId="8135"/>
    <cellStyle name="Normal 4 4 8 8 12" xfId="8136"/>
    <cellStyle name="Normal 4 4 8 8 13" xfId="8137"/>
    <cellStyle name="Normal 4 4 8 8 14" xfId="8138"/>
    <cellStyle name="Normal 4 4 8 8 15" xfId="2921"/>
    <cellStyle name="Normal 4 4 8 8 2" xfId="8133"/>
    <cellStyle name="Normal 4 4 8 8 3" xfId="8140"/>
    <cellStyle name="Normal 4 4 8 8 4" xfId="8141"/>
    <cellStyle name="Normal 4 4 8 8 5" xfId="8142"/>
    <cellStyle name="Normal 4 4 8 8 6" xfId="8143"/>
    <cellStyle name="Normal 4 4 8 8 7" xfId="8144"/>
    <cellStyle name="Normal 4 4 8 8 8" xfId="8145"/>
    <cellStyle name="Normal 4 4 8 8 9" xfId="8146"/>
    <cellStyle name="Normal 4 4 8 9" xfId="646"/>
    <cellStyle name="Normal 4 4 8 9 2" xfId="8147"/>
    <cellStyle name="Normal 4 4 8 9 3" xfId="2904"/>
    <cellStyle name="Normal 4 4 9" xfId="647"/>
    <cellStyle name="Normal 4 4 9 10" xfId="8149"/>
    <cellStyle name="Normal 4 4 9 11" xfId="8150"/>
    <cellStyle name="Normal 4 4 9 12" xfId="8151"/>
    <cellStyle name="Normal 4 4 9 13" xfId="8152"/>
    <cellStyle name="Normal 4 4 9 14" xfId="8153"/>
    <cellStyle name="Normal 4 4 9 15" xfId="2889"/>
    <cellStyle name="Normal 4 4 9 2" xfId="8148"/>
    <cellStyle name="Normal 4 4 9 3" xfId="8155"/>
    <cellStyle name="Normal 4 4 9 4" xfId="8156"/>
    <cellStyle name="Normal 4 4 9 5" xfId="8157"/>
    <cellStyle name="Normal 4 4 9 6" xfId="8158"/>
    <cellStyle name="Normal 4 4 9 7" xfId="8159"/>
    <cellStyle name="Normal 4 4 9 8" xfId="8160"/>
    <cellStyle name="Normal 4 4 9 9" xfId="8161"/>
    <cellStyle name="Normal 4 5" xfId="648"/>
    <cellStyle name="Normal 4 5 10" xfId="649"/>
    <cellStyle name="Normal 4 5 10 10" xfId="8164"/>
    <cellStyle name="Normal 4 5 10 11" xfId="8165"/>
    <cellStyle name="Normal 4 5 10 12" xfId="8166"/>
    <cellStyle name="Normal 4 5 10 13" xfId="8167"/>
    <cellStyle name="Normal 4 5 10 14" xfId="8168"/>
    <cellStyle name="Normal 4 5 10 15" xfId="2873"/>
    <cellStyle name="Normal 4 5 10 2" xfId="8163"/>
    <cellStyle name="Normal 4 5 10 3" xfId="8170"/>
    <cellStyle name="Normal 4 5 10 4" xfId="8171"/>
    <cellStyle name="Normal 4 5 10 5" xfId="8172"/>
    <cellStyle name="Normal 4 5 10 6" xfId="8173"/>
    <cellStyle name="Normal 4 5 10 7" xfId="8174"/>
    <cellStyle name="Normal 4 5 10 8" xfId="8175"/>
    <cellStyle name="Normal 4 5 10 9" xfId="8176"/>
    <cellStyle name="Normal 4 5 11" xfId="650"/>
    <cellStyle name="Normal 4 5 11 10" xfId="8178"/>
    <cellStyle name="Normal 4 5 11 11" xfId="8179"/>
    <cellStyle name="Normal 4 5 11 12" xfId="8180"/>
    <cellStyle name="Normal 4 5 11 13" xfId="8181"/>
    <cellStyle name="Normal 4 5 11 14" xfId="8182"/>
    <cellStyle name="Normal 4 5 11 15" xfId="2859"/>
    <cellStyle name="Normal 4 5 11 2" xfId="8177"/>
    <cellStyle name="Normal 4 5 11 3" xfId="8184"/>
    <cellStyle name="Normal 4 5 11 4" xfId="8185"/>
    <cellStyle name="Normal 4 5 11 5" xfId="8186"/>
    <cellStyle name="Normal 4 5 11 6" xfId="8187"/>
    <cellStyle name="Normal 4 5 11 7" xfId="8188"/>
    <cellStyle name="Normal 4 5 11 8" xfId="8189"/>
    <cellStyle name="Normal 4 5 11 9" xfId="8190"/>
    <cellStyle name="Normal 4 5 12" xfId="651"/>
    <cellStyle name="Normal 4 5 12 10" xfId="8192"/>
    <cellStyle name="Normal 4 5 12 11" xfId="8193"/>
    <cellStyle name="Normal 4 5 12 12" xfId="8194"/>
    <cellStyle name="Normal 4 5 12 13" xfId="8195"/>
    <cellStyle name="Normal 4 5 12 14" xfId="8196"/>
    <cellStyle name="Normal 4 5 12 15" xfId="2845"/>
    <cellStyle name="Normal 4 5 12 2" xfId="8191"/>
    <cellStyle name="Normal 4 5 12 3" xfId="8198"/>
    <cellStyle name="Normal 4 5 12 4" xfId="8199"/>
    <cellStyle name="Normal 4 5 12 5" xfId="8200"/>
    <cellStyle name="Normal 4 5 12 6" xfId="8201"/>
    <cellStyle name="Normal 4 5 12 7" xfId="8202"/>
    <cellStyle name="Normal 4 5 12 8" xfId="8203"/>
    <cellStyle name="Normal 4 5 12 9" xfId="8204"/>
    <cellStyle name="Normal 4 5 13" xfId="652"/>
    <cellStyle name="Normal 4 5 13 10" xfId="8206"/>
    <cellStyle name="Normal 4 5 13 11" xfId="8207"/>
    <cellStyle name="Normal 4 5 13 12" xfId="8208"/>
    <cellStyle name="Normal 4 5 13 13" xfId="8209"/>
    <cellStyle name="Normal 4 5 13 14" xfId="8210"/>
    <cellStyle name="Normal 4 5 13 15" xfId="2831"/>
    <cellStyle name="Normal 4 5 13 2" xfId="8205"/>
    <cellStyle name="Normal 4 5 13 3" xfId="8212"/>
    <cellStyle name="Normal 4 5 13 4" xfId="8213"/>
    <cellStyle name="Normal 4 5 13 5" xfId="8214"/>
    <cellStyle name="Normal 4 5 13 6" xfId="8215"/>
    <cellStyle name="Normal 4 5 13 7" xfId="8216"/>
    <cellStyle name="Normal 4 5 13 8" xfId="8217"/>
    <cellStyle name="Normal 4 5 13 9" xfId="8218"/>
    <cellStyle name="Normal 4 5 14" xfId="653"/>
    <cellStyle name="Normal 4 5 14 2" xfId="8219"/>
    <cellStyle name="Normal 4 5 14 3" xfId="2806"/>
    <cellStyle name="Normal 4 5 15" xfId="654"/>
    <cellStyle name="Normal 4 5 15 2" xfId="8220"/>
    <cellStyle name="Normal 4 5 15 3" xfId="2792"/>
    <cellStyle name="Normal 4 5 16" xfId="8162"/>
    <cellStyle name="Normal 4 5 17" xfId="8222"/>
    <cellStyle name="Normal 4 5 18" xfId="8223"/>
    <cellStyle name="Normal 4 5 19" xfId="8224"/>
    <cellStyle name="Normal 4 5 2" xfId="655"/>
    <cellStyle name="Normal 4 5 2 10" xfId="656"/>
    <cellStyle name="Normal 4 5 2 10 2" xfId="8226"/>
    <cellStyle name="Normal 4 5 2 10 3" xfId="2763"/>
    <cellStyle name="Normal 4 5 2 11" xfId="8225"/>
    <cellStyle name="Normal 4 5 2 12" xfId="8228"/>
    <cellStyle name="Normal 4 5 2 13" xfId="8229"/>
    <cellStyle name="Normal 4 5 2 14" xfId="8230"/>
    <cellStyle name="Normal 4 5 2 15" xfId="8231"/>
    <cellStyle name="Normal 4 5 2 16" xfId="8232"/>
    <cellStyle name="Normal 4 5 2 17" xfId="8233"/>
    <cellStyle name="Normal 4 5 2 18" xfId="8234"/>
    <cellStyle name="Normal 4 5 2 19" xfId="8235"/>
    <cellStyle name="Normal 4 5 2 2" xfId="657"/>
    <cellStyle name="Normal 4 5 2 2 10" xfId="8237"/>
    <cellStyle name="Normal 4 5 2 2 11" xfId="8238"/>
    <cellStyle name="Normal 4 5 2 2 12" xfId="8239"/>
    <cellStyle name="Normal 4 5 2 2 13" xfId="8240"/>
    <cellStyle name="Normal 4 5 2 2 14" xfId="8241"/>
    <cellStyle name="Normal 4 5 2 2 15" xfId="2749"/>
    <cellStyle name="Normal 4 5 2 2 2" xfId="8236"/>
    <cellStyle name="Normal 4 5 2 2 3" xfId="8243"/>
    <cellStyle name="Normal 4 5 2 2 4" xfId="8244"/>
    <cellStyle name="Normal 4 5 2 2 5" xfId="8245"/>
    <cellStyle name="Normal 4 5 2 2 6" xfId="8246"/>
    <cellStyle name="Normal 4 5 2 2 7" xfId="8247"/>
    <cellStyle name="Normal 4 5 2 2 8" xfId="8248"/>
    <cellStyle name="Normal 4 5 2 2 9" xfId="8249"/>
    <cellStyle name="Normal 4 5 2 20" xfId="8250"/>
    <cellStyle name="Normal 4 5 2 21" xfId="8251"/>
    <cellStyle name="Normal 4 5 2 22" xfId="8252"/>
    <cellStyle name="Normal 4 5 2 23" xfId="2778"/>
    <cellStyle name="Normal 4 5 2 3" xfId="658"/>
    <cellStyle name="Normal 4 5 2 3 10" xfId="8254"/>
    <cellStyle name="Normal 4 5 2 3 11" xfId="8255"/>
    <cellStyle name="Normal 4 5 2 3 12" xfId="8256"/>
    <cellStyle name="Normal 4 5 2 3 13" xfId="8257"/>
    <cellStyle name="Normal 4 5 2 3 14" xfId="8258"/>
    <cellStyle name="Normal 4 5 2 3 15" xfId="2735"/>
    <cellStyle name="Normal 4 5 2 3 2" xfId="8253"/>
    <cellStyle name="Normal 4 5 2 3 3" xfId="8260"/>
    <cellStyle name="Normal 4 5 2 3 4" xfId="8261"/>
    <cellStyle name="Normal 4 5 2 3 5" xfId="8262"/>
    <cellStyle name="Normal 4 5 2 3 6" xfId="8263"/>
    <cellStyle name="Normal 4 5 2 3 7" xfId="8264"/>
    <cellStyle name="Normal 4 5 2 3 8" xfId="8265"/>
    <cellStyle name="Normal 4 5 2 3 9" xfId="8266"/>
    <cellStyle name="Normal 4 5 2 4" xfId="659"/>
    <cellStyle name="Normal 4 5 2 4 10" xfId="8268"/>
    <cellStyle name="Normal 4 5 2 4 11" xfId="8269"/>
    <cellStyle name="Normal 4 5 2 4 12" xfId="8270"/>
    <cellStyle name="Normal 4 5 2 4 13" xfId="8271"/>
    <cellStyle name="Normal 4 5 2 4 14" xfId="8272"/>
    <cellStyle name="Normal 4 5 2 4 15" xfId="2721"/>
    <cellStyle name="Normal 4 5 2 4 2" xfId="8267"/>
    <cellStyle name="Normal 4 5 2 4 3" xfId="8274"/>
    <cellStyle name="Normal 4 5 2 4 4" xfId="8275"/>
    <cellStyle name="Normal 4 5 2 4 5" xfId="8276"/>
    <cellStyle name="Normal 4 5 2 4 6" xfId="8277"/>
    <cellStyle name="Normal 4 5 2 4 7" xfId="8278"/>
    <cellStyle name="Normal 4 5 2 4 8" xfId="8279"/>
    <cellStyle name="Normal 4 5 2 4 9" xfId="8280"/>
    <cellStyle name="Normal 4 5 2 5" xfId="660"/>
    <cellStyle name="Normal 4 5 2 5 10" xfId="8282"/>
    <cellStyle name="Normal 4 5 2 5 11" xfId="8283"/>
    <cellStyle name="Normal 4 5 2 5 12" xfId="8284"/>
    <cellStyle name="Normal 4 5 2 5 13" xfId="8285"/>
    <cellStyle name="Normal 4 5 2 5 14" xfId="8286"/>
    <cellStyle name="Normal 4 5 2 5 15" xfId="2707"/>
    <cellStyle name="Normal 4 5 2 5 2" xfId="8281"/>
    <cellStyle name="Normal 4 5 2 5 3" xfId="8288"/>
    <cellStyle name="Normal 4 5 2 5 4" xfId="8289"/>
    <cellStyle name="Normal 4 5 2 5 5" xfId="8290"/>
    <cellStyle name="Normal 4 5 2 5 6" xfId="8291"/>
    <cellStyle name="Normal 4 5 2 5 7" xfId="8292"/>
    <cellStyle name="Normal 4 5 2 5 8" xfId="8293"/>
    <cellStyle name="Normal 4 5 2 5 9" xfId="8294"/>
    <cellStyle name="Normal 4 5 2 6" xfId="661"/>
    <cellStyle name="Normal 4 5 2 6 10" xfId="8296"/>
    <cellStyle name="Normal 4 5 2 6 11" xfId="8297"/>
    <cellStyle name="Normal 4 5 2 6 12" xfId="8298"/>
    <cellStyle name="Normal 4 5 2 6 13" xfId="8299"/>
    <cellStyle name="Normal 4 5 2 6 14" xfId="8300"/>
    <cellStyle name="Normal 4 5 2 6 15" xfId="2693"/>
    <cellStyle name="Normal 4 5 2 6 2" xfId="8295"/>
    <cellStyle name="Normal 4 5 2 6 3" xfId="8302"/>
    <cellStyle name="Normal 4 5 2 6 4" xfId="8303"/>
    <cellStyle name="Normal 4 5 2 6 5" xfId="8304"/>
    <cellStyle name="Normal 4 5 2 6 6" xfId="8305"/>
    <cellStyle name="Normal 4 5 2 6 7" xfId="8306"/>
    <cellStyle name="Normal 4 5 2 6 8" xfId="8307"/>
    <cellStyle name="Normal 4 5 2 6 9" xfId="8308"/>
    <cellStyle name="Normal 4 5 2 7" xfId="662"/>
    <cellStyle name="Normal 4 5 2 7 10" xfId="8310"/>
    <cellStyle name="Normal 4 5 2 7 11" xfId="8311"/>
    <cellStyle name="Normal 4 5 2 7 12" xfId="8312"/>
    <cellStyle name="Normal 4 5 2 7 13" xfId="8313"/>
    <cellStyle name="Normal 4 5 2 7 14" xfId="8314"/>
    <cellStyle name="Normal 4 5 2 7 15" xfId="2676"/>
    <cellStyle name="Normal 4 5 2 7 2" xfId="8309"/>
    <cellStyle name="Normal 4 5 2 7 3" xfId="8316"/>
    <cellStyle name="Normal 4 5 2 7 4" xfId="8317"/>
    <cellStyle name="Normal 4 5 2 7 5" xfId="8318"/>
    <cellStyle name="Normal 4 5 2 7 6" xfId="8319"/>
    <cellStyle name="Normal 4 5 2 7 7" xfId="8320"/>
    <cellStyle name="Normal 4 5 2 7 8" xfId="8321"/>
    <cellStyle name="Normal 4 5 2 7 9" xfId="8322"/>
    <cellStyle name="Normal 4 5 2 8" xfId="663"/>
    <cellStyle name="Normal 4 5 2 8 10" xfId="8324"/>
    <cellStyle name="Normal 4 5 2 8 11" xfId="8325"/>
    <cellStyle name="Normal 4 5 2 8 12" xfId="8326"/>
    <cellStyle name="Normal 4 5 2 8 13" xfId="8327"/>
    <cellStyle name="Normal 4 5 2 8 14" xfId="8328"/>
    <cellStyle name="Normal 4 5 2 8 15" xfId="2661"/>
    <cellStyle name="Normal 4 5 2 8 2" xfId="8323"/>
    <cellStyle name="Normal 4 5 2 8 3" xfId="8330"/>
    <cellStyle name="Normal 4 5 2 8 4" xfId="8331"/>
    <cellStyle name="Normal 4 5 2 8 5" xfId="8332"/>
    <cellStyle name="Normal 4 5 2 8 6" xfId="8333"/>
    <cellStyle name="Normal 4 5 2 8 7" xfId="8334"/>
    <cellStyle name="Normal 4 5 2 8 8" xfId="8335"/>
    <cellStyle name="Normal 4 5 2 8 9" xfId="8336"/>
    <cellStyle name="Normal 4 5 2 9" xfId="664"/>
    <cellStyle name="Normal 4 5 2 9 2" xfId="8337"/>
    <cellStyle name="Normal 4 5 2 9 3" xfId="2650"/>
    <cellStyle name="Normal 4 5 20" xfId="8338"/>
    <cellStyle name="Normal 4 5 21" xfId="8339"/>
    <cellStyle name="Normal 4 5 22" xfId="8340"/>
    <cellStyle name="Normal 4 5 23" xfId="8341"/>
    <cellStyle name="Normal 4 5 24" xfId="8342"/>
    <cellStyle name="Normal 4 5 25" xfId="8343"/>
    <cellStyle name="Normal 4 5 26" xfId="8344"/>
    <cellStyle name="Normal 4 5 27" xfId="8345"/>
    <cellStyle name="Normal 4 5 28" xfId="2883"/>
    <cellStyle name="Normal 4 5 29" xfId="12084"/>
    <cellStyle name="Normal 4 5 3" xfId="665"/>
    <cellStyle name="Normal 4 5 3 10" xfId="666"/>
    <cellStyle name="Normal 4 5 3 10 2" xfId="8347"/>
    <cellStyle name="Normal 4 5 3 10 3" xfId="2622"/>
    <cellStyle name="Normal 4 5 3 11" xfId="8346"/>
    <cellStyle name="Normal 4 5 3 12" xfId="8349"/>
    <cellStyle name="Normal 4 5 3 13" xfId="8350"/>
    <cellStyle name="Normal 4 5 3 14" xfId="8351"/>
    <cellStyle name="Normal 4 5 3 15" xfId="8352"/>
    <cellStyle name="Normal 4 5 3 16" xfId="8353"/>
    <cellStyle name="Normal 4 5 3 17" xfId="8354"/>
    <cellStyle name="Normal 4 5 3 18" xfId="8355"/>
    <cellStyle name="Normal 4 5 3 19" xfId="8356"/>
    <cellStyle name="Normal 4 5 3 2" xfId="667"/>
    <cellStyle name="Normal 4 5 3 2 10" xfId="8358"/>
    <cellStyle name="Normal 4 5 3 2 11" xfId="8359"/>
    <cellStyle name="Normal 4 5 3 2 12" xfId="8360"/>
    <cellStyle name="Normal 4 5 3 2 13" xfId="8361"/>
    <cellStyle name="Normal 4 5 3 2 14" xfId="8362"/>
    <cellStyle name="Normal 4 5 3 2 15" xfId="2608"/>
    <cellStyle name="Normal 4 5 3 2 2" xfId="8357"/>
    <cellStyle name="Normal 4 5 3 2 3" xfId="8364"/>
    <cellStyle name="Normal 4 5 3 2 4" xfId="8365"/>
    <cellStyle name="Normal 4 5 3 2 5" xfId="8366"/>
    <cellStyle name="Normal 4 5 3 2 6" xfId="8367"/>
    <cellStyle name="Normal 4 5 3 2 7" xfId="8368"/>
    <cellStyle name="Normal 4 5 3 2 8" xfId="8369"/>
    <cellStyle name="Normal 4 5 3 2 9" xfId="8370"/>
    <cellStyle name="Normal 4 5 3 20" xfId="8371"/>
    <cellStyle name="Normal 4 5 3 21" xfId="8372"/>
    <cellStyle name="Normal 4 5 3 22" xfId="8373"/>
    <cellStyle name="Normal 4 5 3 23" xfId="2636"/>
    <cellStyle name="Normal 4 5 3 3" xfId="668"/>
    <cellStyle name="Normal 4 5 3 3 10" xfId="8375"/>
    <cellStyle name="Normal 4 5 3 3 11" xfId="8376"/>
    <cellStyle name="Normal 4 5 3 3 12" xfId="8377"/>
    <cellStyle name="Normal 4 5 3 3 13" xfId="8378"/>
    <cellStyle name="Normal 4 5 3 3 14" xfId="8379"/>
    <cellStyle name="Normal 4 5 3 3 15" xfId="2594"/>
    <cellStyle name="Normal 4 5 3 3 2" xfId="8374"/>
    <cellStyle name="Normal 4 5 3 3 3" xfId="8381"/>
    <cellStyle name="Normal 4 5 3 3 4" xfId="8382"/>
    <cellStyle name="Normal 4 5 3 3 5" xfId="8383"/>
    <cellStyle name="Normal 4 5 3 3 6" xfId="8384"/>
    <cellStyle name="Normal 4 5 3 3 7" xfId="8385"/>
    <cellStyle name="Normal 4 5 3 3 8" xfId="8386"/>
    <cellStyle name="Normal 4 5 3 3 9" xfId="8387"/>
    <cellStyle name="Normal 4 5 3 4" xfId="669"/>
    <cellStyle name="Normal 4 5 3 4 10" xfId="8389"/>
    <cellStyle name="Normal 4 5 3 4 11" xfId="8390"/>
    <cellStyle name="Normal 4 5 3 4 12" xfId="8391"/>
    <cellStyle name="Normal 4 5 3 4 13" xfId="8392"/>
    <cellStyle name="Normal 4 5 3 4 14" xfId="8393"/>
    <cellStyle name="Normal 4 5 3 4 15" xfId="2580"/>
    <cellStyle name="Normal 4 5 3 4 2" xfId="8388"/>
    <cellStyle name="Normal 4 5 3 4 3" xfId="8395"/>
    <cellStyle name="Normal 4 5 3 4 4" xfId="8396"/>
    <cellStyle name="Normal 4 5 3 4 5" xfId="8397"/>
    <cellStyle name="Normal 4 5 3 4 6" xfId="8398"/>
    <cellStyle name="Normal 4 5 3 4 7" xfId="8399"/>
    <cellStyle name="Normal 4 5 3 4 8" xfId="8400"/>
    <cellStyle name="Normal 4 5 3 4 9" xfId="8401"/>
    <cellStyle name="Normal 4 5 3 5" xfId="670"/>
    <cellStyle name="Normal 4 5 3 5 10" xfId="8403"/>
    <cellStyle name="Normal 4 5 3 5 11" xfId="8404"/>
    <cellStyle name="Normal 4 5 3 5 12" xfId="8405"/>
    <cellStyle name="Normal 4 5 3 5 13" xfId="8406"/>
    <cellStyle name="Normal 4 5 3 5 14" xfId="8407"/>
    <cellStyle name="Normal 4 5 3 5 15" xfId="2563"/>
    <cellStyle name="Normal 4 5 3 5 2" xfId="8402"/>
    <cellStyle name="Normal 4 5 3 5 3" xfId="8409"/>
    <cellStyle name="Normal 4 5 3 5 4" xfId="8410"/>
    <cellStyle name="Normal 4 5 3 5 5" xfId="8411"/>
    <cellStyle name="Normal 4 5 3 5 6" xfId="8412"/>
    <cellStyle name="Normal 4 5 3 5 7" xfId="8413"/>
    <cellStyle name="Normal 4 5 3 5 8" xfId="8414"/>
    <cellStyle name="Normal 4 5 3 5 9" xfId="8415"/>
    <cellStyle name="Normal 4 5 3 6" xfId="671"/>
    <cellStyle name="Normal 4 5 3 6 10" xfId="8417"/>
    <cellStyle name="Normal 4 5 3 6 11" xfId="8418"/>
    <cellStyle name="Normal 4 5 3 6 12" xfId="8419"/>
    <cellStyle name="Normal 4 5 3 6 13" xfId="8420"/>
    <cellStyle name="Normal 4 5 3 6 14" xfId="8421"/>
    <cellStyle name="Normal 4 5 3 6 15" xfId="2548"/>
    <cellStyle name="Normal 4 5 3 6 2" xfId="8416"/>
    <cellStyle name="Normal 4 5 3 6 3" xfId="8423"/>
    <cellStyle name="Normal 4 5 3 6 4" xfId="8424"/>
    <cellStyle name="Normal 4 5 3 6 5" xfId="8425"/>
    <cellStyle name="Normal 4 5 3 6 6" xfId="8426"/>
    <cellStyle name="Normal 4 5 3 6 7" xfId="8427"/>
    <cellStyle name="Normal 4 5 3 6 8" xfId="8428"/>
    <cellStyle name="Normal 4 5 3 6 9" xfId="8429"/>
    <cellStyle name="Normal 4 5 3 7" xfId="672"/>
    <cellStyle name="Normal 4 5 3 7 10" xfId="8431"/>
    <cellStyle name="Normal 4 5 3 7 11" xfId="8432"/>
    <cellStyle name="Normal 4 5 3 7 12" xfId="8433"/>
    <cellStyle name="Normal 4 5 3 7 13" xfId="8434"/>
    <cellStyle name="Normal 4 5 3 7 14" xfId="8435"/>
    <cellStyle name="Normal 4 5 3 7 15" xfId="2537"/>
    <cellStyle name="Normal 4 5 3 7 2" xfId="8430"/>
    <cellStyle name="Normal 4 5 3 7 3" xfId="8437"/>
    <cellStyle name="Normal 4 5 3 7 4" xfId="8438"/>
    <cellStyle name="Normal 4 5 3 7 5" xfId="8439"/>
    <cellStyle name="Normal 4 5 3 7 6" xfId="8440"/>
    <cellStyle name="Normal 4 5 3 7 7" xfId="8441"/>
    <cellStyle name="Normal 4 5 3 7 8" xfId="8442"/>
    <cellStyle name="Normal 4 5 3 7 9" xfId="8443"/>
    <cellStyle name="Normal 4 5 3 8" xfId="673"/>
    <cellStyle name="Normal 4 5 3 8 10" xfId="8445"/>
    <cellStyle name="Normal 4 5 3 8 11" xfId="8446"/>
    <cellStyle name="Normal 4 5 3 8 12" xfId="8447"/>
    <cellStyle name="Normal 4 5 3 8 13" xfId="8448"/>
    <cellStyle name="Normal 4 5 3 8 14" xfId="8449"/>
    <cellStyle name="Normal 4 5 3 8 15" xfId="2523"/>
    <cellStyle name="Normal 4 5 3 8 2" xfId="8444"/>
    <cellStyle name="Normal 4 5 3 8 3" xfId="8451"/>
    <cellStyle name="Normal 4 5 3 8 4" xfId="8452"/>
    <cellStyle name="Normal 4 5 3 8 5" xfId="8453"/>
    <cellStyle name="Normal 4 5 3 8 6" xfId="8454"/>
    <cellStyle name="Normal 4 5 3 8 7" xfId="8455"/>
    <cellStyle name="Normal 4 5 3 8 8" xfId="8456"/>
    <cellStyle name="Normal 4 5 3 8 9" xfId="8457"/>
    <cellStyle name="Normal 4 5 3 9" xfId="674"/>
    <cellStyle name="Normal 4 5 3 9 2" xfId="8458"/>
    <cellStyle name="Normal 4 5 3 9 3" xfId="2509"/>
    <cellStyle name="Normal 4 5 30" xfId="33555"/>
    <cellStyle name="Normal 4 5 31" xfId="44343"/>
    <cellStyle name="Normal 4 5 4" xfId="675"/>
    <cellStyle name="Normal 4 5 4 10" xfId="676"/>
    <cellStyle name="Normal 4 5 4 10 2" xfId="8460"/>
    <cellStyle name="Normal 4 5 4 10 3" xfId="2481"/>
    <cellStyle name="Normal 4 5 4 11" xfId="8459"/>
    <cellStyle name="Normal 4 5 4 12" xfId="8462"/>
    <cellStyle name="Normal 4 5 4 13" xfId="8463"/>
    <cellStyle name="Normal 4 5 4 14" xfId="8464"/>
    <cellStyle name="Normal 4 5 4 15" xfId="8465"/>
    <cellStyle name="Normal 4 5 4 16" xfId="8466"/>
    <cellStyle name="Normal 4 5 4 17" xfId="8467"/>
    <cellStyle name="Normal 4 5 4 18" xfId="8468"/>
    <cellStyle name="Normal 4 5 4 19" xfId="8469"/>
    <cellStyle name="Normal 4 5 4 2" xfId="677"/>
    <cellStyle name="Normal 4 5 4 2 10" xfId="8471"/>
    <cellStyle name="Normal 4 5 4 2 11" xfId="8472"/>
    <cellStyle name="Normal 4 5 4 2 12" xfId="8473"/>
    <cellStyle name="Normal 4 5 4 2 13" xfId="8474"/>
    <cellStyle name="Normal 4 5 4 2 14" xfId="8475"/>
    <cellStyle name="Normal 4 5 4 2 15" xfId="2467"/>
    <cellStyle name="Normal 4 5 4 2 2" xfId="8470"/>
    <cellStyle name="Normal 4 5 4 2 3" xfId="8477"/>
    <cellStyle name="Normal 4 5 4 2 4" xfId="8478"/>
    <cellStyle name="Normal 4 5 4 2 5" xfId="8479"/>
    <cellStyle name="Normal 4 5 4 2 6" xfId="8480"/>
    <cellStyle name="Normal 4 5 4 2 7" xfId="8481"/>
    <cellStyle name="Normal 4 5 4 2 8" xfId="8482"/>
    <cellStyle name="Normal 4 5 4 2 9" xfId="8483"/>
    <cellStyle name="Normal 4 5 4 20" xfId="8484"/>
    <cellStyle name="Normal 4 5 4 21" xfId="8485"/>
    <cellStyle name="Normal 4 5 4 22" xfId="8486"/>
    <cellStyle name="Normal 4 5 4 23" xfId="2495"/>
    <cellStyle name="Normal 4 5 4 3" xfId="678"/>
    <cellStyle name="Normal 4 5 4 3 10" xfId="8488"/>
    <cellStyle name="Normal 4 5 4 3 11" xfId="8489"/>
    <cellStyle name="Normal 4 5 4 3 12" xfId="8490"/>
    <cellStyle name="Normal 4 5 4 3 13" xfId="8491"/>
    <cellStyle name="Normal 4 5 4 3 14" xfId="8492"/>
    <cellStyle name="Normal 4 5 4 3 15" xfId="2450"/>
    <cellStyle name="Normal 4 5 4 3 2" xfId="8487"/>
    <cellStyle name="Normal 4 5 4 3 3" xfId="8494"/>
    <cellStyle name="Normal 4 5 4 3 4" xfId="8495"/>
    <cellStyle name="Normal 4 5 4 3 5" xfId="8496"/>
    <cellStyle name="Normal 4 5 4 3 6" xfId="8497"/>
    <cellStyle name="Normal 4 5 4 3 7" xfId="8498"/>
    <cellStyle name="Normal 4 5 4 3 8" xfId="8499"/>
    <cellStyle name="Normal 4 5 4 3 9" xfId="8500"/>
    <cellStyle name="Normal 4 5 4 4" xfId="679"/>
    <cellStyle name="Normal 4 5 4 4 10" xfId="8502"/>
    <cellStyle name="Normal 4 5 4 4 11" xfId="8503"/>
    <cellStyle name="Normal 4 5 4 4 12" xfId="8504"/>
    <cellStyle name="Normal 4 5 4 4 13" xfId="8505"/>
    <cellStyle name="Normal 4 5 4 4 14" xfId="8506"/>
    <cellStyle name="Normal 4 5 4 4 15" xfId="2435"/>
    <cellStyle name="Normal 4 5 4 4 2" xfId="8501"/>
    <cellStyle name="Normal 4 5 4 4 3" xfId="8508"/>
    <cellStyle name="Normal 4 5 4 4 4" xfId="8509"/>
    <cellStyle name="Normal 4 5 4 4 5" xfId="8510"/>
    <cellStyle name="Normal 4 5 4 4 6" xfId="8511"/>
    <cellStyle name="Normal 4 5 4 4 7" xfId="8512"/>
    <cellStyle name="Normal 4 5 4 4 8" xfId="8513"/>
    <cellStyle name="Normal 4 5 4 4 9" xfId="8514"/>
    <cellStyle name="Normal 4 5 4 5" xfId="680"/>
    <cellStyle name="Normal 4 5 4 5 10" xfId="8516"/>
    <cellStyle name="Normal 4 5 4 5 11" xfId="8517"/>
    <cellStyle name="Normal 4 5 4 5 12" xfId="8518"/>
    <cellStyle name="Normal 4 5 4 5 13" xfId="8519"/>
    <cellStyle name="Normal 4 5 4 5 14" xfId="8520"/>
    <cellStyle name="Normal 4 5 4 5 15" xfId="2424"/>
    <cellStyle name="Normal 4 5 4 5 2" xfId="8515"/>
    <cellStyle name="Normal 4 5 4 5 3" xfId="8522"/>
    <cellStyle name="Normal 4 5 4 5 4" xfId="8523"/>
    <cellStyle name="Normal 4 5 4 5 5" xfId="8524"/>
    <cellStyle name="Normal 4 5 4 5 6" xfId="8525"/>
    <cellStyle name="Normal 4 5 4 5 7" xfId="8526"/>
    <cellStyle name="Normal 4 5 4 5 8" xfId="8527"/>
    <cellStyle name="Normal 4 5 4 5 9" xfId="8528"/>
    <cellStyle name="Normal 4 5 4 6" xfId="681"/>
    <cellStyle name="Normal 4 5 4 6 10" xfId="8530"/>
    <cellStyle name="Normal 4 5 4 6 11" xfId="8531"/>
    <cellStyle name="Normal 4 5 4 6 12" xfId="8532"/>
    <cellStyle name="Normal 4 5 4 6 13" xfId="8533"/>
    <cellStyle name="Normal 4 5 4 6 14" xfId="8534"/>
    <cellStyle name="Normal 4 5 4 6 15" xfId="2410"/>
    <cellStyle name="Normal 4 5 4 6 2" xfId="8529"/>
    <cellStyle name="Normal 4 5 4 6 3" xfId="8536"/>
    <cellStyle name="Normal 4 5 4 6 4" xfId="8537"/>
    <cellStyle name="Normal 4 5 4 6 5" xfId="8538"/>
    <cellStyle name="Normal 4 5 4 6 6" xfId="8539"/>
    <cellStyle name="Normal 4 5 4 6 7" xfId="8540"/>
    <cellStyle name="Normal 4 5 4 6 8" xfId="8541"/>
    <cellStyle name="Normal 4 5 4 6 9" xfId="8542"/>
    <cellStyle name="Normal 4 5 4 7" xfId="682"/>
    <cellStyle name="Normal 4 5 4 7 10" xfId="8544"/>
    <cellStyle name="Normal 4 5 4 7 11" xfId="8545"/>
    <cellStyle name="Normal 4 5 4 7 12" xfId="8546"/>
    <cellStyle name="Normal 4 5 4 7 13" xfId="8547"/>
    <cellStyle name="Normal 4 5 4 7 14" xfId="8548"/>
    <cellStyle name="Normal 4 5 4 7 15" xfId="2396"/>
    <cellStyle name="Normal 4 5 4 7 2" xfId="8543"/>
    <cellStyle name="Normal 4 5 4 7 3" xfId="8550"/>
    <cellStyle name="Normal 4 5 4 7 4" xfId="8551"/>
    <cellStyle name="Normal 4 5 4 7 5" xfId="8552"/>
    <cellStyle name="Normal 4 5 4 7 6" xfId="8553"/>
    <cellStyle name="Normal 4 5 4 7 7" xfId="8554"/>
    <cellStyle name="Normal 4 5 4 7 8" xfId="8555"/>
    <cellStyle name="Normal 4 5 4 7 9" xfId="8556"/>
    <cellStyle name="Normal 4 5 4 8" xfId="683"/>
    <cellStyle name="Normal 4 5 4 8 10" xfId="8558"/>
    <cellStyle name="Normal 4 5 4 8 11" xfId="8559"/>
    <cellStyle name="Normal 4 5 4 8 12" xfId="8560"/>
    <cellStyle name="Normal 4 5 4 8 13" xfId="8561"/>
    <cellStyle name="Normal 4 5 4 8 14" xfId="8562"/>
    <cellStyle name="Normal 4 5 4 8 15" xfId="2382"/>
    <cellStyle name="Normal 4 5 4 8 2" xfId="8557"/>
    <cellStyle name="Normal 4 5 4 8 3" xfId="8564"/>
    <cellStyle name="Normal 4 5 4 8 4" xfId="8565"/>
    <cellStyle name="Normal 4 5 4 8 5" xfId="8566"/>
    <cellStyle name="Normal 4 5 4 8 6" xfId="8567"/>
    <cellStyle name="Normal 4 5 4 8 7" xfId="8568"/>
    <cellStyle name="Normal 4 5 4 8 8" xfId="8569"/>
    <cellStyle name="Normal 4 5 4 8 9" xfId="8570"/>
    <cellStyle name="Normal 4 5 4 9" xfId="684"/>
    <cellStyle name="Normal 4 5 4 9 2" xfId="8571"/>
    <cellStyle name="Normal 4 5 4 9 3" xfId="2368"/>
    <cellStyle name="Normal 4 5 5" xfId="685"/>
    <cellStyle name="Normal 4 5 5 10" xfId="686"/>
    <cellStyle name="Normal 4 5 5 10 2" xfId="8573"/>
    <cellStyle name="Normal 4 5 5 10 3" xfId="2337"/>
    <cellStyle name="Normal 4 5 5 11" xfId="8572"/>
    <cellStyle name="Normal 4 5 5 12" xfId="8575"/>
    <cellStyle name="Normal 4 5 5 13" xfId="8576"/>
    <cellStyle name="Normal 4 5 5 14" xfId="8577"/>
    <cellStyle name="Normal 4 5 5 15" xfId="8578"/>
    <cellStyle name="Normal 4 5 5 16" xfId="8579"/>
    <cellStyle name="Normal 4 5 5 17" xfId="8580"/>
    <cellStyle name="Normal 4 5 5 18" xfId="8581"/>
    <cellStyle name="Normal 4 5 5 19" xfId="8582"/>
    <cellStyle name="Normal 4 5 5 2" xfId="687"/>
    <cellStyle name="Normal 4 5 5 2 10" xfId="8584"/>
    <cellStyle name="Normal 4 5 5 2 11" xfId="8585"/>
    <cellStyle name="Normal 4 5 5 2 12" xfId="8586"/>
    <cellStyle name="Normal 4 5 5 2 13" xfId="8587"/>
    <cellStyle name="Normal 4 5 5 2 14" xfId="8588"/>
    <cellStyle name="Normal 4 5 5 2 15" xfId="2322"/>
    <cellStyle name="Normal 4 5 5 2 2" xfId="8583"/>
    <cellStyle name="Normal 4 5 5 2 3" xfId="8590"/>
    <cellStyle name="Normal 4 5 5 2 4" xfId="8591"/>
    <cellStyle name="Normal 4 5 5 2 5" xfId="8592"/>
    <cellStyle name="Normal 4 5 5 2 6" xfId="8593"/>
    <cellStyle name="Normal 4 5 5 2 7" xfId="8594"/>
    <cellStyle name="Normal 4 5 5 2 8" xfId="8595"/>
    <cellStyle name="Normal 4 5 5 2 9" xfId="8596"/>
    <cellStyle name="Normal 4 5 5 20" xfId="8597"/>
    <cellStyle name="Normal 4 5 5 21" xfId="8598"/>
    <cellStyle name="Normal 4 5 5 22" xfId="8599"/>
    <cellStyle name="Normal 4 5 5 23" xfId="2354"/>
    <cellStyle name="Normal 4 5 5 3" xfId="688"/>
    <cellStyle name="Normal 4 5 5 3 10" xfId="8601"/>
    <cellStyle name="Normal 4 5 5 3 11" xfId="8602"/>
    <cellStyle name="Normal 4 5 5 3 12" xfId="8603"/>
    <cellStyle name="Normal 4 5 5 3 13" xfId="8604"/>
    <cellStyle name="Normal 4 5 5 3 14" xfId="8605"/>
    <cellStyle name="Normal 4 5 5 3 15" xfId="2303"/>
    <cellStyle name="Normal 4 5 5 3 2" xfId="8600"/>
    <cellStyle name="Normal 4 5 5 3 3" xfId="8607"/>
    <cellStyle name="Normal 4 5 5 3 4" xfId="8608"/>
    <cellStyle name="Normal 4 5 5 3 5" xfId="8609"/>
    <cellStyle name="Normal 4 5 5 3 6" xfId="8610"/>
    <cellStyle name="Normal 4 5 5 3 7" xfId="8611"/>
    <cellStyle name="Normal 4 5 5 3 8" xfId="8612"/>
    <cellStyle name="Normal 4 5 5 3 9" xfId="8613"/>
    <cellStyle name="Normal 4 5 5 4" xfId="689"/>
    <cellStyle name="Normal 4 5 5 4 10" xfId="8615"/>
    <cellStyle name="Normal 4 5 5 4 11" xfId="8616"/>
    <cellStyle name="Normal 4 5 5 4 12" xfId="8617"/>
    <cellStyle name="Normal 4 5 5 4 13" xfId="8618"/>
    <cellStyle name="Normal 4 5 5 4 14" xfId="8619"/>
    <cellStyle name="Normal 4 5 5 4 15" xfId="2289"/>
    <cellStyle name="Normal 4 5 5 4 2" xfId="8614"/>
    <cellStyle name="Normal 4 5 5 4 3" xfId="8621"/>
    <cellStyle name="Normal 4 5 5 4 4" xfId="8622"/>
    <cellStyle name="Normal 4 5 5 4 5" xfId="8623"/>
    <cellStyle name="Normal 4 5 5 4 6" xfId="8624"/>
    <cellStyle name="Normal 4 5 5 4 7" xfId="8625"/>
    <cellStyle name="Normal 4 5 5 4 8" xfId="8626"/>
    <cellStyle name="Normal 4 5 5 4 9" xfId="8627"/>
    <cellStyle name="Normal 4 5 5 5" xfId="690"/>
    <cellStyle name="Normal 4 5 5 5 10" xfId="8629"/>
    <cellStyle name="Normal 4 5 5 5 11" xfId="8630"/>
    <cellStyle name="Normal 4 5 5 5 12" xfId="8631"/>
    <cellStyle name="Normal 4 5 5 5 13" xfId="8632"/>
    <cellStyle name="Normal 4 5 5 5 14" xfId="8633"/>
    <cellStyle name="Normal 4 5 5 5 15" xfId="2275"/>
    <cellStyle name="Normal 4 5 5 5 2" xfId="8628"/>
    <cellStyle name="Normal 4 5 5 5 3" xfId="8635"/>
    <cellStyle name="Normal 4 5 5 5 4" xfId="8636"/>
    <cellStyle name="Normal 4 5 5 5 5" xfId="8637"/>
    <cellStyle name="Normal 4 5 5 5 6" xfId="8638"/>
    <cellStyle name="Normal 4 5 5 5 7" xfId="8639"/>
    <cellStyle name="Normal 4 5 5 5 8" xfId="8640"/>
    <cellStyle name="Normal 4 5 5 5 9" xfId="8641"/>
    <cellStyle name="Normal 4 5 5 6" xfId="691"/>
    <cellStyle name="Normal 4 5 5 6 10" xfId="8643"/>
    <cellStyle name="Normal 4 5 5 6 11" xfId="8644"/>
    <cellStyle name="Normal 4 5 5 6 12" xfId="8645"/>
    <cellStyle name="Normal 4 5 5 6 13" xfId="8646"/>
    <cellStyle name="Normal 4 5 5 6 14" xfId="8647"/>
    <cellStyle name="Normal 4 5 5 6 15" xfId="2261"/>
    <cellStyle name="Normal 4 5 5 6 2" xfId="8642"/>
    <cellStyle name="Normal 4 5 5 6 3" xfId="8649"/>
    <cellStyle name="Normal 4 5 5 6 4" xfId="8650"/>
    <cellStyle name="Normal 4 5 5 6 5" xfId="8651"/>
    <cellStyle name="Normal 4 5 5 6 6" xfId="8652"/>
    <cellStyle name="Normal 4 5 5 6 7" xfId="8653"/>
    <cellStyle name="Normal 4 5 5 6 8" xfId="8654"/>
    <cellStyle name="Normal 4 5 5 6 9" xfId="8655"/>
    <cellStyle name="Normal 4 5 5 7" xfId="692"/>
    <cellStyle name="Normal 4 5 5 7 10" xfId="8657"/>
    <cellStyle name="Normal 4 5 5 7 11" xfId="8658"/>
    <cellStyle name="Normal 4 5 5 7 12" xfId="8659"/>
    <cellStyle name="Normal 4 5 5 7 13" xfId="8660"/>
    <cellStyle name="Normal 4 5 5 7 14" xfId="8661"/>
    <cellStyle name="Normal 4 5 5 7 15" xfId="2247"/>
    <cellStyle name="Normal 4 5 5 7 2" xfId="8656"/>
    <cellStyle name="Normal 4 5 5 7 3" xfId="8663"/>
    <cellStyle name="Normal 4 5 5 7 4" xfId="8664"/>
    <cellStyle name="Normal 4 5 5 7 5" xfId="8665"/>
    <cellStyle name="Normal 4 5 5 7 6" xfId="8666"/>
    <cellStyle name="Normal 4 5 5 7 7" xfId="8667"/>
    <cellStyle name="Normal 4 5 5 7 8" xfId="8668"/>
    <cellStyle name="Normal 4 5 5 7 9" xfId="8669"/>
    <cellStyle name="Normal 4 5 5 8" xfId="693"/>
    <cellStyle name="Normal 4 5 5 8 10" xfId="8671"/>
    <cellStyle name="Normal 4 5 5 8 11" xfId="8672"/>
    <cellStyle name="Normal 4 5 5 8 12" xfId="8673"/>
    <cellStyle name="Normal 4 5 5 8 13" xfId="8674"/>
    <cellStyle name="Normal 4 5 5 8 14" xfId="8675"/>
    <cellStyle name="Normal 4 5 5 8 15" xfId="2233"/>
    <cellStyle name="Normal 4 5 5 8 2" xfId="8670"/>
    <cellStyle name="Normal 4 5 5 8 3" xfId="8677"/>
    <cellStyle name="Normal 4 5 5 8 4" xfId="8678"/>
    <cellStyle name="Normal 4 5 5 8 5" xfId="8679"/>
    <cellStyle name="Normal 4 5 5 8 6" xfId="8680"/>
    <cellStyle name="Normal 4 5 5 8 7" xfId="8681"/>
    <cellStyle name="Normal 4 5 5 8 8" xfId="8682"/>
    <cellStyle name="Normal 4 5 5 8 9" xfId="8683"/>
    <cellStyle name="Normal 4 5 5 9" xfId="694"/>
    <cellStyle name="Normal 4 5 5 9 2" xfId="8684"/>
    <cellStyle name="Normal 4 5 5 9 3" xfId="2216"/>
    <cellStyle name="Normal 4 5 6" xfId="695"/>
    <cellStyle name="Normal 4 5 6 10" xfId="696"/>
    <cellStyle name="Normal 4 5 6 10 2" xfId="8686"/>
    <cellStyle name="Normal 4 5 6 10 3" xfId="2195"/>
    <cellStyle name="Normal 4 5 6 11" xfId="8685"/>
    <cellStyle name="Normal 4 5 6 12" xfId="8688"/>
    <cellStyle name="Normal 4 5 6 13" xfId="8689"/>
    <cellStyle name="Normal 4 5 6 14" xfId="8690"/>
    <cellStyle name="Normal 4 5 6 15" xfId="8691"/>
    <cellStyle name="Normal 4 5 6 16" xfId="8692"/>
    <cellStyle name="Normal 4 5 6 17" xfId="8693"/>
    <cellStyle name="Normal 4 5 6 18" xfId="8694"/>
    <cellStyle name="Normal 4 5 6 19" xfId="8695"/>
    <cellStyle name="Normal 4 5 6 2" xfId="697"/>
    <cellStyle name="Normal 4 5 6 2 10" xfId="8697"/>
    <cellStyle name="Normal 4 5 6 2 11" xfId="8698"/>
    <cellStyle name="Normal 4 5 6 2 12" xfId="8699"/>
    <cellStyle name="Normal 4 5 6 2 13" xfId="8700"/>
    <cellStyle name="Normal 4 5 6 2 14" xfId="8701"/>
    <cellStyle name="Normal 4 5 6 2 15" xfId="2185"/>
    <cellStyle name="Normal 4 5 6 2 2" xfId="8696"/>
    <cellStyle name="Normal 4 5 6 2 3" xfId="8703"/>
    <cellStyle name="Normal 4 5 6 2 4" xfId="8704"/>
    <cellStyle name="Normal 4 5 6 2 5" xfId="8705"/>
    <cellStyle name="Normal 4 5 6 2 6" xfId="8706"/>
    <cellStyle name="Normal 4 5 6 2 7" xfId="8707"/>
    <cellStyle name="Normal 4 5 6 2 8" xfId="8708"/>
    <cellStyle name="Normal 4 5 6 2 9" xfId="8709"/>
    <cellStyle name="Normal 4 5 6 20" xfId="8710"/>
    <cellStyle name="Normal 4 5 6 21" xfId="8711"/>
    <cellStyle name="Normal 4 5 6 22" xfId="8712"/>
    <cellStyle name="Normal 4 5 6 23" xfId="2201"/>
    <cellStyle name="Normal 4 5 6 3" xfId="698"/>
    <cellStyle name="Normal 4 5 6 3 10" xfId="8714"/>
    <cellStyle name="Normal 4 5 6 3 11" xfId="8715"/>
    <cellStyle name="Normal 4 5 6 3 12" xfId="8716"/>
    <cellStyle name="Normal 4 5 6 3 13" xfId="8717"/>
    <cellStyle name="Normal 4 5 6 3 14" xfId="8718"/>
    <cellStyle name="Normal 4 5 6 3 15" xfId="2171"/>
    <cellStyle name="Normal 4 5 6 3 2" xfId="8713"/>
    <cellStyle name="Normal 4 5 6 3 3" xfId="8720"/>
    <cellStyle name="Normal 4 5 6 3 4" xfId="8721"/>
    <cellStyle name="Normal 4 5 6 3 5" xfId="8722"/>
    <cellStyle name="Normal 4 5 6 3 6" xfId="8723"/>
    <cellStyle name="Normal 4 5 6 3 7" xfId="8724"/>
    <cellStyle name="Normal 4 5 6 3 8" xfId="8725"/>
    <cellStyle name="Normal 4 5 6 3 9" xfId="8726"/>
    <cellStyle name="Normal 4 5 6 4" xfId="699"/>
    <cellStyle name="Normal 4 5 6 4 10" xfId="8728"/>
    <cellStyle name="Normal 4 5 6 4 11" xfId="8729"/>
    <cellStyle name="Normal 4 5 6 4 12" xfId="8730"/>
    <cellStyle name="Normal 4 5 6 4 13" xfId="8731"/>
    <cellStyle name="Normal 4 5 6 4 14" xfId="8732"/>
    <cellStyle name="Normal 4 5 6 4 15" xfId="2157"/>
    <cellStyle name="Normal 4 5 6 4 2" xfId="8727"/>
    <cellStyle name="Normal 4 5 6 4 3" xfId="8734"/>
    <cellStyle name="Normal 4 5 6 4 4" xfId="8735"/>
    <cellStyle name="Normal 4 5 6 4 5" xfId="8736"/>
    <cellStyle name="Normal 4 5 6 4 6" xfId="8737"/>
    <cellStyle name="Normal 4 5 6 4 7" xfId="8738"/>
    <cellStyle name="Normal 4 5 6 4 8" xfId="8739"/>
    <cellStyle name="Normal 4 5 6 4 9" xfId="8740"/>
    <cellStyle name="Normal 4 5 6 5" xfId="700"/>
    <cellStyle name="Normal 4 5 6 5 10" xfId="8742"/>
    <cellStyle name="Normal 4 5 6 5 11" xfId="8743"/>
    <cellStyle name="Normal 4 5 6 5 12" xfId="8744"/>
    <cellStyle name="Normal 4 5 6 5 13" xfId="8745"/>
    <cellStyle name="Normal 4 5 6 5 14" xfId="8746"/>
    <cellStyle name="Normal 4 5 6 5 15" xfId="2143"/>
    <cellStyle name="Normal 4 5 6 5 2" xfId="8741"/>
    <cellStyle name="Normal 4 5 6 5 3" xfId="8748"/>
    <cellStyle name="Normal 4 5 6 5 4" xfId="8749"/>
    <cellStyle name="Normal 4 5 6 5 5" xfId="8750"/>
    <cellStyle name="Normal 4 5 6 5 6" xfId="8751"/>
    <cellStyle name="Normal 4 5 6 5 7" xfId="8752"/>
    <cellStyle name="Normal 4 5 6 5 8" xfId="8753"/>
    <cellStyle name="Normal 4 5 6 5 9" xfId="8754"/>
    <cellStyle name="Normal 4 5 6 6" xfId="701"/>
    <cellStyle name="Normal 4 5 6 6 10" xfId="8756"/>
    <cellStyle name="Normal 4 5 6 6 11" xfId="8757"/>
    <cellStyle name="Normal 4 5 6 6 12" xfId="8758"/>
    <cellStyle name="Normal 4 5 6 6 13" xfId="8759"/>
    <cellStyle name="Normal 4 5 6 6 14" xfId="8760"/>
    <cellStyle name="Normal 4 5 6 6 15" xfId="2134"/>
    <cellStyle name="Normal 4 5 6 6 2" xfId="8755"/>
    <cellStyle name="Normal 4 5 6 6 3" xfId="8762"/>
    <cellStyle name="Normal 4 5 6 6 4" xfId="8763"/>
    <cellStyle name="Normal 4 5 6 6 5" xfId="8764"/>
    <cellStyle name="Normal 4 5 6 6 6" xfId="8765"/>
    <cellStyle name="Normal 4 5 6 6 7" xfId="8766"/>
    <cellStyle name="Normal 4 5 6 6 8" xfId="8767"/>
    <cellStyle name="Normal 4 5 6 6 9" xfId="8768"/>
    <cellStyle name="Normal 4 5 6 7" xfId="702"/>
    <cellStyle name="Normal 4 5 6 7 10" xfId="8770"/>
    <cellStyle name="Normal 4 5 6 7 11" xfId="8771"/>
    <cellStyle name="Normal 4 5 6 7 12" xfId="8772"/>
    <cellStyle name="Normal 4 5 6 7 13" xfId="8773"/>
    <cellStyle name="Normal 4 5 6 7 14" xfId="8774"/>
    <cellStyle name="Normal 4 5 6 7 15" xfId="2124"/>
    <cellStyle name="Normal 4 5 6 7 2" xfId="8769"/>
    <cellStyle name="Normal 4 5 6 7 3" xfId="8776"/>
    <cellStyle name="Normal 4 5 6 7 4" xfId="8777"/>
    <cellStyle name="Normal 4 5 6 7 5" xfId="8778"/>
    <cellStyle name="Normal 4 5 6 7 6" xfId="8779"/>
    <cellStyle name="Normal 4 5 6 7 7" xfId="8780"/>
    <cellStyle name="Normal 4 5 6 7 8" xfId="8781"/>
    <cellStyle name="Normal 4 5 6 7 9" xfId="8782"/>
    <cellStyle name="Normal 4 5 6 8" xfId="703"/>
    <cellStyle name="Normal 4 5 6 8 10" xfId="8784"/>
    <cellStyle name="Normal 4 5 6 8 11" xfId="8785"/>
    <cellStyle name="Normal 4 5 6 8 12" xfId="8786"/>
    <cellStyle name="Normal 4 5 6 8 13" xfId="8787"/>
    <cellStyle name="Normal 4 5 6 8 14" xfId="8788"/>
    <cellStyle name="Normal 4 5 6 8 15" xfId="2110"/>
    <cellStyle name="Normal 4 5 6 8 2" xfId="8783"/>
    <cellStyle name="Normal 4 5 6 8 3" xfId="8790"/>
    <cellStyle name="Normal 4 5 6 8 4" xfId="8791"/>
    <cellStyle name="Normal 4 5 6 8 5" xfId="8792"/>
    <cellStyle name="Normal 4 5 6 8 6" xfId="8793"/>
    <cellStyle name="Normal 4 5 6 8 7" xfId="8794"/>
    <cellStyle name="Normal 4 5 6 8 8" xfId="8795"/>
    <cellStyle name="Normal 4 5 6 8 9" xfId="8796"/>
    <cellStyle name="Normal 4 5 6 9" xfId="704"/>
    <cellStyle name="Normal 4 5 6 9 2" xfId="8797"/>
    <cellStyle name="Normal 4 5 6 9 3" xfId="2096"/>
    <cellStyle name="Normal 4 5 7" xfId="705"/>
    <cellStyle name="Normal 4 5 7 10" xfId="8799"/>
    <cellStyle name="Normal 4 5 7 11" xfId="8800"/>
    <cellStyle name="Normal 4 5 7 12" xfId="8801"/>
    <cellStyle name="Normal 4 5 7 13" xfId="8802"/>
    <cellStyle name="Normal 4 5 7 14" xfId="8803"/>
    <cellStyle name="Normal 4 5 7 15" xfId="2082"/>
    <cellStyle name="Normal 4 5 7 2" xfId="8798"/>
    <cellStyle name="Normal 4 5 7 3" xfId="8805"/>
    <cellStyle name="Normal 4 5 7 4" xfId="8806"/>
    <cellStyle name="Normal 4 5 7 5" xfId="8807"/>
    <cellStyle name="Normal 4 5 7 6" xfId="8808"/>
    <cellStyle name="Normal 4 5 7 7" xfId="8809"/>
    <cellStyle name="Normal 4 5 7 8" xfId="8810"/>
    <cellStyle name="Normal 4 5 7 9" xfId="8811"/>
    <cellStyle name="Normal 4 5 8" xfId="706"/>
    <cellStyle name="Normal 4 5 8 10" xfId="8813"/>
    <cellStyle name="Normal 4 5 8 11" xfId="8814"/>
    <cellStyle name="Normal 4 5 8 12" xfId="8815"/>
    <cellStyle name="Normal 4 5 8 13" xfId="8816"/>
    <cellStyle name="Normal 4 5 8 14" xfId="8817"/>
    <cellStyle name="Normal 4 5 8 15" xfId="2068"/>
    <cellStyle name="Normal 4 5 8 2" xfId="8812"/>
    <cellStyle name="Normal 4 5 8 3" xfId="8819"/>
    <cellStyle name="Normal 4 5 8 4" xfId="8820"/>
    <cellStyle name="Normal 4 5 8 5" xfId="8821"/>
    <cellStyle name="Normal 4 5 8 6" xfId="8822"/>
    <cellStyle name="Normal 4 5 8 7" xfId="8823"/>
    <cellStyle name="Normal 4 5 8 8" xfId="8824"/>
    <cellStyle name="Normal 4 5 8 9" xfId="8825"/>
    <cellStyle name="Normal 4 5 9" xfId="707"/>
    <cellStyle name="Normal 4 5 9 10" xfId="8827"/>
    <cellStyle name="Normal 4 5 9 11" xfId="8828"/>
    <cellStyle name="Normal 4 5 9 12" xfId="8829"/>
    <cellStyle name="Normal 4 5 9 13" xfId="8830"/>
    <cellStyle name="Normal 4 5 9 14" xfId="8831"/>
    <cellStyle name="Normal 4 5 9 15" xfId="2054"/>
    <cellStyle name="Normal 4 5 9 2" xfId="8826"/>
    <cellStyle name="Normal 4 5 9 3" xfId="8833"/>
    <cellStyle name="Normal 4 5 9 4" xfId="8834"/>
    <cellStyle name="Normal 4 5 9 5" xfId="8835"/>
    <cellStyle name="Normal 4 5 9 6" xfId="8836"/>
    <cellStyle name="Normal 4 5 9 7" xfId="8837"/>
    <cellStyle name="Normal 4 5 9 8" xfId="8838"/>
    <cellStyle name="Normal 4 5 9 9" xfId="8839"/>
    <cellStyle name="Normal 4 6" xfId="708"/>
    <cellStyle name="Normal 4 6 10" xfId="709"/>
    <cellStyle name="Normal 4 6 10 10" xfId="8842"/>
    <cellStyle name="Normal 4 6 10 11" xfId="8843"/>
    <cellStyle name="Normal 4 6 10 12" xfId="8844"/>
    <cellStyle name="Normal 4 6 10 13" xfId="8845"/>
    <cellStyle name="Normal 4 6 10 14" xfId="8846"/>
    <cellStyle name="Normal 4 6 10 15" xfId="2024"/>
    <cellStyle name="Normal 4 6 10 2" xfId="8841"/>
    <cellStyle name="Normal 4 6 10 3" xfId="8848"/>
    <cellStyle name="Normal 4 6 10 4" xfId="8849"/>
    <cellStyle name="Normal 4 6 10 5" xfId="8850"/>
    <cellStyle name="Normal 4 6 10 6" xfId="8851"/>
    <cellStyle name="Normal 4 6 10 7" xfId="8852"/>
    <cellStyle name="Normal 4 6 10 8" xfId="8853"/>
    <cellStyle name="Normal 4 6 10 9" xfId="8854"/>
    <cellStyle name="Normal 4 6 11" xfId="710"/>
    <cellStyle name="Normal 4 6 11 10" xfId="8856"/>
    <cellStyle name="Normal 4 6 11 11" xfId="8857"/>
    <cellStyle name="Normal 4 6 11 12" xfId="8858"/>
    <cellStyle name="Normal 4 6 11 13" xfId="8859"/>
    <cellStyle name="Normal 4 6 11 14" xfId="8860"/>
    <cellStyle name="Normal 4 6 11 15" xfId="2010"/>
    <cellStyle name="Normal 4 6 11 2" xfId="8855"/>
    <cellStyle name="Normal 4 6 11 3" xfId="8862"/>
    <cellStyle name="Normal 4 6 11 4" xfId="8863"/>
    <cellStyle name="Normal 4 6 11 5" xfId="8864"/>
    <cellStyle name="Normal 4 6 11 6" xfId="8865"/>
    <cellStyle name="Normal 4 6 11 7" xfId="8866"/>
    <cellStyle name="Normal 4 6 11 8" xfId="8867"/>
    <cellStyle name="Normal 4 6 11 9" xfId="8868"/>
    <cellStyle name="Normal 4 6 12" xfId="711"/>
    <cellStyle name="Normal 4 6 12 10" xfId="8870"/>
    <cellStyle name="Normal 4 6 12 11" xfId="8871"/>
    <cellStyle name="Normal 4 6 12 12" xfId="8872"/>
    <cellStyle name="Normal 4 6 12 13" xfId="8873"/>
    <cellStyle name="Normal 4 6 12 14" xfId="8874"/>
    <cellStyle name="Normal 4 6 12 15" xfId="1996"/>
    <cellStyle name="Normal 4 6 12 2" xfId="8869"/>
    <cellStyle name="Normal 4 6 12 3" xfId="8876"/>
    <cellStyle name="Normal 4 6 12 4" xfId="8877"/>
    <cellStyle name="Normal 4 6 12 5" xfId="8878"/>
    <cellStyle name="Normal 4 6 12 6" xfId="8879"/>
    <cellStyle name="Normal 4 6 12 7" xfId="8880"/>
    <cellStyle name="Normal 4 6 12 8" xfId="8881"/>
    <cellStyle name="Normal 4 6 12 9" xfId="8882"/>
    <cellStyle name="Normal 4 6 13" xfId="712"/>
    <cellStyle name="Normal 4 6 13 10" xfId="8884"/>
    <cellStyle name="Normal 4 6 13 11" xfId="8885"/>
    <cellStyle name="Normal 4 6 13 12" xfId="8886"/>
    <cellStyle name="Normal 4 6 13 13" xfId="8887"/>
    <cellStyle name="Normal 4 6 13 14" xfId="8888"/>
    <cellStyle name="Normal 4 6 13 15" xfId="1982"/>
    <cellStyle name="Normal 4 6 13 2" xfId="8883"/>
    <cellStyle name="Normal 4 6 13 3" xfId="8890"/>
    <cellStyle name="Normal 4 6 13 4" xfId="8891"/>
    <cellStyle name="Normal 4 6 13 5" xfId="8892"/>
    <cellStyle name="Normal 4 6 13 6" xfId="8893"/>
    <cellStyle name="Normal 4 6 13 7" xfId="8894"/>
    <cellStyle name="Normal 4 6 13 8" xfId="8895"/>
    <cellStyle name="Normal 4 6 13 9" xfId="8896"/>
    <cellStyle name="Normal 4 6 14" xfId="713"/>
    <cellStyle name="Normal 4 6 14 2" xfId="8897"/>
    <cellStyle name="Normal 4 6 14 3" xfId="1968"/>
    <cellStyle name="Normal 4 6 15" xfId="714"/>
    <cellStyle name="Normal 4 6 15 2" xfId="8898"/>
    <cellStyle name="Normal 4 6 15 3" xfId="1954"/>
    <cellStyle name="Normal 4 6 16" xfId="8840"/>
    <cellStyle name="Normal 4 6 17" xfId="8900"/>
    <cellStyle name="Normal 4 6 18" xfId="8901"/>
    <cellStyle name="Normal 4 6 19" xfId="8902"/>
    <cellStyle name="Normal 4 6 2" xfId="715"/>
    <cellStyle name="Normal 4 6 2 10" xfId="716"/>
    <cellStyle name="Normal 4 6 2 10 2" xfId="8904"/>
    <cellStyle name="Normal 4 6 2 10 3" xfId="1925"/>
    <cellStyle name="Normal 4 6 2 11" xfId="8903"/>
    <cellStyle name="Normal 4 6 2 12" xfId="8906"/>
    <cellStyle name="Normal 4 6 2 13" xfId="8907"/>
    <cellStyle name="Normal 4 6 2 14" xfId="8908"/>
    <cellStyle name="Normal 4 6 2 15" xfId="8909"/>
    <cellStyle name="Normal 4 6 2 16" xfId="8910"/>
    <cellStyle name="Normal 4 6 2 17" xfId="8911"/>
    <cellStyle name="Normal 4 6 2 18" xfId="8912"/>
    <cellStyle name="Normal 4 6 2 19" xfId="8913"/>
    <cellStyle name="Normal 4 6 2 2" xfId="717"/>
    <cellStyle name="Normal 4 6 2 2 10" xfId="8915"/>
    <cellStyle name="Normal 4 6 2 2 11" xfId="8916"/>
    <cellStyle name="Normal 4 6 2 2 12" xfId="8917"/>
    <cellStyle name="Normal 4 6 2 2 13" xfId="8918"/>
    <cellStyle name="Normal 4 6 2 2 14" xfId="8919"/>
    <cellStyle name="Normal 4 6 2 2 15" xfId="1911"/>
    <cellStyle name="Normal 4 6 2 2 2" xfId="8914"/>
    <cellStyle name="Normal 4 6 2 2 3" xfId="8921"/>
    <cellStyle name="Normal 4 6 2 2 4" xfId="8922"/>
    <cellStyle name="Normal 4 6 2 2 5" xfId="8923"/>
    <cellStyle name="Normal 4 6 2 2 6" xfId="8924"/>
    <cellStyle name="Normal 4 6 2 2 7" xfId="8925"/>
    <cellStyle name="Normal 4 6 2 2 8" xfId="8926"/>
    <cellStyle name="Normal 4 6 2 2 9" xfId="8927"/>
    <cellStyle name="Normal 4 6 2 20" xfId="8928"/>
    <cellStyle name="Normal 4 6 2 21" xfId="8929"/>
    <cellStyle name="Normal 4 6 2 22" xfId="8930"/>
    <cellStyle name="Normal 4 6 2 23" xfId="1939"/>
    <cellStyle name="Normal 4 6 2 3" xfId="718"/>
    <cellStyle name="Normal 4 6 2 3 10" xfId="8932"/>
    <cellStyle name="Normal 4 6 2 3 11" xfId="8933"/>
    <cellStyle name="Normal 4 6 2 3 12" xfId="8934"/>
    <cellStyle name="Normal 4 6 2 3 13" xfId="8935"/>
    <cellStyle name="Normal 4 6 2 3 14" xfId="8936"/>
    <cellStyle name="Normal 4 6 2 3 15" xfId="1897"/>
    <cellStyle name="Normal 4 6 2 3 2" xfId="8931"/>
    <cellStyle name="Normal 4 6 2 3 3" xfId="8938"/>
    <cellStyle name="Normal 4 6 2 3 4" xfId="8939"/>
    <cellStyle name="Normal 4 6 2 3 5" xfId="8940"/>
    <cellStyle name="Normal 4 6 2 3 6" xfId="8941"/>
    <cellStyle name="Normal 4 6 2 3 7" xfId="8942"/>
    <cellStyle name="Normal 4 6 2 3 8" xfId="8943"/>
    <cellStyle name="Normal 4 6 2 3 9" xfId="8944"/>
    <cellStyle name="Normal 4 6 2 4" xfId="719"/>
    <cellStyle name="Normal 4 6 2 4 10" xfId="8946"/>
    <cellStyle name="Normal 4 6 2 4 11" xfId="8947"/>
    <cellStyle name="Normal 4 6 2 4 12" xfId="8948"/>
    <cellStyle name="Normal 4 6 2 4 13" xfId="8949"/>
    <cellStyle name="Normal 4 6 2 4 14" xfId="8950"/>
    <cellStyle name="Normal 4 6 2 4 15" xfId="1883"/>
    <cellStyle name="Normal 4 6 2 4 2" xfId="8945"/>
    <cellStyle name="Normal 4 6 2 4 3" xfId="8952"/>
    <cellStyle name="Normal 4 6 2 4 4" xfId="8953"/>
    <cellStyle name="Normal 4 6 2 4 5" xfId="8954"/>
    <cellStyle name="Normal 4 6 2 4 6" xfId="8955"/>
    <cellStyle name="Normal 4 6 2 4 7" xfId="8956"/>
    <cellStyle name="Normal 4 6 2 4 8" xfId="8957"/>
    <cellStyle name="Normal 4 6 2 4 9" xfId="8958"/>
    <cellStyle name="Normal 4 6 2 5" xfId="720"/>
    <cellStyle name="Normal 4 6 2 5 10" xfId="8960"/>
    <cellStyle name="Normal 4 6 2 5 11" xfId="8961"/>
    <cellStyle name="Normal 4 6 2 5 12" xfId="8962"/>
    <cellStyle name="Normal 4 6 2 5 13" xfId="8963"/>
    <cellStyle name="Normal 4 6 2 5 14" xfId="8964"/>
    <cellStyle name="Normal 4 6 2 5 15" xfId="1869"/>
    <cellStyle name="Normal 4 6 2 5 2" xfId="8959"/>
    <cellStyle name="Normal 4 6 2 5 3" xfId="8966"/>
    <cellStyle name="Normal 4 6 2 5 4" xfId="8967"/>
    <cellStyle name="Normal 4 6 2 5 5" xfId="8968"/>
    <cellStyle name="Normal 4 6 2 5 6" xfId="8969"/>
    <cellStyle name="Normal 4 6 2 5 7" xfId="8970"/>
    <cellStyle name="Normal 4 6 2 5 8" xfId="8971"/>
    <cellStyle name="Normal 4 6 2 5 9" xfId="8972"/>
    <cellStyle name="Normal 4 6 2 6" xfId="721"/>
    <cellStyle name="Normal 4 6 2 6 10" xfId="8974"/>
    <cellStyle name="Normal 4 6 2 6 11" xfId="8975"/>
    <cellStyle name="Normal 4 6 2 6 12" xfId="8976"/>
    <cellStyle name="Normal 4 6 2 6 13" xfId="8977"/>
    <cellStyle name="Normal 4 6 2 6 14" xfId="8978"/>
    <cellStyle name="Normal 4 6 2 6 15" xfId="1852"/>
    <cellStyle name="Normal 4 6 2 6 2" xfId="8973"/>
    <cellStyle name="Normal 4 6 2 6 3" xfId="8980"/>
    <cellStyle name="Normal 4 6 2 6 4" xfId="8981"/>
    <cellStyle name="Normal 4 6 2 6 5" xfId="8982"/>
    <cellStyle name="Normal 4 6 2 6 6" xfId="8983"/>
    <cellStyle name="Normal 4 6 2 6 7" xfId="8984"/>
    <cellStyle name="Normal 4 6 2 6 8" xfId="8985"/>
    <cellStyle name="Normal 4 6 2 6 9" xfId="8986"/>
    <cellStyle name="Normal 4 6 2 7" xfId="722"/>
    <cellStyle name="Normal 4 6 2 7 10" xfId="8988"/>
    <cellStyle name="Normal 4 6 2 7 11" xfId="8989"/>
    <cellStyle name="Normal 4 6 2 7 12" xfId="8990"/>
    <cellStyle name="Normal 4 6 2 7 13" xfId="8991"/>
    <cellStyle name="Normal 4 6 2 7 14" xfId="8992"/>
    <cellStyle name="Normal 4 6 2 7 15" xfId="1837"/>
    <cellStyle name="Normal 4 6 2 7 2" xfId="8987"/>
    <cellStyle name="Normal 4 6 2 7 3" xfId="8994"/>
    <cellStyle name="Normal 4 6 2 7 4" xfId="8995"/>
    <cellStyle name="Normal 4 6 2 7 5" xfId="8996"/>
    <cellStyle name="Normal 4 6 2 7 6" xfId="8997"/>
    <cellStyle name="Normal 4 6 2 7 7" xfId="8998"/>
    <cellStyle name="Normal 4 6 2 7 8" xfId="8999"/>
    <cellStyle name="Normal 4 6 2 7 9" xfId="9000"/>
    <cellStyle name="Normal 4 6 2 8" xfId="723"/>
    <cellStyle name="Normal 4 6 2 8 10" xfId="9002"/>
    <cellStyle name="Normal 4 6 2 8 11" xfId="9003"/>
    <cellStyle name="Normal 4 6 2 8 12" xfId="9004"/>
    <cellStyle name="Normal 4 6 2 8 13" xfId="9005"/>
    <cellStyle name="Normal 4 6 2 8 14" xfId="9006"/>
    <cellStyle name="Normal 4 6 2 8 15" xfId="1826"/>
    <cellStyle name="Normal 4 6 2 8 2" xfId="9001"/>
    <cellStyle name="Normal 4 6 2 8 3" xfId="9008"/>
    <cellStyle name="Normal 4 6 2 8 4" xfId="9009"/>
    <cellStyle name="Normal 4 6 2 8 5" xfId="9010"/>
    <cellStyle name="Normal 4 6 2 8 6" xfId="9011"/>
    <cellStyle name="Normal 4 6 2 8 7" xfId="9012"/>
    <cellStyle name="Normal 4 6 2 8 8" xfId="9013"/>
    <cellStyle name="Normal 4 6 2 8 9" xfId="9014"/>
    <cellStyle name="Normal 4 6 2 9" xfId="724"/>
    <cellStyle name="Normal 4 6 2 9 2" xfId="9015"/>
    <cellStyle name="Normal 4 6 2 9 3" xfId="1812"/>
    <cellStyle name="Normal 4 6 20" xfId="9016"/>
    <cellStyle name="Normal 4 6 21" xfId="9017"/>
    <cellStyle name="Normal 4 6 22" xfId="9018"/>
    <cellStyle name="Normal 4 6 23" xfId="9019"/>
    <cellStyle name="Normal 4 6 24" xfId="9020"/>
    <cellStyle name="Normal 4 6 25" xfId="9021"/>
    <cellStyle name="Normal 4 6 26" xfId="9022"/>
    <cellStyle name="Normal 4 6 27" xfId="9023"/>
    <cellStyle name="Normal 4 6 28" xfId="2038"/>
    <cellStyle name="Normal 4 6 29" xfId="12085"/>
    <cellStyle name="Normal 4 6 3" xfId="725"/>
    <cellStyle name="Normal 4 6 3 10" xfId="726"/>
    <cellStyle name="Normal 4 6 3 10 2" xfId="9025"/>
    <cellStyle name="Normal 4 6 3 10 3" xfId="1784"/>
    <cellStyle name="Normal 4 6 3 11" xfId="9024"/>
    <cellStyle name="Normal 4 6 3 12" xfId="9027"/>
    <cellStyle name="Normal 4 6 3 13" xfId="9028"/>
    <cellStyle name="Normal 4 6 3 14" xfId="9029"/>
    <cellStyle name="Normal 4 6 3 15" xfId="9030"/>
    <cellStyle name="Normal 4 6 3 16" xfId="9031"/>
    <cellStyle name="Normal 4 6 3 17" xfId="9032"/>
    <cellStyle name="Normal 4 6 3 18" xfId="9033"/>
    <cellStyle name="Normal 4 6 3 19" xfId="9034"/>
    <cellStyle name="Normal 4 6 3 2" xfId="727"/>
    <cellStyle name="Normal 4 6 3 2 10" xfId="9036"/>
    <cellStyle name="Normal 4 6 3 2 11" xfId="9037"/>
    <cellStyle name="Normal 4 6 3 2 12" xfId="9038"/>
    <cellStyle name="Normal 4 6 3 2 13" xfId="9039"/>
    <cellStyle name="Normal 4 6 3 2 14" xfId="9040"/>
    <cellStyle name="Normal 4 6 3 2 15" xfId="1770"/>
    <cellStyle name="Normal 4 6 3 2 2" xfId="9035"/>
    <cellStyle name="Normal 4 6 3 2 3" xfId="9042"/>
    <cellStyle name="Normal 4 6 3 2 4" xfId="9043"/>
    <cellStyle name="Normal 4 6 3 2 5" xfId="9044"/>
    <cellStyle name="Normal 4 6 3 2 6" xfId="9045"/>
    <cellStyle name="Normal 4 6 3 2 7" xfId="9046"/>
    <cellStyle name="Normal 4 6 3 2 8" xfId="9047"/>
    <cellStyle name="Normal 4 6 3 2 9" xfId="9048"/>
    <cellStyle name="Normal 4 6 3 20" xfId="9049"/>
    <cellStyle name="Normal 4 6 3 21" xfId="9050"/>
    <cellStyle name="Normal 4 6 3 22" xfId="9051"/>
    <cellStyle name="Normal 4 6 3 23" xfId="1798"/>
    <cellStyle name="Normal 4 6 3 3" xfId="728"/>
    <cellStyle name="Normal 4 6 3 3 10" xfId="9053"/>
    <cellStyle name="Normal 4 6 3 3 11" xfId="9054"/>
    <cellStyle name="Normal 4 6 3 3 12" xfId="9055"/>
    <cellStyle name="Normal 4 6 3 3 13" xfId="9056"/>
    <cellStyle name="Normal 4 6 3 3 14" xfId="9057"/>
    <cellStyle name="Normal 4 6 3 3 15" xfId="1756"/>
    <cellStyle name="Normal 4 6 3 3 2" xfId="9052"/>
    <cellStyle name="Normal 4 6 3 3 3" xfId="9059"/>
    <cellStyle name="Normal 4 6 3 3 4" xfId="9060"/>
    <cellStyle name="Normal 4 6 3 3 5" xfId="9061"/>
    <cellStyle name="Normal 4 6 3 3 6" xfId="9062"/>
    <cellStyle name="Normal 4 6 3 3 7" xfId="9063"/>
    <cellStyle name="Normal 4 6 3 3 8" xfId="9064"/>
    <cellStyle name="Normal 4 6 3 3 9" xfId="9065"/>
    <cellStyle name="Normal 4 6 3 4" xfId="729"/>
    <cellStyle name="Normal 4 6 3 4 10" xfId="9067"/>
    <cellStyle name="Normal 4 6 3 4 11" xfId="9068"/>
    <cellStyle name="Normal 4 6 3 4 12" xfId="9069"/>
    <cellStyle name="Normal 4 6 3 4 13" xfId="9070"/>
    <cellStyle name="Normal 4 6 3 4 14" xfId="9071"/>
    <cellStyle name="Normal 4 6 3 4 15" xfId="1739"/>
    <cellStyle name="Normal 4 6 3 4 2" xfId="9066"/>
    <cellStyle name="Normal 4 6 3 4 3" xfId="9073"/>
    <cellStyle name="Normal 4 6 3 4 4" xfId="9074"/>
    <cellStyle name="Normal 4 6 3 4 5" xfId="9075"/>
    <cellStyle name="Normal 4 6 3 4 6" xfId="9076"/>
    <cellStyle name="Normal 4 6 3 4 7" xfId="9077"/>
    <cellStyle name="Normal 4 6 3 4 8" xfId="9078"/>
    <cellStyle name="Normal 4 6 3 4 9" xfId="9079"/>
    <cellStyle name="Normal 4 6 3 5" xfId="730"/>
    <cellStyle name="Normal 4 6 3 5 10" xfId="9081"/>
    <cellStyle name="Normal 4 6 3 5 11" xfId="9082"/>
    <cellStyle name="Normal 4 6 3 5 12" xfId="9083"/>
    <cellStyle name="Normal 4 6 3 5 13" xfId="9084"/>
    <cellStyle name="Normal 4 6 3 5 14" xfId="9085"/>
    <cellStyle name="Normal 4 6 3 5 15" xfId="1724"/>
    <cellStyle name="Normal 4 6 3 5 2" xfId="9080"/>
    <cellStyle name="Normal 4 6 3 5 3" xfId="9087"/>
    <cellStyle name="Normal 4 6 3 5 4" xfId="9088"/>
    <cellStyle name="Normal 4 6 3 5 5" xfId="9089"/>
    <cellStyle name="Normal 4 6 3 5 6" xfId="9090"/>
    <cellStyle name="Normal 4 6 3 5 7" xfId="9091"/>
    <cellStyle name="Normal 4 6 3 5 8" xfId="9092"/>
    <cellStyle name="Normal 4 6 3 5 9" xfId="9093"/>
    <cellStyle name="Normal 4 6 3 6" xfId="731"/>
    <cellStyle name="Normal 4 6 3 6 10" xfId="9095"/>
    <cellStyle name="Normal 4 6 3 6 11" xfId="9096"/>
    <cellStyle name="Normal 4 6 3 6 12" xfId="9097"/>
    <cellStyle name="Normal 4 6 3 6 13" xfId="9098"/>
    <cellStyle name="Normal 4 6 3 6 14" xfId="9099"/>
    <cellStyle name="Normal 4 6 3 6 15" xfId="1720"/>
    <cellStyle name="Normal 4 6 3 6 2" xfId="9094"/>
    <cellStyle name="Normal 4 6 3 6 3" xfId="9101"/>
    <cellStyle name="Normal 4 6 3 6 4" xfId="9102"/>
    <cellStyle name="Normal 4 6 3 6 5" xfId="9103"/>
    <cellStyle name="Normal 4 6 3 6 6" xfId="9104"/>
    <cellStyle name="Normal 4 6 3 6 7" xfId="9105"/>
    <cellStyle name="Normal 4 6 3 6 8" xfId="9106"/>
    <cellStyle name="Normal 4 6 3 6 9" xfId="9107"/>
    <cellStyle name="Normal 4 6 3 7" xfId="732"/>
    <cellStyle name="Normal 4 6 3 7 10" xfId="9109"/>
    <cellStyle name="Normal 4 6 3 7 11" xfId="9110"/>
    <cellStyle name="Normal 4 6 3 7 12" xfId="9111"/>
    <cellStyle name="Normal 4 6 3 7 13" xfId="9112"/>
    <cellStyle name="Normal 4 6 3 7 14" xfId="9113"/>
    <cellStyle name="Normal 4 6 3 7 15" xfId="1719"/>
    <cellStyle name="Normal 4 6 3 7 2" xfId="9108"/>
    <cellStyle name="Normal 4 6 3 7 3" xfId="9115"/>
    <cellStyle name="Normal 4 6 3 7 4" xfId="9116"/>
    <cellStyle name="Normal 4 6 3 7 5" xfId="9117"/>
    <cellStyle name="Normal 4 6 3 7 6" xfId="9118"/>
    <cellStyle name="Normal 4 6 3 7 7" xfId="9119"/>
    <cellStyle name="Normal 4 6 3 7 8" xfId="9120"/>
    <cellStyle name="Normal 4 6 3 7 9" xfId="9121"/>
    <cellStyle name="Normal 4 6 3 8" xfId="733"/>
    <cellStyle name="Normal 4 6 3 8 10" xfId="9123"/>
    <cellStyle name="Normal 4 6 3 8 11" xfId="9124"/>
    <cellStyle name="Normal 4 6 3 8 12" xfId="9125"/>
    <cellStyle name="Normal 4 6 3 8 13" xfId="9126"/>
    <cellStyle name="Normal 4 6 3 8 14" xfId="9127"/>
    <cellStyle name="Normal 4 6 3 8 15" xfId="1718"/>
    <cellStyle name="Normal 4 6 3 8 2" xfId="9122"/>
    <cellStyle name="Normal 4 6 3 8 3" xfId="9129"/>
    <cellStyle name="Normal 4 6 3 8 4" xfId="9130"/>
    <cellStyle name="Normal 4 6 3 8 5" xfId="9131"/>
    <cellStyle name="Normal 4 6 3 8 6" xfId="9132"/>
    <cellStyle name="Normal 4 6 3 8 7" xfId="9133"/>
    <cellStyle name="Normal 4 6 3 8 8" xfId="9134"/>
    <cellStyle name="Normal 4 6 3 8 9" xfId="9135"/>
    <cellStyle name="Normal 4 6 3 9" xfId="734"/>
    <cellStyle name="Normal 4 6 3 9 2" xfId="9136"/>
    <cellStyle name="Normal 4 6 3 9 3" xfId="1717"/>
    <cellStyle name="Normal 4 6 30" xfId="33556"/>
    <cellStyle name="Normal 4 6 31" xfId="44294"/>
    <cellStyle name="Normal 4 6 4" xfId="735"/>
    <cellStyle name="Normal 4 6 4 10" xfId="736"/>
    <cellStyle name="Normal 4 6 4 10 2" xfId="9138"/>
    <cellStyle name="Normal 4 6 4 10 3" xfId="1034"/>
    <cellStyle name="Normal 4 6 4 11" xfId="9137"/>
    <cellStyle name="Normal 4 6 4 12" xfId="9140"/>
    <cellStyle name="Normal 4 6 4 13" xfId="9141"/>
    <cellStyle name="Normal 4 6 4 14" xfId="9142"/>
    <cellStyle name="Normal 4 6 4 15" xfId="9143"/>
    <cellStyle name="Normal 4 6 4 16" xfId="9144"/>
    <cellStyle name="Normal 4 6 4 17" xfId="9145"/>
    <cellStyle name="Normal 4 6 4 18" xfId="9146"/>
    <cellStyle name="Normal 4 6 4 19" xfId="9147"/>
    <cellStyle name="Normal 4 6 4 2" xfId="737"/>
    <cellStyle name="Normal 4 6 4 2 10" xfId="9149"/>
    <cellStyle name="Normal 4 6 4 2 11" xfId="9150"/>
    <cellStyle name="Normal 4 6 4 2 12" xfId="9151"/>
    <cellStyle name="Normal 4 6 4 2 13" xfId="9152"/>
    <cellStyle name="Normal 4 6 4 2 14" xfId="9153"/>
    <cellStyle name="Normal 4 6 4 2 15" xfId="1715"/>
    <cellStyle name="Normal 4 6 4 2 2" xfId="9148"/>
    <cellStyle name="Normal 4 6 4 2 3" xfId="9155"/>
    <cellStyle name="Normal 4 6 4 2 4" xfId="9156"/>
    <cellStyle name="Normal 4 6 4 2 5" xfId="9157"/>
    <cellStyle name="Normal 4 6 4 2 6" xfId="9158"/>
    <cellStyle name="Normal 4 6 4 2 7" xfId="9159"/>
    <cellStyle name="Normal 4 6 4 2 8" xfId="9160"/>
    <cellStyle name="Normal 4 6 4 2 9" xfId="9161"/>
    <cellStyle name="Normal 4 6 4 20" xfId="9162"/>
    <cellStyle name="Normal 4 6 4 21" xfId="9163"/>
    <cellStyle name="Normal 4 6 4 22" xfId="9164"/>
    <cellStyle name="Normal 4 6 4 23" xfId="1716"/>
    <cellStyle name="Normal 4 6 4 3" xfId="738"/>
    <cellStyle name="Normal 4 6 4 3 10" xfId="9166"/>
    <cellStyle name="Normal 4 6 4 3 11" xfId="9167"/>
    <cellStyle name="Normal 4 6 4 3 12" xfId="9168"/>
    <cellStyle name="Normal 4 6 4 3 13" xfId="9169"/>
    <cellStyle name="Normal 4 6 4 3 14" xfId="9170"/>
    <cellStyle name="Normal 4 6 4 3 15" xfId="1714"/>
    <cellStyle name="Normal 4 6 4 3 2" xfId="9165"/>
    <cellStyle name="Normal 4 6 4 3 3" xfId="9172"/>
    <cellStyle name="Normal 4 6 4 3 4" xfId="9173"/>
    <cellStyle name="Normal 4 6 4 3 5" xfId="9174"/>
    <cellStyle name="Normal 4 6 4 3 6" xfId="9175"/>
    <cellStyle name="Normal 4 6 4 3 7" xfId="9176"/>
    <cellStyle name="Normal 4 6 4 3 8" xfId="9177"/>
    <cellStyle name="Normal 4 6 4 3 9" xfId="9178"/>
    <cellStyle name="Normal 4 6 4 4" xfId="739"/>
    <cellStyle name="Normal 4 6 4 4 10" xfId="9180"/>
    <cellStyle name="Normal 4 6 4 4 11" xfId="9181"/>
    <cellStyle name="Normal 4 6 4 4 12" xfId="9182"/>
    <cellStyle name="Normal 4 6 4 4 13" xfId="9183"/>
    <cellStyle name="Normal 4 6 4 4 14" xfId="9184"/>
    <cellStyle name="Normal 4 6 4 4 15" xfId="1713"/>
    <cellStyle name="Normal 4 6 4 4 2" xfId="9179"/>
    <cellStyle name="Normal 4 6 4 4 3" xfId="9186"/>
    <cellStyle name="Normal 4 6 4 4 4" xfId="9187"/>
    <cellStyle name="Normal 4 6 4 4 5" xfId="9188"/>
    <cellStyle name="Normal 4 6 4 4 6" xfId="9189"/>
    <cellStyle name="Normal 4 6 4 4 7" xfId="9190"/>
    <cellStyle name="Normal 4 6 4 4 8" xfId="9191"/>
    <cellStyle name="Normal 4 6 4 4 9" xfId="9192"/>
    <cellStyle name="Normal 4 6 4 5" xfId="740"/>
    <cellStyle name="Normal 4 6 4 5 10" xfId="9194"/>
    <cellStyle name="Normal 4 6 4 5 11" xfId="9195"/>
    <cellStyle name="Normal 4 6 4 5 12" xfId="9196"/>
    <cellStyle name="Normal 4 6 4 5 13" xfId="9197"/>
    <cellStyle name="Normal 4 6 4 5 14" xfId="9198"/>
    <cellStyle name="Normal 4 6 4 5 15" xfId="1705"/>
    <cellStyle name="Normal 4 6 4 5 2" xfId="9193"/>
    <cellStyle name="Normal 4 6 4 5 3" xfId="9200"/>
    <cellStyle name="Normal 4 6 4 5 4" xfId="9201"/>
    <cellStyle name="Normal 4 6 4 5 5" xfId="9202"/>
    <cellStyle name="Normal 4 6 4 5 6" xfId="9203"/>
    <cellStyle name="Normal 4 6 4 5 7" xfId="9204"/>
    <cellStyle name="Normal 4 6 4 5 8" xfId="9205"/>
    <cellStyle name="Normal 4 6 4 5 9" xfId="9206"/>
    <cellStyle name="Normal 4 6 4 6" xfId="741"/>
    <cellStyle name="Normal 4 6 4 6 10" xfId="9208"/>
    <cellStyle name="Normal 4 6 4 6 11" xfId="9209"/>
    <cellStyle name="Normal 4 6 4 6 12" xfId="9210"/>
    <cellStyle name="Normal 4 6 4 6 13" xfId="9211"/>
    <cellStyle name="Normal 4 6 4 6 14" xfId="9212"/>
    <cellStyle name="Normal 4 6 4 6 15" xfId="1691"/>
    <cellStyle name="Normal 4 6 4 6 2" xfId="9207"/>
    <cellStyle name="Normal 4 6 4 6 3" xfId="9214"/>
    <cellStyle name="Normal 4 6 4 6 4" xfId="9215"/>
    <cellStyle name="Normal 4 6 4 6 5" xfId="9216"/>
    <cellStyle name="Normal 4 6 4 6 6" xfId="9217"/>
    <cellStyle name="Normal 4 6 4 6 7" xfId="9218"/>
    <cellStyle name="Normal 4 6 4 6 8" xfId="9219"/>
    <cellStyle name="Normal 4 6 4 6 9" xfId="9220"/>
    <cellStyle name="Normal 4 6 4 7" xfId="742"/>
    <cellStyle name="Normal 4 6 4 7 10" xfId="9222"/>
    <cellStyle name="Normal 4 6 4 7 11" xfId="9223"/>
    <cellStyle name="Normal 4 6 4 7 12" xfId="9224"/>
    <cellStyle name="Normal 4 6 4 7 13" xfId="9225"/>
    <cellStyle name="Normal 4 6 4 7 14" xfId="9226"/>
    <cellStyle name="Normal 4 6 4 7 15" xfId="1677"/>
    <cellStyle name="Normal 4 6 4 7 2" xfId="9221"/>
    <cellStyle name="Normal 4 6 4 7 3" xfId="9228"/>
    <cellStyle name="Normal 4 6 4 7 4" xfId="9229"/>
    <cellStyle name="Normal 4 6 4 7 5" xfId="9230"/>
    <cellStyle name="Normal 4 6 4 7 6" xfId="9231"/>
    <cellStyle name="Normal 4 6 4 7 7" xfId="9232"/>
    <cellStyle name="Normal 4 6 4 7 8" xfId="9233"/>
    <cellStyle name="Normal 4 6 4 7 9" xfId="9234"/>
    <cellStyle name="Normal 4 6 4 8" xfId="743"/>
    <cellStyle name="Normal 4 6 4 8 10" xfId="9236"/>
    <cellStyle name="Normal 4 6 4 8 11" xfId="9237"/>
    <cellStyle name="Normal 4 6 4 8 12" xfId="9238"/>
    <cellStyle name="Normal 4 6 4 8 13" xfId="9239"/>
    <cellStyle name="Normal 4 6 4 8 14" xfId="9240"/>
    <cellStyle name="Normal 4 6 4 8 15" xfId="1662"/>
    <cellStyle name="Normal 4 6 4 8 2" xfId="9235"/>
    <cellStyle name="Normal 4 6 4 8 3" xfId="9242"/>
    <cellStyle name="Normal 4 6 4 8 4" xfId="9243"/>
    <cellStyle name="Normal 4 6 4 8 5" xfId="9244"/>
    <cellStyle name="Normal 4 6 4 8 6" xfId="9245"/>
    <cellStyle name="Normal 4 6 4 8 7" xfId="9246"/>
    <cellStyle name="Normal 4 6 4 8 8" xfId="9247"/>
    <cellStyle name="Normal 4 6 4 8 9" xfId="9248"/>
    <cellStyle name="Normal 4 6 4 9" xfId="744"/>
    <cellStyle name="Normal 4 6 4 9 2" xfId="9249"/>
    <cellStyle name="Normal 4 6 4 9 3" xfId="1648"/>
    <cellStyle name="Normal 4 6 5" xfId="745"/>
    <cellStyle name="Normal 4 6 5 10" xfId="746"/>
    <cellStyle name="Normal 4 6 5 10 2" xfId="9251"/>
    <cellStyle name="Normal 4 6 5 10 3" xfId="1620"/>
    <cellStyle name="Normal 4 6 5 11" xfId="9250"/>
    <cellStyle name="Normal 4 6 5 12" xfId="9253"/>
    <cellStyle name="Normal 4 6 5 13" xfId="9254"/>
    <cellStyle name="Normal 4 6 5 14" xfId="9255"/>
    <cellStyle name="Normal 4 6 5 15" xfId="9256"/>
    <cellStyle name="Normal 4 6 5 16" xfId="9257"/>
    <cellStyle name="Normal 4 6 5 17" xfId="9258"/>
    <cellStyle name="Normal 4 6 5 18" xfId="9259"/>
    <cellStyle name="Normal 4 6 5 19" xfId="9260"/>
    <cellStyle name="Normal 4 6 5 2" xfId="747"/>
    <cellStyle name="Normal 4 6 5 2 10" xfId="9262"/>
    <cellStyle name="Normal 4 6 5 2 11" xfId="9263"/>
    <cellStyle name="Normal 4 6 5 2 12" xfId="9264"/>
    <cellStyle name="Normal 4 6 5 2 13" xfId="9265"/>
    <cellStyle name="Normal 4 6 5 2 14" xfId="9266"/>
    <cellStyle name="Normal 4 6 5 2 15" xfId="1606"/>
    <cellStyle name="Normal 4 6 5 2 2" xfId="9261"/>
    <cellStyle name="Normal 4 6 5 2 3" xfId="9268"/>
    <cellStyle name="Normal 4 6 5 2 4" xfId="9269"/>
    <cellStyle name="Normal 4 6 5 2 5" xfId="9270"/>
    <cellStyle name="Normal 4 6 5 2 6" xfId="9271"/>
    <cellStyle name="Normal 4 6 5 2 7" xfId="9272"/>
    <cellStyle name="Normal 4 6 5 2 8" xfId="9273"/>
    <cellStyle name="Normal 4 6 5 2 9" xfId="9274"/>
    <cellStyle name="Normal 4 6 5 20" xfId="9275"/>
    <cellStyle name="Normal 4 6 5 21" xfId="9276"/>
    <cellStyle name="Normal 4 6 5 22" xfId="9277"/>
    <cellStyle name="Normal 4 6 5 23" xfId="1634"/>
    <cellStyle name="Normal 4 6 5 3" xfId="748"/>
    <cellStyle name="Normal 4 6 5 3 10" xfId="9279"/>
    <cellStyle name="Normal 4 6 5 3 11" xfId="9280"/>
    <cellStyle name="Normal 4 6 5 3 12" xfId="9281"/>
    <cellStyle name="Normal 4 6 5 3 13" xfId="9282"/>
    <cellStyle name="Normal 4 6 5 3 14" xfId="9283"/>
    <cellStyle name="Normal 4 6 5 3 15" xfId="1592"/>
    <cellStyle name="Normal 4 6 5 3 2" xfId="9278"/>
    <cellStyle name="Normal 4 6 5 3 3" xfId="9285"/>
    <cellStyle name="Normal 4 6 5 3 4" xfId="9286"/>
    <cellStyle name="Normal 4 6 5 3 5" xfId="9287"/>
    <cellStyle name="Normal 4 6 5 3 6" xfId="9288"/>
    <cellStyle name="Normal 4 6 5 3 7" xfId="9289"/>
    <cellStyle name="Normal 4 6 5 3 8" xfId="9290"/>
    <cellStyle name="Normal 4 6 5 3 9" xfId="9291"/>
    <cellStyle name="Normal 4 6 5 4" xfId="749"/>
    <cellStyle name="Normal 4 6 5 4 10" xfId="9293"/>
    <cellStyle name="Normal 4 6 5 4 11" xfId="9294"/>
    <cellStyle name="Normal 4 6 5 4 12" xfId="9295"/>
    <cellStyle name="Normal 4 6 5 4 13" xfId="9296"/>
    <cellStyle name="Normal 4 6 5 4 14" xfId="9297"/>
    <cellStyle name="Normal 4 6 5 4 15" xfId="1575"/>
    <cellStyle name="Normal 4 6 5 4 2" xfId="9292"/>
    <cellStyle name="Normal 4 6 5 4 3" xfId="9299"/>
    <cellStyle name="Normal 4 6 5 4 4" xfId="9300"/>
    <cellStyle name="Normal 4 6 5 4 5" xfId="9301"/>
    <cellStyle name="Normal 4 6 5 4 6" xfId="9302"/>
    <cellStyle name="Normal 4 6 5 4 7" xfId="9303"/>
    <cellStyle name="Normal 4 6 5 4 8" xfId="9304"/>
    <cellStyle name="Normal 4 6 5 4 9" xfId="9305"/>
    <cellStyle name="Normal 4 6 5 5" xfId="750"/>
    <cellStyle name="Normal 4 6 5 5 10" xfId="9307"/>
    <cellStyle name="Normal 4 6 5 5 11" xfId="9308"/>
    <cellStyle name="Normal 4 6 5 5 12" xfId="9309"/>
    <cellStyle name="Normal 4 6 5 5 13" xfId="9310"/>
    <cellStyle name="Normal 4 6 5 5 14" xfId="9311"/>
    <cellStyle name="Normal 4 6 5 5 15" xfId="1560"/>
    <cellStyle name="Normal 4 6 5 5 2" xfId="9306"/>
    <cellStyle name="Normal 4 6 5 5 3" xfId="9313"/>
    <cellStyle name="Normal 4 6 5 5 4" xfId="9314"/>
    <cellStyle name="Normal 4 6 5 5 5" xfId="9315"/>
    <cellStyle name="Normal 4 6 5 5 6" xfId="9316"/>
    <cellStyle name="Normal 4 6 5 5 7" xfId="9317"/>
    <cellStyle name="Normal 4 6 5 5 8" xfId="9318"/>
    <cellStyle name="Normal 4 6 5 5 9" xfId="9319"/>
    <cellStyle name="Normal 4 6 5 6" xfId="751"/>
    <cellStyle name="Normal 4 6 5 6 10" xfId="9321"/>
    <cellStyle name="Normal 4 6 5 6 11" xfId="9322"/>
    <cellStyle name="Normal 4 6 5 6 12" xfId="9323"/>
    <cellStyle name="Normal 4 6 5 6 13" xfId="9324"/>
    <cellStyle name="Normal 4 6 5 6 14" xfId="9325"/>
    <cellStyle name="Normal 4 6 5 6 15" xfId="1549"/>
    <cellStyle name="Normal 4 6 5 6 2" xfId="9320"/>
    <cellStyle name="Normal 4 6 5 6 3" xfId="9327"/>
    <cellStyle name="Normal 4 6 5 6 4" xfId="9328"/>
    <cellStyle name="Normal 4 6 5 6 5" xfId="9329"/>
    <cellStyle name="Normal 4 6 5 6 6" xfId="9330"/>
    <cellStyle name="Normal 4 6 5 6 7" xfId="9331"/>
    <cellStyle name="Normal 4 6 5 6 8" xfId="9332"/>
    <cellStyle name="Normal 4 6 5 6 9" xfId="9333"/>
    <cellStyle name="Normal 4 6 5 7" xfId="752"/>
    <cellStyle name="Normal 4 6 5 7 10" xfId="9335"/>
    <cellStyle name="Normal 4 6 5 7 11" xfId="9336"/>
    <cellStyle name="Normal 4 6 5 7 12" xfId="9337"/>
    <cellStyle name="Normal 4 6 5 7 13" xfId="9338"/>
    <cellStyle name="Normal 4 6 5 7 14" xfId="9339"/>
    <cellStyle name="Normal 4 6 5 7 15" xfId="1535"/>
    <cellStyle name="Normal 4 6 5 7 2" xfId="9334"/>
    <cellStyle name="Normal 4 6 5 7 3" xfId="9341"/>
    <cellStyle name="Normal 4 6 5 7 4" xfId="9342"/>
    <cellStyle name="Normal 4 6 5 7 5" xfId="9343"/>
    <cellStyle name="Normal 4 6 5 7 6" xfId="9344"/>
    <cellStyle name="Normal 4 6 5 7 7" xfId="9345"/>
    <cellStyle name="Normal 4 6 5 7 8" xfId="9346"/>
    <cellStyle name="Normal 4 6 5 7 9" xfId="9347"/>
    <cellStyle name="Normal 4 6 5 8" xfId="753"/>
    <cellStyle name="Normal 4 6 5 8 10" xfId="9349"/>
    <cellStyle name="Normal 4 6 5 8 11" xfId="9350"/>
    <cellStyle name="Normal 4 6 5 8 12" xfId="9351"/>
    <cellStyle name="Normal 4 6 5 8 13" xfId="9352"/>
    <cellStyle name="Normal 4 6 5 8 14" xfId="9353"/>
    <cellStyle name="Normal 4 6 5 8 15" xfId="1521"/>
    <cellStyle name="Normal 4 6 5 8 2" xfId="9348"/>
    <cellStyle name="Normal 4 6 5 8 3" xfId="9355"/>
    <cellStyle name="Normal 4 6 5 8 4" xfId="9356"/>
    <cellStyle name="Normal 4 6 5 8 5" xfId="9357"/>
    <cellStyle name="Normal 4 6 5 8 6" xfId="9358"/>
    <cellStyle name="Normal 4 6 5 8 7" xfId="9359"/>
    <cellStyle name="Normal 4 6 5 8 8" xfId="9360"/>
    <cellStyle name="Normal 4 6 5 8 9" xfId="9361"/>
    <cellStyle name="Normal 4 6 5 9" xfId="754"/>
    <cellStyle name="Normal 4 6 5 9 2" xfId="9362"/>
    <cellStyle name="Normal 4 6 5 9 3" xfId="1507"/>
    <cellStyle name="Normal 4 6 6" xfId="755"/>
    <cellStyle name="Normal 4 6 6 10" xfId="756"/>
    <cellStyle name="Normal 4 6 6 10 2" xfId="9364"/>
    <cellStyle name="Normal 4 6 6 10 3" xfId="1479"/>
    <cellStyle name="Normal 4 6 6 11" xfId="9363"/>
    <cellStyle name="Normal 4 6 6 12" xfId="9366"/>
    <cellStyle name="Normal 4 6 6 13" xfId="9367"/>
    <cellStyle name="Normal 4 6 6 14" xfId="9368"/>
    <cellStyle name="Normal 4 6 6 15" xfId="9369"/>
    <cellStyle name="Normal 4 6 6 16" xfId="9370"/>
    <cellStyle name="Normal 4 6 6 17" xfId="9371"/>
    <cellStyle name="Normal 4 6 6 18" xfId="9372"/>
    <cellStyle name="Normal 4 6 6 19" xfId="9373"/>
    <cellStyle name="Normal 4 6 6 2" xfId="757"/>
    <cellStyle name="Normal 4 6 6 2 10" xfId="9375"/>
    <cellStyle name="Normal 4 6 6 2 11" xfId="9376"/>
    <cellStyle name="Normal 4 6 6 2 12" xfId="9377"/>
    <cellStyle name="Normal 4 6 6 2 13" xfId="9378"/>
    <cellStyle name="Normal 4 6 6 2 14" xfId="9379"/>
    <cellStyle name="Normal 4 6 6 2 15" xfId="1462"/>
    <cellStyle name="Normal 4 6 6 2 2" xfId="9374"/>
    <cellStyle name="Normal 4 6 6 2 3" xfId="9381"/>
    <cellStyle name="Normal 4 6 6 2 4" xfId="9382"/>
    <cellStyle name="Normal 4 6 6 2 5" xfId="9383"/>
    <cellStyle name="Normal 4 6 6 2 6" xfId="9384"/>
    <cellStyle name="Normal 4 6 6 2 7" xfId="9385"/>
    <cellStyle name="Normal 4 6 6 2 8" xfId="9386"/>
    <cellStyle name="Normal 4 6 6 2 9" xfId="9387"/>
    <cellStyle name="Normal 4 6 6 20" xfId="9388"/>
    <cellStyle name="Normal 4 6 6 21" xfId="9389"/>
    <cellStyle name="Normal 4 6 6 22" xfId="9390"/>
    <cellStyle name="Normal 4 6 6 23" xfId="1493"/>
    <cellStyle name="Normal 4 6 6 3" xfId="758"/>
    <cellStyle name="Normal 4 6 6 3 10" xfId="9392"/>
    <cellStyle name="Normal 4 6 6 3 11" xfId="9393"/>
    <cellStyle name="Normal 4 6 6 3 12" xfId="9394"/>
    <cellStyle name="Normal 4 6 6 3 13" xfId="9395"/>
    <cellStyle name="Normal 4 6 6 3 14" xfId="9396"/>
    <cellStyle name="Normal 4 6 6 3 15" xfId="1447"/>
    <cellStyle name="Normal 4 6 6 3 2" xfId="9391"/>
    <cellStyle name="Normal 4 6 6 3 3" xfId="9398"/>
    <cellStyle name="Normal 4 6 6 3 4" xfId="9399"/>
    <cellStyle name="Normal 4 6 6 3 5" xfId="9400"/>
    <cellStyle name="Normal 4 6 6 3 6" xfId="9401"/>
    <cellStyle name="Normal 4 6 6 3 7" xfId="9402"/>
    <cellStyle name="Normal 4 6 6 3 8" xfId="9403"/>
    <cellStyle name="Normal 4 6 6 3 9" xfId="9404"/>
    <cellStyle name="Normal 4 6 6 4" xfId="759"/>
    <cellStyle name="Normal 4 6 6 4 10" xfId="9406"/>
    <cellStyle name="Normal 4 6 6 4 11" xfId="9407"/>
    <cellStyle name="Normal 4 6 6 4 12" xfId="9408"/>
    <cellStyle name="Normal 4 6 6 4 13" xfId="9409"/>
    <cellStyle name="Normal 4 6 6 4 14" xfId="9410"/>
    <cellStyle name="Normal 4 6 6 4 15" xfId="1436"/>
    <cellStyle name="Normal 4 6 6 4 2" xfId="9405"/>
    <cellStyle name="Normal 4 6 6 4 3" xfId="9412"/>
    <cellStyle name="Normal 4 6 6 4 4" xfId="9413"/>
    <cellStyle name="Normal 4 6 6 4 5" xfId="9414"/>
    <cellStyle name="Normal 4 6 6 4 6" xfId="9415"/>
    <cellStyle name="Normal 4 6 6 4 7" xfId="9416"/>
    <cellStyle name="Normal 4 6 6 4 8" xfId="9417"/>
    <cellStyle name="Normal 4 6 6 4 9" xfId="9418"/>
    <cellStyle name="Normal 4 6 6 5" xfId="760"/>
    <cellStyle name="Normal 4 6 6 5 10" xfId="9420"/>
    <cellStyle name="Normal 4 6 6 5 11" xfId="9421"/>
    <cellStyle name="Normal 4 6 6 5 12" xfId="9422"/>
    <cellStyle name="Normal 4 6 6 5 13" xfId="9423"/>
    <cellStyle name="Normal 4 6 6 5 14" xfId="9424"/>
    <cellStyle name="Normal 4 6 6 5 15" xfId="1422"/>
    <cellStyle name="Normal 4 6 6 5 2" xfId="9419"/>
    <cellStyle name="Normal 4 6 6 5 3" xfId="9426"/>
    <cellStyle name="Normal 4 6 6 5 4" xfId="9427"/>
    <cellStyle name="Normal 4 6 6 5 5" xfId="9428"/>
    <cellStyle name="Normal 4 6 6 5 6" xfId="9429"/>
    <cellStyle name="Normal 4 6 6 5 7" xfId="9430"/>
    <cellStyle name="Normal 4 6 6 5 8" xfId="9431"/>
    <cellStyle name="Normal 4 6 6 5 9" xfId="9432"/>
    <cellStyle name="Normal 4 6 6 6" xfId="761"/>
    <cellStyle name="Normal 4 6 6 6 10" xfId="9434"/>
    <cellStyle name="Normal 4 6 6 6 11" xfId="9435"/>
    <cellStyle name="Normal 4 6 6 6 12" xfId="9436"/>
    <cellStyle name="Normal 4 6 6 6 13" xfId="9437"/>
    <cellStyle name="Normal 4 6 6 6 14" xfId="9438"/>
    <cellStyle name="Normal 4 6 6 6 15" xfId="1408"/>
    <cellStyle name="Normal 4 6 6 6 2" xfId="9433"/>
    <cellStyle name="Normal 4 6 6 6 3" xfId="9440"/>
    <cellStyle name="Normal 4 6 6 6 4" xfId="9441"/>
    <cellStyle name="Normal 4 6 6 6 5" xfId="9442"/>
    <cellStyle name="Normal 4 6 6 6 6" xfId="9443"/>
    <cellStyle name="Normal 4 6 6 6 7" xfId="9444"/>
    <cellStyle name="Normal 4 6 6 6 8" xfId="9445"/>
    <cellStyle name="Normal 4 6 6 6 9" xfId="9446"/>
    <cellStyle name="Normal 4 6 6 7" xfId="762"/>
    <cellStyle name="Normal 4 6 6 7 10" xfId="9448"/>
    <cellStyle name="Normal 4 6 6 7 11" xfId="9449"/>
    <cellStyle name="Normal 4 6 6 7 12" xfId="9450"/>
    <cellStyle name="Normal 4 6 6 7 13" xfId="9451"/>
    <cellStyle name="Normal 4 6 6 7 14" xfId="9452"/>
    <cellStyle name="Normal 4 6 6 7 15" xfId="1394"/>
    <cellStyle name="Normal 4 6 6 7 2" xfId="9447"/>
    <cellStyle name="Normal 4 6 6 7 3" xfId="9454"/>
    <cellStyle name="Normal 4 6 6 7 4" xfId="9455"/>
    <cellStyle name="Normal 4 6 6 7 5" xfId="9456"/>
    <cellStyle name="Normal 4 6 6 7 6" xfId="9457"/>
    <cellStyle name="Normal 4 6 6 7 7" xfId="9458"/>
    <cellStyle name="Normal 4 6 6 7 8" xfId="9459"/>
    <cellStyle name="Normal 4 6 6 7 9" xfId="9460"/>
    <cellStyle name="Normal 4 6 6 8" xfId="763"/>
    <cellStyle name="Normal 4 6 6 8 10" xfId="9462"/>
    <cellStyle name="Normal 4 6 6 8 11" xfId="9463"/>
    <cellStyle name="Normal 4 6 6 8 12" xfId="9464"/>
    <cellStyle name="Normal 4 6 6 8 13" xfId="9465"/>
    <cellStyle name="Normal 4 6 6 8 14" xfId="9466"/>
    <cellStyle name="Normal 4 6 6 8 15" xfId="1380"/>
    <cellStyle name="Normal 4 6 6 8 2" xfId="9461"/>
    <cellStyle name="Normal 4 6 6 8 3" xfId="9468"/>
    <cellStyle name="Normal 4 6 6 8 4" xfId="9469"/>
    <cellStyle name="Normal 4 6 6 8 5" xfId="9470"/>
    <cellStyle name="Normal 4 6 6 8 6" xfId="9471"/>
    <cellStyle name="Normal 4 6 6 8 7" xfId="9472"/>
    <cellStyle name="Normal 4 6 6 8 8" xfId="9473"/>
    <cellStyle name="Normal 4 6 6 8 9" xfId="9474"/>
    <cellStyle name="Normal 4 6 6 9" xfId="764"/>
    <cellStyle name="Normal 4 6 6 9 2" xfId="9475"/>
    <cellStyle name="Normal 4 6 6 9 3" xfId="1366"/>
    <cellStyle name="Normal 4 6 7" xfId="765"/>
    <cellStyle name="Normal 4 6 7 10" xfId="9477"/>
    <cellStyle name="Normal 4 6 7 11" xfId="9478"/>
    <cellStyle name="Normal 4 6 7 12" xfId="9479"/>
    <cellStyle name="Normal 4 6 7 13" xfId="9480"/>
    <cellStyle name="Normal 4 6 7 14" xfId="9481"/>
    <cellStyle name="Normal 4 6 7 15" xfId="1349"/>
    <cellStyle name="Normal 4 6 7 2" xfId="9476"/>
    <cellStyle name="Normal 4 6 7 3" xfId="9483"/>
    <cellStyle name="Normal 4 6 7 4" xfId="9484"/>
    <cellStyle name="Normal 4 6 7 5" xfId="9485"/>
    <cellStyle name="Normal 4 6 7 6" xfId="9486"/>
    <cellStyle name="Normal 4 6 7 7" xfId="9487"/>
    <cellStyle name="Normal 4 6 7 8" xfId="9488"/>
    <cellStyle name="Normal 4 6 7 9" xfId="9489"/>
    <cellStyle name="Normal 4 6 8" xfId="766"/>
    <cellStyle name="Normal 4 6 8 10" xfId="9491"/>
    <cellStyle name="Normal 4 6 8 11" xfId="9492"/>
    <cellStyle name="Normal 4 6 8 12" xfId="9493"/>
    <cellStyle name="Normal 4 6 8 13" xfId="9494"/>
    <cellStyle name="Normal 4 6 8 14" xfId="9495"/>
    <cellStyle name="Normal 4 6 8 15" xfId="1334"/>
    <cellStyle name="Normal 4 6 8 2" xfId="9490"/>
    <cellStyle name="Normal 4 6 8 3" xfId="9497"/>
    <cellStyle name="Normal 4 6 8 4" xfId="9498"/>
    <cellStyle name="Normal 4 6 8 5" xfId="9499"/>
    <cellStyle name="Normal 4 6 8 6" xfId="9500"/>
    <cellStyle name="Normal 4 6 8 7" xfId="9501"/>
    <cellStyle name="Normal 4 6 8 8" xfId="9502"/>
    <cellStyle name="Normal 4 6 8 9" xfId="9503"/>
    <cellStyle name="Normal 4 6 9" xfId="767"/>
    <cellStyle name="Normal 4 6 9 10" xfId="9505"/>
    <cellStyle name="Normal 4 6 9 11" xfId="9506"/>
    <cellStyle name="Normal 4 6 9 12" xfId="9507"/>
    <cellStyle name="Normal 4 6 9 13" xfId="9508"/>
    <cellStyle name="Normal 4 6 9 14" xfId="9509"/>
    <cellStyle name="Normal 4 6 9 15" xfId="1323"/>
    <cellStyle name="Normal 4 6 9 2" xfId="9504"/>
    <cellStyle name="Normal 4 6 9 3" xfId="9511"/>
    <cellStyle name="Normal 4 6 9 4" xfId="9512"/>
    <cellStyle name="Normal 4 6 9 5" xfId="9513"/>
    <cellStyle name="Normal 4 6 9 6" xfId="9514"/>
    <cellStyle name="Normal 4 6 9 7" xfId="9515"/>
    <cellStyle name="Normal 4 6 9 8" xfId="9516"/>
    <cellStyle name="Normal 4 6 9 9" xfId="9517"/>
    <cellStyle name="Normal 4 7" xfId="768"/>
    <cellStyle name="Normal 4 7 10" xfId="769"/>
    <cellStyle name="Normal 4 7 10 2" xfId="9519"/>
    <cellStyle name="Normal 4 7 10 3" xfId="1295"/>
    <cellStyle name="Normal 4 7 11" xfId="9518"/>
    <cellStyle name="Normal 4 7 12" xfId="9521"/>
    <cellStyle name="Normal 4 7 13" xfId="9522"/>
    <cellStyle name="Normal 4 7 14" xfId="9523"/>
    <cellStyle name="Normal 4 7 15" xfId="9524"/>
    <cellStyle name="Normal 4 7 16" xfId="9525"/>
    <cellStyle name="Normal 4 7 17" xfId="9526"/>
    <cellStyle name="Normal 4 7 18" xfId="9527"/>
    <cellStyle name="Normal 4 7 19" xfId="9528"/>
    <cellStyle name="Normal 4 7 2" xfId="770"/>
    <cellStyle name="Normal 4 7 2 10" xfId="9530"/>
    <cellStyle name="Normal 4 7 2 11" xfId="9531"/>
    <cellStyle name="Normal 4 7 2 12" xfId="9532"/>
    <cellStyle name="Normal 4 7 2 13" xfId="9533"/>
    <cellStyle name="Normal 4 7 2 14" xfId="9534"/>
    <cellStyle name="Normal 4 7 2 15" xfId="1281"/>
    <cellStyle name="Normal 4 7 2 2" xfId="9529"/>
    <cellStyle name="Normal 4 7 2 3" xfId="9536"/>
    <cellStyle name="Normal 4 7 2 4" xfId="9537"/>
    <cellStyle name="Normal 4 7 2 5" xfId="9538"/>
    <cellStyle name="Normal 4 7 2 6" xfId="9539"/>
    <cellStyle name="Normal 4 7 2 7" xfId="9540"/>
    <cellStyle name="Normal 4 7 2 8" xfId="9541"/>
    <cellStyle name="Normal 4 7 2 9" xfId="9542"/>
    <cellStyle name="Normal 4 7 20" xfId="9543"/>
    <cellStyle name="Normal 4 7 21" xfId="9544"/>
    <cellStyle name="Normal 4 7 22" xfId="9545"/>
    <cellStyle name="Normal 4 7 23" xfId="1309"/>
    <cellStyle name="Normal 4 7 24" xfId="33557"/>
    <cellStyle name="Normal 4 7 3" xfId="771"/>
    <cellStyle name="Normal 4 7 3 10" xfId="9547"/>
    <cellStyle name="Normal 4 7 3 11" xfId="9548"/>
    <cellStyle name="Normal 4 7 3 12" xfId="9549"/>
    <cellStyle name="Normal 4 7 3 13" xfId="9550"/>
    <cellStyle name="Normal 4 7 3 14" xfId="9551"/>
    <cellStyle name="Normal 4 7 3 15" xfId="1267"/>
    <cellStyle name="Normal 4 7 3 2" xfId="9546"/>
    <cellStyle name="Normal 4 7 3 3" xfId="9553"/>
    <cellStyle name="Normal 4 7 3 4" xfId="9554"/>
    <cellStyle name="Normal 4 7 3 5" xfId="9555"/>
    <cellStyle name="Normal 4 7 3 6" xfId="9556"/>
    <cellStyle name="Normal 4 7 3 7" xfId="9557"/>
    <cellStyle name="Normal 4 7 3 8" xfId="9558"/>
    <cellStyle name="Normal 4 7 3 9" xfId="9559"/>
    <cellStyle name="Normal 4 7 4" xfId="772"/>
    <cellStyle name="Normal 4 7 4 10" xfId="9561"/>
    <cellStyle name="Normal 4 7 4 11" xfId="9562"/>
    <cellStyle name="Normal 4 7 4 12" xfId="9563"/>
    <cellStyle name="Normal 4 7 4 13" xfId="9564"/>
    <cellStyle name="Normal 4 7 4 14" xfId="9565"/>
    <cellStyle name="Normal 4 7 4 15" xfId="1253"/>
    <cellStyle name="Normal 4 7 4 2" xfId="9560"/>
    <cellStyle name="Normal 4 7 4 3" xfId="9567"/>
    <cellStyle name="Normal 4 7 4 4" xfId="9568"/>
    <cellStyle name="Normal 4 7 4 5" xfId="9569"/>
    <cellStyle name="Normal 4 7 4 6" xfId="9570"/>
    <cellStyle name="Normal 4 7 4 7" xfId="9571"/>
    <cellStyle name="Normal 4 7 4 8" xfId="9572"/>
    <cellStyle name="Normal 4 7 4 9" xfId="9573"/>
    <cellStyle name="Normal 4 7 5" xfId="773"/>
    <cellStyle name="Normal 4 7 5 10" xfId="9575"/>
    <cellStyle name="Normal 4 7 5 11" xfId="9576"/>
    <cellStyle name="Normal 4 7 5 12" xfId="9577"/>
    <cellStyle name="Normal 4 7 5 13" xfId="9578"/>
    <cellStyle name="Normal 4 7 5 14" xfId="9579"/>
    <cellStyle name="Normal 4 7 5 15" xfId="1236"/>
    <cellStyle name="Normal 4 7 5 2" xfId="9574"/>
    <cellStyle name="Normal 4 7 5 3" xfId="9581"/>
    <cellStyle name="Normal 4 7 5 4" xfId="9582"/>
    <cellStyle name="Normal 4 7 5 5" xfId="9583"/>
    <cellStyle name="Normal 4 7 5 6" xfId="9584"/>
    <cellStyle name="Normal 4 7 5 7" xfId="9585"/>
    <cellStyle name="Normal 4 7 5 8" xfId="9586"/>
    <cellStyle name="Normal 4 7 5 9" xfId="9587"/>
    <cellStyle name="Normal 4 7 6" xfId="774"/>
    <cellStyle name="Normal 4 7 6 10" xfId="9589"/>
    <cellStyle name="Normal 4 7 6 11" xfId="9590"/>
    <cellStyle name="Normal 4 7 6 12" xfId="9591"/>
    <cellStyle name="Normal 4 7 6 13" xfId="9592"/>
    <cellStyle name="Normal 4 7 6 14" xfId="9593"/>
    <cellStyle name="Normal 4 7 6 15" xfId="1221"/>
    <cellStyle name="Normal 4 7 6 2" xfId="9588"/>
    <cellStyle name="Normal 4 7 6 3" xfId="9595"/>
    <cellStyle name="Normal 4 7 6 4" xfId="9596"/>
    <cellStyle name="Normal 4 7 6 5" xfId="9597"/>
    <cellStyle name="Normal 4 7 6 6" xfId="9598"/>
    <cellStyle name="Normal 4 7 6 7" xfId="9599"/>
    <cellStyle name="Normal 4 7 6 8" xfId="9600"/>
    <cellStyle name="Normal 4 7 6 9" xfId="9601"/>
    <cellStyle name="Normal 4 7 7" xfId="775"/>
    <cellStyle name="Normal 4 7 7 10" xfId="9603"/>
    <cellStyle name="Normal 4 7 7 11" xfId="9604"/>
    <cellStyle name="Normal 4 7 7 12" xfId="9605"/>
    <cellStyle name="Normal 4 7 7 13" xfId="9606"/>
    <cellStyle name="Normal 4 7 7 14" xfId="9607"/>
    <cellStyle name="Normal 4 7 7 15" xfId="1202"/>
    <cellStyle name="Normal 4 7 7 2" xfId="9602"/>
    <cellStyle name="Normal 4 7 7 3" xfId="9609"/>
    <cellStyle name="Normal 4 7 7 4" xfId="9610"/>
    <cellStyle name="Normal 4 7 7 5" xfId="9611"/>
    <cellStyle name="Normal 4 7 7 6" xfId="9612"/>
    <cellStyle name="Normal 4 7 7 7" xfId="9613"/>
    <cellStyle name="Normal 4 7 7 8" xfId="9614"/>
    <cellStyle name="Normal 4 7 7 9" xfId="9615"/>
    <cellStyle name="Normal 4 7 8" xfId="776"/>
    <cellStyle name="Normal 4 7 8 10" xfId="9617"/>
    <cellStyle name="Normal 4 7 8 11" xfId="9618"/>
    <cellStyle name="Normal 4 7 8 12" xfId="9619"/>
    <cellStyle name="Normal 4 7 8 13" xfId="9620"/>
    <cellStyle name="Normal 4 7 8 14" xfId="9621"/>
    <cellStyle name="Normal 4 7 8 15" xfId="1188"/>
    <cellStyle name="Normal 4 7 8 2" xfId="9616"/>
    <cellStyle name="Normal 4 7 8 3" xfId="9623"/>
    <cellStyle name="Normal 4 7 8 4" xfId="9624"/>
    <cellStyle name="Normal 4 7 8 5" xfId="9625"/>
    <cellStyle name="Normal 4 7 8 6" xfId="9626"/>
    <cellStyle name="Normal 4 7 8 7" xfId="9627"/>
    <cellStyle name="Normal 4 7 8 8" xfId="9628"/>
    <cellStyle name="Normal 4 7 8 9" xfId="9629"/>
    <cellStyle name="Normal 4 7 9" xfId="777"/>
    <cellStyle name="Normal 4 7 9 2" xfId="9630"/>
    <cellStyle name="Normal 4 7 9 3" xfId="1174"/>
    <cellStyle name="Normal 4 8" xfId="778"/>
    <cellStyle name="Normal 4 8 10" xfId="779"/>
    <cellStyle name="Normal 4 8 10 2" xfId="9632"/>
    <cellStyle name="Normal 4 8 10 3" xfId="1146"/>
    <cellStyle name="Normal 4 8 11" xfId="9631"/>
    <cellStyle name="Normal 4 8 12" xfId="9634"/>
    <cellStyle name="Normal 4 8 13" xfId="9635"/>
    <cellStyle name="Normal 4 8 14" xfId="9636"/>
    <cellStyle name="Normal 4 8 15" xfId="9637"/>
    <cellStyle name="Normal 4 8 16" xfId="9638"/>
    <cellStyle name="Normal 4 8 17" xfId="9639"/>
    <cellStyle name="Normal 4 8 18" xfId="9640"/>
    <cellStyle name="Normal 4 8 19" xfId="9641"/>
    <cellStyle name="Normal 4 8 2" xfId="780"/>
    <cellStyle name="Normal 4 8 2 10" xfId="9643"/>
    <cellStyle name="Normal 4 8 2 11" xfId="9644"/>
    <cellStyle name="Normal 4 8 2 12" xfId="9645"/>
    <cellStyle name="Normal 4 8 2 13" xfId="9646"/>
    <cellStyle name="Normal 4 8 2 14" xfId="9647"/>
    <cellStyle name="Normal 4 8 2 15" xfId="1132"/>
    <cellStyle name="Normal 4 8 2 2" xfId="9642"/>
    <cellStyle name="Normal 4 8 2 3" xfId="9649"/>
    <cellStyle name="Normal 4 8 2 4" xfId="9650"/>
    <cellStyle name="Normal 4 8 2 5" xfId="9651"/>
    <cellStyle name="Normal 4 8 2 6" xfId="9652"/>
    <cellStyle name="Normal 4 8 2 7" xfId="9653"/>
    <cellStyle name="Normal 4 8 2 8" xfId="9654"/>
    <cellStyle name="Normal 4 8 2 9" xfId="9655"/>
    <cellStyle name="Normal 4 8 20" xfId="9656"/>
    <cellStyle name="Normal 4 8 21" xfId="9657"/>
    <cellStyle name="Normal 4 8 22" xfId="9658"/>
    <cellStyle name="Normal 4 8 23" xfId="1160"/>
    <cellStyle name="Normal 4 8 24" xfId="33558"/>
    <cellStyle name="Normal 4 8 3" xfId="781"/>
    <cellStyle name="Normal 4 8 3 10" xfId="9660"/>
    <cellStyle name="Normal 4 8 3 11" xfId="9661"/>
    <cellStyle name="Normal 4 8 3 12" xfId="9662"/>
    <cellStyle name="Normal 4 8 3 13" xfId="9663"/>
    <cellStyle name="Normal 4 8 3 14" xfId="9664"/>
    <cellStyle name="Normal 4 8 3 15" xfId="1115"/>
    <cellStyle name="Normal 4 8 3 2" xfId="9659"/>
    <cellStyle name="Normal 4 8 3 3" xfId="9666"/>
    <cellStyle name="Normal 4 8 3 4" xfId="9667"/>
    <cellStyle name="Normal 4 8 3 5" xfId="9668"/>
    <cellStyle name="Normal 4 8 3 6" xfId="9669"/>
    <cellStyle name="Normal 4 8 3 7" xfId="9670"/>
    <cellStyle name="Normal 4 8 3 8" xfId="9671"/>
    <cellStyle name="Normal 4 8 3 9" xfId="9672"/>
    <cellStyle name="Normal 4 8 4" xfId="782"/>
    <cellStyle name="Normal 4 8 4 10" xfId="9674"/>
    <cellStyle name="Normal 4 8 4 11" xfId="9675"/>
    <cellStyle name="Normal 4 8 4 12" xfId="9676"/>
    <cellStyle name="Normal 4 8 4 13" xfId="9677"/>
    <cellStyle name="Normal 4 8 4 14" xfId="9678"/>
    <cellStyle name="Normal 4 8 4 15" xfId="1100"/>
    <cellStyle name="Normal 4 8 4 2" xfId="9673"/>
    <cellStyle name="Normal 4 8 4 3" xfId="9680"/>
    <cellStyle name="Normal 4 8 4 4" xfId="9681"/>
    <cellStyle name="Normal 4 8 4 5" xfId="9682"/>
    <cellStyle name="Normal 4 8 4 6" xfId="9683"/>
    <cellStyle name="Normal 4 8 4 7" xfId="9684"/>
    <cellStyle name="Normal 4 8 4 8" xfId="9685"/>
    <cellStyle name="Normal 4 8 4 9" xfId="9686"/>
    <cellStyle name="Normal 4 8 5" xfId="783"/>
    <cellStyle name="Normal 4 8 5 10" xfId="9688"/>
    <cellStyle name="Normal 4 8 5 11" xfId="9689"/>
    <cellStyle name="Normal 4 8 5 12" xfId="9690"/>
    <cellStyle name="Normal 4 8 5 13" xfId="9691"/>
    <cellStyle name="Normal 4 8 5 14" xfId="9692"/>
    <cellStyle name="Normal 4 8 5 15" xfId="1097"/>
    <cellStyle name="Normal 4 8 5 2" xfId="9687"/>
    <cellStyle name="Normal 4 8 5 3" xfId="9694"/>
    <cellStyle name="Normal 4 8 5 4" xfId="9695"/>
    <cellStyle name="Normal 4 8 5 5" xfId="9696"/>
    <cellStyle name="Normal 4 8 5 6" xfId="9697"/>
    <cellStyle name="Normal 4 8 5 7" xfId="9698"/>
    <cellStyle name="Normal 4 8 5 8" xfId="9699"/>
    <cellStyle name="Normal 4 8 5 9" xfId="9700"/>
    <cellStyle name="Normal 4 8 6" xfId="784"/>
    <cellStyle name="Normal 4 8 6 10" xfId="9702"/>
    <cellStyle name="Normal 4 8 6 11" xfId="9703"/>
    <cellStyle name="Normal 4 8 6 12" xfId="9704"/>
    <cellStyle name="Normal 4 8 6 13" xfId="9705"/>
    <cellStyle name="Normal 4 8 6 14" xfId="9706"/>
    <cellStyle name="Normal 4 8 6 15" xfId="1096"/>
    <cellStyle name="Normal 4 8 6 2" xfId="9701"/>
    <cellStyle name="Normal 4 8 6 3" xfId="9708"/>
    <cellStyle name="Normal 4 8 6 4" xfId="9709"/>
    <cellStyle name="Normal 4 8 6 5" xfId="9710"/>
    <cellStyle name="Normal 4 8 6 6" xfId="9711"/>
    <cellStyle name="Normal 4 8 6 7" xfId="9712"/>
    <cellStyle name="Normal 4 8 6 8" xfId="9713"/>
    <cellStyle name="Normal 4 8 6 9" xfId="9714"/>
    <cellStyle name="Normal 4 8 7" xfId="785"/>
    <cellStyle name="Normal 4 8 7 10" xfId="9716"/>
    <cellStyle name="Normal 4 8 7 11" xfId="9717"/>
    <cellStyle name="Normal 4 8 7 12" xfId="9718"/>
    <cellStyle name="Normal 4 8 7 13" xfId="9719"/>
    <cellStyle name="Normal 4 8 7 14" xfId="9720"/>
    <cellStyle name="Normal 4 8 7 15" xfId="1084"/>
    <cellStyle name="Normal 4 8 7 2" xfId="9715"/>
    <cellStyle name="Normal 4 8 7 3" xfId="9722"/>
    <cellStyle name="Normal 4 8 7 4" xfId="9723"/>
    <cellStyle name="Normal 4 8 7 5" xfId="9724"/>
    <cellStyle name="Normal 4 8 7 6" xfId="9725"/>
    <cellStyle name="Normal 4 8 7 7" xfId="9726"/>
    <cellStyle name="Normal 4 8 7 8" xfId="9727"/>
    <cellStyle name="Normal 4 8 7 9" xfId="9728"/>
    <cellStyle name="Normal 4 8 8" xfId="786"/>
    <cellStyle name="Normal 4 8 8 10" xfId="9730"/>
    <cellStyle name="Normal 4 8 8 11" xfId="9731"/>
    <cellStyle name="Normal 4 8 8 12" xfId="9732"/>
    <cellStyle name="Normal 4 8 8 13" xfId="9733"/>
    <cellStyle name="Normal 4 8 8 14" xfId="9734"/>
    <cellStyle name="Normal 4 8 8 15" xfId="1070"/>
    <cellStyle name="Normal 4 8 8 2" xfId="9729"/>
    <cellStyle name="Normal 4 8 8 3" xfId="9736"/>
    <cellStyle name="Normal 4 8 8 4" xfId="9737"/>
    <cellStyle name="Normal 4 8 8 5" xfId="9738"/>
    <cellStyle name="Normal 4 8 8 6" xfId="9739"/>
    <cellStyle name="Normal 4 8 8 7" xfId="9740"/>
    <cellStyle name="Normal 4 8 8 8" xfId="9741"/>
    <cellStyle name="Normal 4 8 8 9" xfId="9742"/>
    <cellStyle name="Normal 4 8 9" xfId="787"/>
    <cellStyle name="Normal 4 8 9 2" xfId="9743"/>
    <cellStyle name="Normal 4 8 9 3" xfId="1056"/>
    <cellStyle name="Normal 4 9" xfId="788"/>
    <cellStyle name="Normal 4 9 10" xfId="789"/>
    <cellStyle name="Normal 4 9 10 2" xfId="9745"/>
    <cellStyle name="Normal 4 9 10 3" xfId="11889"/>
    <cellStyle name="Normal 4 9 11" xfId="9744"/>
    <cellStyle name="Normal 4 9 12" xfId="9747"/>
    <cellStyle name="Normal 4 9 13" xfId="9748"/>
    <cellStyle name="Normal 4 9 14" xfId="9749"/>
    <cellStyle name="Normal 4 9 15" xfId="9750"/>
    <cellStyle name="Normal 4 9 16" xfId="9751"/>
    <cellStyle name="Normal 4 9 17" xfId="9752"/>
    <cellStyle name="Normal 4 9 18" xfId="9753"/>
    <cellStyle name="Normal 4 9 19" xfId="9754"/>
    <cellStyle name="Normal 4 9 2" xfId="790"/>
    <cellStyle name="Normal 4 9 2 10" xfId="9756"/>
    <cellStyle name="Normal 4 9 2 11" xfId="9757"/>
    <cellStyle name="Normal 4 9 2 12" xfId="9758"/>
    <cellStyle name="Normal 4 9 2 13" xfId="9759"/>
    <cellStyle name="Normal 4 9 2 14" xfId="9760"/>
    <cellStyle name="Normal 4 9 2 15" xfId="11890"/>
    <cellStyle name="Normal 4 9 2 2" xfId="9755"/>
    <cellStyle name="Normal 4 9 2 3" xfId="9762"/>
    <cellStyle name="Normal 4 9 2 4" xfId="9763"/>
    <cellStyle name="Normal 4 9 2 5" xfId="9764"/>
    <cellStyle name="Normal 4 9 2 6" xfId="9765"/>
    <cellStyle name="Normal 4 9 2 7" xfId="9766"/>
    <cellStyle name="Normal 4 9 2 8" xfId="9767"/>
    <cellStyle name="Normal 4 9 2 9" xfId="9768"/>
    <cellStyle name="Normal 4 9 20" xfId="9769"/>
    <cellStyle name="Normal 4 9 21" xfId="9770"/>
    <cellStyle name="Normal 4 9 22" xfId="9771"/>
    <cellStyle name="Normal 4 9 23" xfId="1042"/>
    <cellStyle name="Normal 4 9 24" xfId="33559"/>
    <cellStyle name="Normal 4 9 3" xfId="791"/>
    <cellStyle name="Normal 4 9 3 10" xfId="9773"/>
    <cellStyle name="Normal 4 9 3 11" xfId="9774"/>
    <cellStyle name="Normal 4 9 3 12" xfId="9775"/>
    <cellStyle name="Normal 4 9 3 13" xfId="9776"/>
    <cellStyle name="Normal 4 9 3 14" xfId="9777"/>
    <cellStyle name="Normal 4 9 3 15" xfId="11891"/>
    <cellStyle name="Normal 4 9 3 2" xfId="9772"/>
    <cellStyle name="Normal 4 9 3 3" xfId="9779"/>
    <cellStyle name="Normal 4 9 3 4" xfId="9780"/>
    <cellStyle name="Normal 4 9 3 5" xfId="9781"/>
    <cellStyle name="Normal 4 9 3 6" xfId="9782"/>
    <cellStyle name="Normal 4 9 3 7" xfId="9783"/>
    <cellStyle name="Normal 4 9 3 8" xfId="9784"/>
    <cellStyle name="Normal 4 9 3 9" xfId="9785"/>
    <cellStyle name="Normal 4 9 4" xfId="792"/>
    <cellStyle name="Normal 4 9 4 10" xfId="9787"/>
    <cellStyle name="Normal 4 9 4 11" xfId="9788"/>
    <cellStyle name="Normal 4 9 4 12" xfId="9789"/>
    <cellStyle name="Normal 4 9 4 13" xfId="9790"/>
    <cellStyle name="Normal 4 9 4 14" xfId="9791"/>
    <cellStyle name="Normal 4 9 4 15" xfId="11892"/>
    <cellStyle name="Normal 4 9 4 2" xfId="9786"/>
    <cellStyle name="Normal 4 9 4 3" xfId="9793"/>
    <cellStyle name="Normal 4 9 4 4" xfId="9794"/>
    <cellStyle name="Normal 4 9 4 5" xfId="9795"/>
    <cellStyle name="Normal 4 9 4 6" xfId="9796"/>
    <cellStyle name="Normal 4 9 4 7" xfId="9797"/>
    <cellStyle name="Normal 4 9 4 8" xfId="9798"/>
    <cellStyle name="Normal 4 9 4 9" xfId="9799"/>
    <cellStyle name="Normal 4 9 5" xfId="793"/>
    <cellStyle name="Normal 4 9 5 10" xfId="9801"/>
    <cellStyle name="Normal 4 9 5 11" xfId="9802"/>
    <cellStyle name="Normal 4 9 5 12" xfId="9803"/>
    <cellStyle name="Normal 4 9 5 13" xfId="9804"/>
    <cellStyle name="Normal 4 9 5 14" xfId="9805"/>
    <cellStyle name="Normal 4 9 5 15" xfId="11893"/>
    <cellStyle name="Normal 4 9 5 2" xfId="9800"/>
    <cellStyle name="Normal 4 9 5 3" xfId="9807"/>
    <cellStyle name="Normal 4 9 5 4" xfId="9808"/>
    <cellStyle name="Normal 4 9 5 5" xfId="9809"/>
    <cellStyle name="Normal 4 9 5 6" xfId="9810"/>
    <cellStyle name="Normal 4 9 5 7" xfId="9811"/>
    <cellStyle name="Normal 4 9 5 8" xfId="9812"/>
    <cellStyle name="Normal 4 9 5 9" xfId="9813"/>
    <cellStyle name="Normal 4 9 6" xfId="794"/>
    <cellStyle name="Normal 4 9 6 10" xfId="9815"/>
    <cellStyle name="Normal 4 9 6 11" xfId="9816"/>
    <cellStyle name="Normal 4 9 6 12" xfId="9817"/>
    <cellStyle name="Normal 4 9 6 13" xfId="9818"/>
    <cellStyle name="Normal 4 9 6 14" xfId="9819"/>
    <cellStyle name="Normal 4 9 6 15" xfId="11894"/>
    <cellStyle name="Normal 4 9 6 2" xfId="9814"/>
    <cellStyle name="Normal 4 9 6 3" xfId="9821"/>
    <cellStyle name="Normal 4 9 6 4" xfId="9822"/>
    <cellStyle name="Normal 4 9 6 5" xfId="9823"/>
    <cellStyle name="Normal 4 9 6 6" xfId="9824"/>
    <cellStyle name="Normal 4 9 6 7" xfId="9825"/>
    <cellStyle name="Normal 4 9 6 8" xfId="9826"/>
    <cellStyle name="Normal 4 9 6 9" xfId="9827"/>
    <cellStyle name="Normal 4 9 7" xfId="795"/>
    <cellStyle name="Normal 4 9 7 10" xfId="9829"/>
    <cellStyle name="Normal 4 9 7 11" xfId="9830"/>
    <cellStyle name="Normal 4 9 7 12" xfId="9831"/>
    <cellStyle name="Normal 4 9 7 13" xfId="9832"/>
    <cellStyle name="Normal 4 9 7 14" xfId="9833"/>
    <cellStyle name="Normal 4 9 7 15" xfId="11895"/>
    <cellStyle name="Normal 4 9 7 2" xfId="9828"/>
    <cellStyle name="Normal 4 9 7 3" xfId="9835"/>
    <cellStyle name="Normal 4 9 7 4" xfId="9836"/>
    <cellStyle name="Normal 4 9 7 5" xfId="9837"/>
    <cellStyle name="Normal 4 9 7 6" xfId="9838"/>
    <cellStyle name="Normal 4 9 7 7" xfId="9839"/>
    <cellStyle name="Normal 4 9 7 8" xfId="9840"/>
    <cellStyle name="Normal 4 9 7 9" xfId="9841"/>
    <cellStyle name="Normal 4 9 8" xfId="796"/>
    <cellStyle name="Normal 4 9 8 10" xfId="9843"/>
    <cellStyle name="Normal 4 9 8 11" xfId="9844"/>
    <cellStyle name="Normal 4 9 8 12" xfId="9845"/>
    <cellStyle name="Normal 4 9 8 13" xfId="9846"/>
    <cellStyle name="Normal 4 9 8 14" xfId="9847"/>
    <cellStyle name="Normal 4 9 8 15" xfId="11896"/>
    <cellStyle name="Normal 4 9 8 2" xfId="9842"/>
    <cellStyle name="Normal 4 9 8 3" xfId="9849"/>
    <cellStyle name="Normal 4 9 8 4" xfId="9850"/>
    <cellStyle name="Normal 4 9 8 5" xfId="9851"/>
    <cellStyle name="Normal 4 9 8 6" xfId="9852"/>
    <cellStyle name="Normal 4 9 8 7" xfId="9853"/>
    <cellStyle name="Normal 4 9 8 8" xfId="9854"/>
    <cellStyle name="Normal 4 9 8 9" xfId="9855"/>
    <cellStyle name="Normal 4 9 9" xfId="797"/>
    <cellStyle name="Normal 4 9 9 2" xfId="9856"/>
    <cellStyle name="Normal 4 9 9 3" xfId="11897"/>
    <cellStyle name="Normal 40" xfId="33560"/>
    <cellStyle name="Normal 41" xfId="33561"/>
    <cellStyle name="Normal 42" xfId="33562"/>
    <cellStyle name="Normal 43" xfId="33563"/>
    <cellStyle name="Normal 44" xfId="33564"/>
    <cellStyle name="Normal 45" xfId="33565"/>
    <cellStyle name="Normal 46" xfId="33566"/>
    <cellStyle name="Normal 47" xfId="33567"/>
    <cellStyle name="Normal 48" xfId="33568"/>
    <cellStyle name="Normal 49" xfId="33569"/>
    <cellStyle name="Normal 5" xfId="798"/>
    <cellStyle name="Normal 5 10" xfId="33571"/>
    <cellStyle name="Normal 5 10 10" xfId="33572"/>
    <cellStyle name="Normal 5 10 10 10" xfId="33573"/>
    <cellStyle name="Normal 5 10 10 11" xfId="33574"/>
    <cellStyle name="Normal 5 10 10 12" xfId="33575"/>
    <cellStyle name="Normal 5 10 10 13" xfId="33576"/>
    <cellStyle name="Normal 5 10 10 14" xfId="33577"/>
    <cellStyle name="Normal 5 10 10 2" xfId="33578"/>
    <cellStyle name="Normal 5 10 10 2 2" xfId="33579"/>
    <cellStyle name="Normal 5 10 10 2 2 2" xfId="33580"/>
    <cellStyle name="Normal 5 10 10 2 3" xfId="33581"/>
    <cellStyle name="Normal 5 10 10 2 3 2" xfId="33582"/>
    <cellStyle name="Normal 5 10 10 2 4" xfId="33583"/>
    <cellStyle name="Normal 5 10 10 2 4 2" xfId="33584"/>
    <cellStyle name="Normal 5 10 10 2 5" xfId="33585"/>
    <cellStyle name="Normal 5 10 10 2 5 2" xfId="33586"/>
    <cellStyle name="Normal 5 10 10 2 6" xfId="33587"/>
    <cellStyle name="Normal 5 10 10 2 7" xfId="33588"/>
    <cellStyle name="Normal 5 10 10 2 8" xfId="33589"/>
    <cellStyle name="Normal 5 10 10 2 9" xfId="33590"/>
    <cellStyle name="Normal 5 10 10 3" xfId="33591"/>
    <cellStyle name="Normal 5 10 10 3 2" xfId="33592"/>
    <cellStyle name="Normal 5 10 10 3 2 2" xfId="33593"/>
    <cellStyle name="Normal 5 10 10 3 3" xfId="33594"/>
    <cellStyle name="Normal 5 10 10 3 4" xfId="33595"/>
    <cellStyle name="Normal 5 10 10 3 5" xfId="33596"/>
    <cellStyle name="Normal 5 10 10 4" xfId="33597"/>
    <cellStyle name="Normal 5 10 10 4 2" xfId="33598"/>
    <cellStyle name="Normal 5 10 10 5" xfId="33599"/>
    <cellStyle name="Normal 5 10 10 5 2" xfId="33600"/>
    <cellStyle name="Normal 5 10 10 6" xfId="33601"/>
    <cellStyle name="Normal 5 10 10 6 2" xfId="33602"/>
    <cellStyle name="Normal 5 10 10 7" xfId="33603"/>
    <cellStyle name="Normal 5 10 10 7 2" xfId="33604"/>
    <cellStyle name="Normal 5 10 10 8" xfId="33605"/>
    <cellStyle name="Normal 5 10 10 9" xfId="33606"/>
    <cellStyle name="Normal 5 10 11" xfId="33607"/>
    <cellStyle name="Normal 5 10 11 2" xfId="33608"/>
    <cellStyle name="Normal 5 10 11 2 2" xfId="33609"/>
    <cellStyle name="Normal 5 10 11 3" xfId="33610"/>
    <cellStyle name="Normal 5 10 11 3 2" xfId="33611"/>
    <cellStyle name="Normal 5 10 11 4" xfId="33612"/>
    <cellStyle name="Normal 5 10 11 4 2" xfId="33613"/>
    <cellStyle name="Normal 5 10 11 5" xfId="33614"/>
    <cellStyle name="Normal 5 10 11 5 2" xfId="33615"/>
    <cellStyle name="Normal 5 10 11 6" xfId="33616"/>
    <cellStyle name="Normal 5 10 11 7" xfId="33617"/>
    <cellStyle name="Normal 5 10 11 8" xfId="33618"/>
    <cellStyle name="Normal 5 10 11 9" xfId="33619"/>
    <cellStyle name="Normal 5 10 12" xfId="33620"/>
    <cellStyle name="Normal 5 10 12 2" xfId="33621"/>
    <cellStyle name="Normal 5 10 12 2 2" xfId="33622"/>
    <cellStyle name="Normal 5 10 12 3" xfId="33623"/>
    <cellStyle name="Normal 5 10 12 4" xfId="33624"/>
    <cellStyle name="Normal 5 10 12 5" xfId="33625"/>
    <cellStyle name="Normal 5 10 13" xfId="33626"/>
    <cellStyle name="Normal 5 10 13 2" xfId="33627"/>
    <cellStyle name="Normal 5 10 14" xfId="33628"/>
    <cellStyle name="Normal 5 10 14 2" xfId="33629"/>
    <cellStyle name="Normal 5 10 15" xfId="33630"/>
    <cellStyle name="Normal 5 10 15 2" xfId="33631"/>
    <cellStyle name="Normal 5 10 16" xfId="33632"/>
    <cellStyle name="Normal 5 10 16 2" xfId="33633"/>
    <cellStyle name="Normal 5 10 17" xfId="33634"/>
    <cellStyle name="Normal 5 10 18" xfId="33635"/>
    <cellStyle name="Normal 5 10 19" xfId="33636"/>
    <cellStyle name="Normal 5 10 2" xfId="33637"/>
    <cellStyle name="Normal 5 10 2 10" xfId="33638"/>
    <cellStyle name="Normal 5 10 2 11" xfId="33639"/>
    <cellStyle name="Normal 5 10 2 12" xfId="33640"/>
    <cellStyle name="Normal 5 10 2 13" xfId="33641"/>
    <cellStyle name="Normal 5 10 2 14" xfId="33642"/>
    <cellStyle name="Normal 5 10 2 15" xfId="33643"/>
    <cellStyle name="Normal 5 10 2 16" xfId="33644"/>
    <cellStyle name="Normal 5 10 2 17" xfId="33645"/>
    <cellStyle name="Normal 5 10 2 18" xfId="33646"/>
    <cellStyle name="Normal 5 10 2 2" xfId="33647"/>
    <cellStyle name="Normal 5 10 2 2 10" xfId="33648"/>
    <cellStyle name="Normal 5 10 2 2 11" xfId="33649"/>
    <cellStyle name="Normal 5 10 2 2 12" xfId="33650"/>
    <cellStyle name="Normal 5 10 2 2 13" xfId="33651"/>
    <cellStyle name="Normal 5 10 2 2 2" xfId="33652"/>
    <cellStyle name="Normal 5 10 2 2 2 2" xfId="33653"/>
    <cellStyle name="Normal 5 10 2 2 2 2 2" xfId="33654"/>
    <cellStyle name="Normal 5 10 2 2 2 3" xfId="33655"/>
    <cellStyle name="Normal 5 10 2 2 2 4" xfId="33656"/>
    <cellStyle name="Normal 5 10 2 2 2 5" xfId="33657"/>
    <cellStyle name="Normal 5 10 2 2 3" xfId="33658"/>
    <cellStyle name="Normal 5 10 2 2 3 2" xfId="33659"/>
    <cellStyle name="Normal 5 10 2 2 4" xfId="33660"/>
    <cellStyle name="Normal 5 10 2 2 4 2" xfId="33661"/>
    <cellStyle name="Normal 5 10 2 2 5" xfId="33662"/>
    <cellStyle name="Normal 5 10 2 2 5 2" xfId="33663"/>
    <cellStyle name="Normal 5 10 2 2 6" xfId="33664"/>
    <cellStyle name="Normal 5 10 2 2 6 2" xfId="33665"/>
    <cellStyle name="Normal 5 10 2 2 7" xfId="33666"/>
    <cellStyle name="Normal 5 10 2 2 8" xfId="33667"/>
    <cellStyle name="Normal 5 10 2 2 9" xfId="33668"/>
    <cellStyle name="Normal 5 10 2 3" xfId="33669"/>
    <cellStyle name="Normal 5 10 2 3 2" xfId="33670"/>
    <cellStyle name="Normal 5 10 2 3 2 2" xfId="33671"/>
    <cellStyle name="Normal 5 10 2 3 3" xfId="33672"/>
    <cellStyle name="Normal 5 10 2 3 4" xfId="33673"/>
    <cellStyle name="Normal 5 10 2 3 5" xfId="33674"/>
    <cellStyle name="Normal 5 10 2 4" xfId="33675"/>
    <cellStyle name="Normal 5 10 2 4 2" xfId="33676"/>
    <cellStyle name="Normal 5 10 2 5" xfId="33677"/>
    <cellStyle name="Normal 5 10 2 5 2" xfId="33678"/>
    <cellStyle name="Normal 5 10 2 6" xfId="33679"/>
    <cellStyle name="Normal 5 10 2 6 2" xfId="33680"/>
    <cellStyle name="Normal 5 10 2 7" xfId="33681"/>
    <cellStyle name="Normal 5 10 2 7 2" xfId="33682"/>
    <cellStyle name="Normal 5 10 2 8" xfId="33683"/>
    <cellStyle name="Normal 5 10 2 9" xfId="33684"/>
    <cellStyle name="Normal 5 10 20" xfId="33685"/>
    <cellStyle name="Normal 5 10 21" xfId="33686"/>
    <cellStyle name="Normal 5 10 22" xfId="33687"/>
    <cellStyle name="Normal 5 10 23" xfId="33688"/>
    <cellStyle name="Normal 5 10 24" xfId="33689"/>
    <cellStyle name="Normal 5 10 25" xfId="33690"/>
    <cellStyle name="Normal 5 10 3" xfId="33691"/>
    <cellStyle name="Normal 5 10 3 10" xfId="33692"/>
    <cellStyle name="Normal 5 10 3 11" xfId="33693"/>
    <cellStyle name="Normal 5 10 3 12" xfId="33694"/>
    <cellStyle name="Normal 5 10 3 13" xfId="33695"/>
    <cellStyle name="Normal 5 10 3 14" xfId="33696"/>
    <cellStyle name="Normal 5 10 3 15" xfId="33697"/>
    <cellStyle name="Normal 5 10 3 16" xfId="33698"/>
    <cellStyle name="Normal 5 10 3 17" xfId="33699"/>
    <cellStyle name="Normal 5 10 3 18" xfId="33700"/>
    <cellStyle name="Normal 5 10 3 2" xfId="33701"/>
    <cellStyle name="Normal 5 10 3 2 10" xfId="33702"/>
    <cellStyle name="Normal 5 10 3 2 11" xfId="33703"/>
    <cellStyle name="Normal 5 10 3 2 12" xfId="33704"/>
    <cellStyle name="Normal 5 10 3 2 13" xfId="33705"/>
    <cellStyle name="Normal 5 10 3 2 2" xfId="33706"/>
    <cellStyle name="Normal 5 10 3 2 2 2" xfId="33707"/>
    <cellStyle name="Normal 5 10 3 2 2 2 2" xfId="33708"/>
    <cellStyle name="Normal 5 10 3 2 2 3" xfId="33709"/>
    <cellStyle name="Normal 5 10 3 2 2 4" xfId="33710"/>
    <cellStyle name="Normal 5 10 3 2 2 5" xfId="33711"/>
    <cellStyle name="Normal 5 10 3 2 3" xfId="33712"/>
    <cellStyle name="Normal 5 10 3 2 3 2" xfId="33713"/>
    <cellStyle name="Normal 5 10 3 2 4" xfId="33714"/>
    <cellStyle name="Normal 5 10 3 2 4 2" xfId="33715"/>
    <cellStyle name="Normal 5 10 3 2 5" xfId="33716"/>
    <cellStyle name="Normal 5 10 3 2 5 2" xfId="33717"/>
    <cellStyle name="Normal 5 10 3 2 6" xfId="33718"/>
    <cellStyle name="Normal 5 10 3 2 6 2" xfId="33719"/>
    <cellStyle name="Normal 5 10 3 2 7" xfId="33720"/>
    <cellStyle name="Normal 5 10 3 2 8" xfId="33721"/>
    <cellStyle name="Normal 5 10 3 2 9" xfId="33722"/>
    <cellStyle name="Normal 5 10 3 3" xfId="33723"/>
    <cellStyle name="Normal 5 10 3 3 2" xfId="33724"/>
    <cellStyle name="Normal 5 10 3 3 2 2" xfId="33725"/>
    <cellStyle name="Normal 5 10 3 3 3" xfId="33726"/>
    <cellStyle name="Normal 5 10 3 3 4" xfId="33727"/>
    <cellStyle name="Normal 5 10 3 3 5" xfId="33728"/>
    <cellStyle name="Normal 5 10 3 4" xfId="33729"/>
    <cellStyle name="Normal 5 10 3 4 2" xfId="33730"/>
    <cellStyle name="Normal 5 10 3 5" xfId="33731"/>
    <cellStyle name="Normal 5 10 3 5 2" xfId="33732"/>
    <cellStyle name="Normal 5 10 3 6" xfId="33733"/>
    <cellStyle name="Normal 5 10 3 6 2" xfId="33734"/>
    <cellStyle name="Normal 5 10 3 7" xfId="33735"/>
    <cellStyle name="Normal 5 10 3 7 2" xfId="33736"/>
    <cellStyle name="Normal 5 10 3 8" xfId="33737"/>
    <cellStyle name="Normal 5 10 3 9" xfId="33738"/>
    <cellStyle name="Normal 5 10 4" xfId="33739"/>
    <cellStyle name="Normal 5 10 4 10" xfId="33740"/>
    <cellStyle name="Normal 5 10 4 11" xfId="33741"/>
    <cellStyle name="Normal 5 10 4 12" xfId="33742"/>
    <cellStyle name="Normal 5 10 4 13" xfId="33743"/>
    <cellStyle name="Normal 5 10 4 14" xfId="33744"/>
    <cellStyle name="Normal 5 10 4 15" xfId="33745"/>
    <cellStyle name="Normal 5 10 4 16" xfId="33746"/>
    <cellStyle name="Normal 5 10 4 17" xfId="33747"/>
    <cellStyle name="Normal 5 10 4 18" xfId="33748"/>
    <cellStyle name="Normal 5 10 4 2" xfId="33749"/>
    <cellStyle name="Normal 5 10 4 2 10" xfId="33750"/>
    <cellStyle name="Normal 5 10 4 2 11" xfId="33751"/>
    <cellStyle name="Normal 5 10 4 2 12" xfId="33752"/>
    <cellStyle name="Normal 5 10 4 2 13" xfId="33753"/>
    <cellStyle name="Normal 5 10 4 2 2" xfId="33754"/>
    <cellStyle name="Normal 5 10 4 2 2 2" xfId="33755"/>
    <cellStyle name="Normal 5 10 4 2 2 2 2" xfId="33756"/>
    <cellStyle name="Normal 5 10 4 2 2 3" xfId="33757"/>
    <cellStyle name="Normal 5 10 4 2 2 4" xfId="33758"/>
    <cellStyle name="Normal 5 10 4 2 2 5" xfId="33759"/>
    <cellStyle name="Normal 5 10 4 2 3" xfId="33760"/>
    <cellStyle name="Normal 5 10 4 2 3 2" xfId="33761"/>
    <cellStyle name="Normal 5 10 4 2 4" xfId="33762"/>
    <cellStyle name="Normal 5 10 4 2 4 2" xfId="33763"/>
    <cellStyle name="Normal 5 10 4 2 5" xfId="33764"/>
    <cellStyle name="Normal 5 10 4 2 5 2" xfId="33765"/>
    <cellStyle name="Normal 5 10 4 2 6" xfId="33766"/>
    <cellStyle name="Normal 5 10 4 2 6 2" xfId="33767"/>
    <cellStyle name="Normal 5 10 4 2 7" xfId="33768"/>
    <cellStyle name="Normal 5 10 4 2 8" xfId="33769"/>
    <cellStyle name="Normal 5 10 4 2 9" xfId="33770"/>
    <cellStyle name="Normal 5 10 4 3" xfId="33771"/>
    <cellStyle name="Normal 5 10 4 3 2" xfId="33772"/>
    <cellStyle name="Normal 5 10 4 3 2 2" xfId="33773"/>
    <cellStyle name="Normal 5 10 4 3 3" xfId="33774"/>
    <cellStyle name="Normal 5 10 4 3 4" xfId="33775"/>
    <cellStyle name="Normal 5 10 4 3 5" xfId="33776"/>
    <cellStyle name="Normal 5 10 4 4" xfId="33777"/>
    <cellStyle name="Normal 5 10 4 4 2" xfId="33778"/>
    <cellStyle name="Normal 5 10 4 5" xfId="33779"/>
    <cellStyle name="Normal 5 10 4 5 2" xfId="33780"/>
    <cellStyle name="Normal 5 10 4 6" xfId="33781"/>
    <cellStyle name="Normal 5 10 4 6 2" xfId="33782"/>
    <cellStyle name="Normal 5 10 4 7" xfId="33783"/>
    <cellStyle name="Normal 5 10 4 7 2" xfId="33784"/>
    <cellStyle name="Normal 5 10 4 8" xfId="33785"/>
    <cellStyle name="Normal 5 10 4 9" xfId="33786"/>
    <cellStyle name="Normal 5 10 5" xfId="33787"/>
    <cellStyle name="Normal 5 10 5 10" xfId="33788"/>
    <cellStyle name="Normal 5 10 5 11" xfId="33789"/>
    <cellStyle name="Normal 5 10 5 12" xfId="33790"/>
    <cellStyle name="Normal 5 10 5 13" xfId="33791"/>
    <cellStyle name="Normal 5 10 5 14" xfId="33792"/>
    <cellStyle name="Normal 5 10 5 15" xfId="33793"/>
    <cellStyle name="Normal 5 10 5 16" xfId="33794"/>
    <cellStyle name="Normal 5 10 5 17" xfId="33795"/>
    <cellStyle name="Normal 5 10 5 2" xfId="33796"/>
    <cellStyle name="Normal 5 10 5 2 10" xfId="33797"/>
    <cellStyle name="Normal 5 10 5 2 11" xfId="33798"/>
    <cellStyle name="Normal 5 10 5 2 12" xfId="33799"/>
    <cellStyle name="Normal 5 10 5 2 13" xfId="33800"/>
    <cellStyle name="Normal 5 10 5 2 2" xfId="33801"/>
    <cellStyle name="Normal 5 10 5 2 2 2" xfId="33802"/>
    <cellStyle name="Normal 5 10 5 2 2 2 2" xfId="33803"/>
    <cellStyle name="Normal 5 10 5 2 2 3" xfId="33804"/>
    <cellStyle name="Normal 5 10 5 2 2 4" xfId="33805"/>
    <cellStyle name="Normal 5 10 5 2 2 5" xfId="33806"/>
    <cellStyle name="Normal 5 10 5 2 3" xfId="33807"/>
    <cellStyle name="Normal 5 10 5 2 3 2" xfId="33808"/>
    <cellStyle name="Normal 5 10 5 2 4" xfId="33809"/>
    <cellStyle name="Normal 5 10 5 2 4 2" xfId="33810"/>
    <cellStyle name="Normal 5 10 5 2 5" xfId="33811"/>
    <cellStyle name="Normal 5 10 5 2 5 2" xfId="33812"/>
    <cellStyle name="Normal 5 10 5 2 6" xfId="33813"/>
    <cellStyle name="Normal 5 10 5 2 6 2" xfId="33814"/>
    <cellStyle name="Normal 5 10 5 2 7" xfId="33815"/>
    <cellStyle name="Normal 5 10 5 2 8" xfId="33816"/>
    <cellStyle name="Normal 5 10 5 2 9" xfId="33817"/>
    <cellStyle name="Normal 5 10 5 3" xfId="33818"/>
    <cellStyle name="Normal 5 10 5 3 2" xfId="33819"/>
    <cellStyle name="Normal 5 10 5 3 2 2" xfId="33820"/>
    <cellStyle name="Normal 5 10 5 3 3" xfId="33821"/>
    <cellStyle name="Normal 5 10 5 3 4" xfId="33822"/>
    <cellStyle name="Normal 5 10 5 3 5" xfId="33823"/>
    <cellStyle name="Normal 5 10 5 4" xfId="33824"/>
    <cellStyle name="Normal 5 10 5 4 2" xfId="33825"/>
    <cellStyle name="Normal 5 10 5 5" xfId="33826"/>
    <cellStyle name="Normal 5 10 5 5 2" xfId="33827"/>
    <cellStyle name="Normal 5 10 5 6" xfId="33828"/>
    <cellStyle name="Normal 5 10 5 6 2" xfId="33829"/>
    <cellStyle name="Normal 5 10 5 7" xfId="33830"/>
    <cellStyle name="Normal 5 10 5 7 2" xfId="33831"/>
    <cellStyle name="Normal 5 10 5 8" xfId="33832"/>
    <cellStyle name="Normal 5 10 5 9" xfId="33833"/>
    <cellStyle name="Normal 5 10 6" xfId="33834"/>
    <cellStyle name="Normal 5 10 6 10" xfId="33835"/>
    <cellStyle name="Normal 5 10 6 11" xfId="33836"/>
    <cellStyle name="Normal 5 10 6 12" xfId="33837"/>
    <cellStyle name="Normal 5 10 6 13" xfId="33838"/>
    <cellStyle name="Normal 5 10 6 14" xfId="33839"/>
    <cellStyle name="Normal 5 10 6 15" xfId="33840"/>
    <cellStyle name="Normal 5 10 6 16" xfId="33841"/>
    <cellStyle name="Normal 5 10 6 17" xfId="33842"/>
    <cellStyle name="Normal 5 10 6 2" xfId="33843"/>
    <cellStyle name="Normal 5 10 6 2 10" xfId="33844"/>
    <cellStyle name="Normal 5 10 6 2 11" xfId="33845"/>
    <cellStyle name="Normal 5 10 6 2 12" xfId="33846"/>
    <cellStyle name="Normal 5 10 6 2 13" xfId="33847"/>
    <cellStyle name="Normal 5 10 6 2 2" xfId="33848"/>
    <cellStyle name="Normal 5 10 6 2 2 2" xfId="33849"/>
    <cellStyle name="Normal 5 10 6 2 2 2 2" xfId="33850"/>
    <cellStyle name="Normal 5 10 6 2 2 3" xfId="33851"/>
    <cellStyle name="Normal 5 10 6 2 2 4" xfId="33852"/>
    <cellStyle name="Normal 5 10 6 2 2 5" xfId="33853"/>
    <cellStyle name="Normal 5 10 6 2 3" xfId="33854"/>
    <cellStyle name="Normal 5 10 6 2 3 2" xfId="33855"/>
    <cellStyle name="Normal 5 10 6 2 4" xfId="33856"/>
    <cellStyle name="Normal 5 10 6 2 4 2" xfId="33857"/>
    <cellStyle name="Normal 5 10 6 2 5" xfId="33858"/>
    <cellStyle name="Normal 5 10 6 2 5 2" xfId="33859"/>
    <cellStyle name="Normal 5 10 6 2 6" xfId="33860"/>
    <cellStyle name="Normal 5 10 6 2 6 2" xfId="33861"/>
    <cellStyle name="Normal 5 10 6 2 7" xfId="33862"/>
    <cellStyle name="Normal 5 10 6 2 8" xfId="33863"/>
    <cellStyle name="Normal 5 10 6 2 9" xfId="33864"/>
    <cellStyle name="Normal 5 10 6 3" xfId="33865"/>
    <cellStyle name="Normal 5 10 6 3 2" xfId="33866"/>
    <cellStyle name="Normal 5 10 6 3 2 2" xfId="33867"/>
    <cellStyle name="Normal 5 10 6 3 3" xfId="33868"/>
    <cellStyle name="Normal 5 10 6 3 4" xfId="33869"/>
    <cellStyle name="Normal 5 10 6 3 5" xfId="33870"/>
    <cellStyle name="Normal 5 10 6 4" xfId="33871"/>
    <cellStyle name="Normal 5 10 6 4 2" xfId="33872"/>
    <cellStyle name="Normal 5 10 6 5" xfId="33873"/>
    <cellStyle name="Normal 5 10 6 5 2" xfId="33874"/>
    <cellStyle name="Normal 5 10 6 6" xfId="33875"/>
    <cellStyle name="Normal 5 10 6 6 2" xfId="33876"/>
    <cellStyle name="Normal 5 10 6 7" xfId="33877"/>
    <cellStyle name="Normal 5 10 6 7 2" xfId="33878"/>
    <cellStyle name="Normal 5 10 6 8" xfId="33879"/>
    <cellStyle name="Normal 5 10 6 9" xfId="33880"/>
    <cellStyle name="Normal 5 10 7" xfId="33881"/>
    <cellStyle name="Normal 5 10 7 10" xfId="33882"/>
    <cellStyle name="Normal 5 10 7 11" xfId="33883"/>
    <cellStyle name="Normal 5 10 7 12" xfId="33884"/>
    <cellStyle name="Normal 5 10 7 13" xfId="33885"/>
    <cellStyle name="Normal 5 10 7 14" xfId="33886"/>
    <cellStyle name="Normal 5 10 7 15" xfId="33887"/>
    <cellStyle name="Normal 5 10 7 16" xfId="33888"/>
    <cellStyle name="Normal 5 10 7 17" xfId="33889"/>
    <cellStyle name="Normal 5 10 7 2" xfId="33890"/>
    <cellStyle name="Normal 5 10 7 2 10" xfId="33891"/>
    <cellStyle name="Normal 5 10 7 2 11" xfId="33892"/>
    <cellStyle name="Normal 5 10 7 2 12" xfId="33893"/>
    <cellStyle name="Normal 5 10 7 2 13" xfId="33894"/>
    <cellStyle name="Normal 5 10 7 2 2" xfId="33895"/>
    <cellStyle name="Normal 5 10 7 2 2 2" xfId="33896"/>
    <cellStyle name="Normal 5 10 7 2 2 2 2" xfId="33897"/>
    <cellStyle name="Normal 5 10 7 2 2 3" xfId="33898"/>
    <cellStyle name="Normal 5 10 7 2 2 4" xfId="33899"/>
    <cellStyle name="Normal 5 10 7 2 2 5" xfId="33900"/>
    <cellStyle name="Normal 5 10 7 2 3" xfId="33901"/>
    <cellStyle name="Normal 5 10 7 2 3 2" xfId="33902"/>
    <cellStyle name="Normal 5 10 7 2 4" xfId="33903"/>
    <cellStyle name="Normal 5 10 7 2 4 2" xfId="33904"/>
    <cellStyle name="Normal 5 10 7 2 5" xfId="33905"/>
    <cellStyle name="Normal 5 10 7 2 5 2" xfId="33906"/>
    <cellStyle name="Normal 5 10 7 2 6" xfId="33907"/>
    <cellStyle name="Normal 5 10 7 2 6 2" xfId="33908"/>
    <cellStyle name="Normal 5 10 7 2 7" xfId="33909"/>
    <cellStyle name="Normal 5 10 7 2 8" xfId="33910"/>
    <cellStyle name="Normal 5 10 7 2 9" xfId="33911"/>
    <cellStyle name="Normal 5 10 7 3" xfId="33912"/>
    <cellStyle name="Normal 5 10 7 3 2" xfId="33913"/>
    <cellStyle name="Normal 5 10 7 3 2 2" xfId="33914"/>
    <cellStyle name="Normal 5 10 7 3 3" xfId="33915"/>
    <cellStyle name="Normal 5 10 7 3 4" xfId="33916"/>
    <cellStyle name="Normal 5 10 7 3 5" xfId="33917"/>
    <cellStyle name="Normal 5 10 7 4" xfId="33918"/>
    <cellStyle name="Normal 5 10 7 4 2" xfId="33919"/>
    <cellStyle name="Normal 5 10 7 5" xfId="33920"/>
    <cellStyle name="Normal 5 10 7 5 2" xfId="33921"/>
    <cellStyle name="Normal 5 10 7 6" xfId="33922"/>
    <cellStyle name="Normal 5 10 7 6 2" xfId="33923"/>
    <cellStyle name="Normal 5 10 7 7" xfId="33924"/>
    <cellStyle name="Normal 5 10 7 7 2" xfId="33925"/>
    <cellStyle name="Normal 5 10 7 8" xfId="33926"/>
    <cellStyle name="Normal 5 10 7 9" xfId="33927"/>
    <cellStyle name="Normal 5 10 8" xfId="33928"/>
    <cellStyle name="Normal 5 10 8 10" xfId="33929"/>
    <cellStyle name="Normal 5 10 8 11" xfId="33930"/>
    <cellStyle name="Normal 5 10 8 12" xfId="33931"/>
    <cellStyle name="Normal 5 10 8 13" xfId="33932"/>
    <cellStyle name="Normal 5 10 8 14" xfId="33933"/>
    <cellStyle name="Normal 5 10 8 15" xfId="33934"/>
    <cellStyle name="Normal 5 10 8 2" xfId="33935"/>
    <cellStyle name="Normal 5 10 8 2 2" xfId="33936"/>
    <cellStyle name="Normal 5 10 8 2 2 2" xfId="33937"/>
    <cellStyle name="Normal 5 10 8 2 3" xfId="33938"/>
    <cellStyle name="Normal 5 10 8 2 3 2" xfId="33939"/>
    <cellStyle name="Normal 5 10 8 2 4" xfId="33940"/>
    <cellStyle name="Normal 5 10 8 2 4 2" xfId="33941"/>
    <cellStyle name="Normal 5 10 8 2 5" xfId="33942"/>
    <cellStyle name="Normal 5 10 8 2 5 2" xfId="33943"/>
    <cellStyle name="Normal 5 10 8 2 6" xfId="33944"/>
    <cellStyle name="Normal 5 10 8 2 7" xfId="33945"/>
    <cellStyle name="Normal 5 10 8 2 8" xfId="33946"/>
    <cellStyle name="Normal 5 10 8 2 9" xfId="33947"/>
    <cellStyle name="Normal 5 10 8 3" xfId="33948"/>
    <cellStyle name="Normal 5 10 8 3 2" xfId="33949"/>
    <cellStyle name="Normal 5 10 8 3 2 2" xfId="33950"/>
    <cellStyle name="Normal 5 10 8 3 3" xfId="33951"/>
    <cellStyle name="Normal 5 10 8 3 4" xfId="33952"/>
    <cellStyle name="Normal 5 10 8 3 5" xfId="33953"/>
    <cellStyle name="Normal 5 10 8 4" xfId="33954"/>
    <cellStyle name="Normal 5 10 8 4 2" xfId="33955"/>
    <cellStyle name="Normal 5 10 8 5" xfId="33956"/>
    <cellStyle name="Normal 5 10 8 5 2" xfId="33957"/>
    <cellStyle name="Normal 5 10 8 6" xfId="33958"/>
    <cellStyle name="Normal 5 10 8 6 2" xfId="33959"/>
    <cellStyle name="Normal 5 10 8 7" xfId="33960"/>
    <cellStyle name="Normal 5 10 8 7 2" xfId="33961"/>
    <cellStyle name="Normal 5 10 8 8" xfId="33962"/>
    <cellStyle name="Normal 5 10 8 9" xfId="33963"/>
    <cellStyle name="Normal 5 10 9" xfId="33964"/>
    <cellStyle name="Normal 5 10 9 10" xfId="33965"/>
    <cellStyle name="Normal 5 10 9 11" xfId="33966"/>
    <cellStyle name="Normal 5 10 9 12" xfId="33967"/>
    <cellStyle name="Normal 5 10 9 13" xfId="33968"/>
    <cellStyle name="Normal 5 10 9 14" xfId="33969"/>
    <cellStyle name="Normal 5 10 9 15" xfId="33970"/>
    <cellStyle name="Normal 5 10 9 2" xfId="33971"/>
    <cellStyle name="Normal 5 10 9 2 2" xfId="33972"/>
    <cellStyle name="Normal 5 10 9 2 2 2" xfId="33973"/>
    <cellStyle name="Normal 5 10 9 2 3" xfId="33974"/>
    <cellStyle name="Normal 5 10 9 2 3 2" xfId="33975"/>
    <cellStyle name="Normal 5 10 9 2 4" xfId="33976"/>
    <cellStyle name="Normal 5 10 9 2 4 2" xfId="33977"/>
    <cellStyle name="Normal 5 10 9 2 5" xfId="33978"/>
    <cellStyle name="Normal 5 10 9 2 5 2" xfId="33979"/>
    <cellStyle name="Normal 5 10 9 2 6" xfId="33980"/>
    <cellStyle name="Normal 5 10 9 2 7" xfId="33981"/>
    <cellStyle name="Normal 5 10 9 2 8" xfId="33982"/>
    <cellStyle name="Normal 5 10 9 2 9" xfId="33983"/>
    <cellStyle name="Normal 5 10 9 3" xfId="33984"/>
    <cellStyle name="Normal 5 10 9 3 2" xfId="33985"/>
    <cellStyle name="Normal 5 10 9 3 2 2" xfId="33986"/>
    <cellStyle name="Normal 5 10 9 3 3" xfId="33987"/>
    <cellStyle name="Normal 5 10 9 3 4" xfId="33988"/>
    <cellStyle name="Normal 5 10 9 3 5" xfId="33989"/>
    <cellStyle name="Normal 5 10 9 4" xfId="33990"/>
    <cellStyle name="Normal 5 10 9 4 2" xfId="33991"/>
    <cellStyle name="Normal 5 10 9 5" xfId="33992"/>
    <cellStyle name="Normal 5 10 9 5 2" xfId="33993"/>
    <cellStyle name="Normal 5 10 9 6" xfId="33994"/>
    <cellStyle name="Normal 5 10 9 6 2" xfId="33995"/>
    <cellStyle name="Normal 5 10 9 7" xfId="33996"/>
    <cellStyle name="Normal 5 10 9 7 2" xfId="33997"/>
    <cellStyle name="Normal 5 10 9 8" xfId="33998"/>
    <cellStyle name="Normal 5 10 9 9" xfId="33999"/>
    <cellStyle name="Normal 5 11" xfId="34000"/>
    <cellStyle name="Normal 5 11 10" xfId="34001"/>
    <cellStyle name="Normal 5 11 11" xfId="34002"/>
    <cellStyle name="Normal 5 11 12" xfId="34003"/>
    <cellStyle name="Normal 5 11 13" xfId="34004"/>
    <cellStyle name="Normal 5 11 14" xfId="34005"/>
    <cellStyle name="Normal 5 11 15" xfId="34006"/>
    <cellStyle name="Normal 5 11 16" xfId="34007"/>
    <cellStyle name="Normal 5 11 17" xfId="34008"/>
    <cellStyle name="Normal 5 11 18" xfId="34009"/>
    <cellStyle name="Normal 5 11 2" xfId="34010"/>
    <cellStyle name="Normal 5 11 2 10" xfId="34011"/>
    <cellStyle name="Normal 5 11 2 11" xfId="34012"/>
    <cellStyle name="Normal 5 11 2 12" xfId="34013"/>
    <cellStyle name="Normal 5 11 2 13" xfId="34014"/>
    <cellStyle name="Normal 5 11 2 2" xfId="34015"/>
    <cellStyle name="Normal 5 11 2 2 2" xfId="34016"/>
    <cellStyle name="Normal 5 11 2 2 2 2" xfId="34017"/>
    <cellStyle name="Normal 5 11 2 2 3" xfId="34018"/>
    <cellStyle name="Normal 5 11 2 2 4" xfId="34019"/>
    <cellStyle name="Normal 5 11 2 2 5" xfId="34020"/>
    <cellStyle name="Normal 5 11 2 3" xfId="34021"/>
    <cellStyle name="Normal 5 11 2 3 2" xfId="34022"/>
    <cellStyle name="Normal 5 11 2 4" xfId="34023"/>
    <cellStyle name="Normal 5 11 2 4 2" xfId="34024"/>
    <cellStyle name="Normal 5 11 2 5" xfId="34025"/>
    <cellStyle name="Normal 5 11 2 5 2" xfId="34026"/>
    <cellStyle name="Normal 5 11 2 6" xfId="34027"/>
    <cellStyle name="Normal 5 11 2 6 2" xfId="34028"/>
    <cellStyle name="Normal 5 11 2 7" xfId="34029"/>
    <cellStyle name="Normal 5 11 2 8" xfId="34030"/>
    <cellStyle name="Normal 5 11 2 9" xfId="34031"/>
    <cellStyle name="Normal 5 11 3" xfId="34032"/>
    <cellStyle name="Normal 5 11 3 2" xfId="34033"/>
    <cellStyle name="Normal 5 11 3 2 2" xfId="34034"/>
    <cellStyle name="Normal 5 11 3 3" xfId="34035"/>
    <cellStyle name="Normal 5 11 3 4" xfId="34036"/>
    <cellStyle name="Normal 5 11 3 5" xfId="34037"/>
    <cellStyle name="Normal 5 11 4" xfId="34038"/>
    <cellStyle name="Normal 5 11 4 2" xfId="34039"/>
    <cellStyle name="Normal 5 11 5" xfId="34040"/>
    <cellStyle name="Normal 5 11 5 2" xfId="34041"/>
    <cellStyle name="Normal 5 11 6" xfId="34042"/>
    <cellStyle name="Normal 5 11 6 2" xfId="34043"/>
    <cellStyle name="Normal 5 11 7" xfId="34044"/>
    <cellStyle name="Normal 5 11 7 2" xfId="34045"/>
    <cellStyle name="Normal 5 11 8" xfId="34046"/>
    <cellStyle name="Normal 5 11 9" xfId="34047"/>
    <cellStyle name="Normal 5 12" xfId="34048"/>
    <cellStyle name="Normal 5 12 10" xfId="34049"/>
    <cellStyle name="Normal 5 12 11" xfId="34050"/>
    <cellStyle name="Normal 5 12 12" xfId="34051"/>
    <cellStyle name="Normal 5 12 13" xfId="34052"/>
    <cellStyle name="Normal 5 12 14" xfId="34053"/>
    <cellStyle name="Normal 5 12 15" xfId="34054"/>
    <cellStyle name="Normal 5 12 16" xfId="34055"/>
    <cellStyle name="Normal 5 12 17" xfId="34056"/>
    <cellStyle name="Normal 5 12 18" xfId="34057"/>
    <cellStyle name="Normal 5 12 2" xfId="34058"/>
    <cellStyle name="Normal 5 12 2 10" xfId="34059"/>
    <cellStyle name="Normal 5 12 2 11" xfId="34060"/>
    <cellStyle name="Normal 5 12 2 12" xfId="34061"/>
    <cellStyle name="Normal 5 12 2 13" xfId="34062"/>
    <cellStyle name="Normal 5 12 2 2" xfId="34063"/>
    <cellStyle name="Normal 5 12 2 2 2" xfId="34064"/>
    <cellStyle name="Normal 5 12 2 2 2 2" xfId="34065"/>
    <cellStyle name="Normal 5 12 2 2 3" xfId="34066"/>
    <cellStyle name="Normal 5 12 2 2 4" xfId="34067"/>
    <cellStyle name="Normal 5 12 2 2 5" xfId="34068"/>
    <cellStyle name="Normal 5 12 2 3" xfId="34069"/>
    <cellStyle name="Normal 5 12 2 3 2" xfId="34070"/>
    <cellStyle name="Normal 5 12 2 4" xfId="34071"/>
    <cellStyle name="Normal 5 12 2 4 2" xfId="34072"/>
    <cellStyle name="Normal 5 12 2 5" xfId="34073"/>
    <cellStyle name="Normal 5 12 2 5 2" xfId="34074"/>
    <cellStyle name="Normal 5 12 2 6" xfId="34075"/>
    <cellStyle name="Normal 5 12 2 6 2" xfId="34076"/>
    <cellStyle name="Normal 5 12 2 7" xfId="34077"/>
    <cellStyle name="Normal 5 12 2 8" xfId="34078"/>
    <cellStyle name="Normal 5 12 2 9" xfId="34079"/>
    <cellStyle name="Normal 5 12 3" xfId="34080"/>
    <cellStyle name="Normal 5 12 3 2" xfId="34081"/>
    <cellStyle name="Normal 5 12 3 2 2" xfId="34082"/>
    <cellStyle name="Normal 5 12 3 3" xfId="34083"/>
    <cellStyle name="Normal 5 12 3 4" xfId="34084"/>
    <cellStyle name="Normal 5 12 3 5" xfId="34085"/>
    <cellStyle name="Normal 5 12 4" xfId="34086"/>
    <cellStyle name="Normal 5 12 4 2" xfId="34087"/>
    <cellStyle name="Normal 5 12 5" xfId="34088"/>
    <cellStyle name="Normal 5 12 5 2" xfId="34089"/>
    <cellStyle name="Normal 5 12 6" xfId="34090"/>
    <cellStyle name="Normal 5 12 6 2" xfId="34091"/>
    <cellStyle name="Normal 5 12 7" xfId="34092"/>
    <cellStyle name="Normal 5 12 7 2" xfId="34093"/>
    <cellStyle name="Normal 5 12 8" xfId="34094"/>
    <cellStyle name="Normal 5 12 9" xfId="34095"/>
    <cellStyle name="Normal 5 13" xfId="34096"/>
    <cellStyle name="Normal 5 13 10" xfId="34097"/>
    <cellStyle name="Normal 5 13 11" xfId="34098"/>
    <cellStyle name="Normal 5 13 12" xfId="34099"/>
    <cellStyle name="Normal 5 13 13" xfId="34100"/>
    <cellStyle name="Normal 5 13 14" xfId="34101"/>
    <cellStyle name="Normal 5 13 15" xfId="34102"/>
    <cellStyle name="Normal 5 13 16" xfId="34103"/>
    <cellStyle name="Normal 5 13 17" xfId="34104"/>
    <cellStyle name="Normal 5 13 18" xfId="34105"/>
    <cellStyle name="Normal 5 13 2" xfId="34106"/>
    <cellStyle name="Normal 5 13 2 10" xfId="34107"/>
    <cellStyle name="Normal 5 13 2 11" xfId="34108"/>
    <cellStyle name="Normal 5 13 2 12" xfId="34109"/>
    <cellStyle name="Normal 5 13 2 13" xfId="34110"/>
    <cellStyle name="Normal 5 13 2 2" xfId="34111"/>
    <cellStyle name="Normal 5 13 2 2 2" xfId="34112"/>
    <cellStyle name="Normal 5 13 2 2 2 2" xfId="34113"/>
    <cellStyle name="Normal 5 13 2 2 3" xfId="34114"/>
    <cellStyle name="Normal 5 13 2 2 4" xfId="34115"/>
    <cellStyle name="Normal 5 13 2 2 5" xfId="34116"/>
    <cellStyle name="Normal 5 13 2 3" xfId="34117"/>
    <cellStyle name="Normal 5 13 2 3 2" xfId="34118"/>
    <cellStyle name="Normal 5 13 2 4" xfId="34119"/>
    <cellStyle name="Normal 5 13 2 4 2" xfId="34120"/>
    <cellStyle name="Normal 5 13 2 5" xfId="34121"/>
    <cellStyle name="Normal 5 13 2 5 2" xfId="34122"/>
    <cellStyle name="Normal 5 13 2 6" xfId="34123"/>
    <cellStyle name="Normal 5 13 2 6 2" xfId="34124"/>
    <cellStyle name="Normal 5 13 2 7" xfId="34125"/>
    <cellStyle name="Normal 5 13 2 8" xfId="34126"/>
    <cellStyle name="Normal 5 13 2 9" xfId="34127"/>
    <cellStyle name="Normal 5 13 3" xfId="34128"/>
    <cellStyle name="Normal 5 13 3 2" xfId="34129"/>
    <cellStyle name="Normal 5 13 3 2 2" xfId="34130"/>
    <cellStyle name="Normal 5 13 3 3" xfId="34131"/>
    <cellStyle name="Normal 5 13 3 4" xfId="34132"/>
    <cellStyle name="Normal 5 13 3 5" xfId="34133"/>
    <cellStyle name="Normal 5 13 4" xfId="34134"/>
    <cellStyle name="Normal 5 13 4 2" xfId="34135"/>
    <cellStyle name="Normal 5 13 5" xfId="34136"/>
    <cellStyle name="Normal 5 13 5 2" xfId="34137"/>
    <cellStyle name="Normal 5 13 6" xfId="34138"/>
    <cellStyle name="Normal 5 13 6 2" xfId="34139"/>
    <cellStyle name="Normal 5 13 7" xfId="34140"/>
    <cellStyle name="Normal 5 13 7 2" xfId="34141"/>
    <cellStyle name="Normal 5 13 8" xfId="34142"/>
    <cellStyle name="Normal 5 13 9" xfId="34143"/>
    <cellStyle name="Normal 5 14" xfId="34144"/>
    <cellStyle name="Normal 5 14 10" xfId="34145"/>
    <cellStyle name="Normal 5 14 11" xfId="34146"/>
    <cellStyle name="Normal 5 14 12" xfId="34147"/>
    <cellStyle name="Normal 5 14 13" xfId="34148"/>
    <cellStyle name="Normal 5 14 14" xfId="34149"/>
    <cellStyle name="Normal 5 14 15" xfId="34150"/>
    <cellStyle name="Normal 5 14 16" xfId="34151"/>
    <cellStyle name="Normal 5 14 17" xfId="34152"/>
    <cellStyle name="Normal 5 14 18" xfId="34153"/>
    <cellStyle name="Normal 5 14 2" xfId="34154"/>
    <cellStyle name="Normal 5 14 2 10" xfId="34155"/>
    <cellStyle name="Normal 5 14 2 11" xfId="34156"/>
    <cellStyle name="Normal 5 14 2 12" xfId="34157"/>
    <cellStyle name="Normal 5 14 2 13" xfId="34158"/>
    <cellStyle name="Normal 5 14 2 2" xfId="34159"/>
    <cellStyle name="Normal 5 14 2 2 2" xfId="34160"/>
    <cellStyle name="Normal 5 14 2 2 2 2" xfId="34161"/>
    <cellStyle name="Normal 5 14 2 2 3" xfId="34162"/>
    <cellStyle name="Normal 5 14 2 2 4" xfId="34163"/>
    <cellStyle name="Normal 5 14 2 2 5" xfId="34164"/>
    <cellStyle name="Normal 5 14 2 3" xfId="34165"/>
    <cellStyle name="Normal 5 14 2 3 2" xfId="34166"/>
    <cellStyle name="Normal 5 14 2 4" xfId="34167"/>
    <cellStyle name="Normal 5 14 2 4 2" xfId="34168"/>
    <cellStyle name="Normal 5 14 2 5" xfId="34169"/>
    <cellStyle name="Normal 5 14 2 5 2" xfId="34170"/>
    <cellStyle name="Normal 5 14 2 6" xfId="34171"/>
    <cellStyle name="Normal 5 14 2 6 2" xfId="34172"/>
    <cellStyle name="Normal 5 14 2 7" xfId="34173"/>
    <cellStyle name="Normal 5 14 2 8" xfId="34174"/>
    <cellStyle name="Normal 5 14 2 9" xfId="34175"/>
    <cellStyle name="Normal 5 14 3" xfId="34176"/>
    <cellStyle name="Normal 5 14 3 2" xfId="34177"/>
    <cellStyle name="Normal 5 14 3 2 2" xfId="34178"/>
    <cellStyle name="Normal 5 14 3 3" xfId="34179"/>
    <cellStyle name="Normal 5 14 3 4" xfId="34180"/>
    <cellStyle name="Normal 5 14 3 5" xfId="34181"/>
    <cellStyle name="Normal 5 14 4" xfId="34182"/>
    <cellStyle name="Normal 5 14 4 2" xfId="34183"/>
    <cellStyle name="Normal 5 14 5" xfId="34184"/>
    <cellStyle name="Normal 5 14 5 2" xfId="34185"/>
    <cellStyle name="Normal 5 14 6" xfId="34186"/>
    <cellStyle name="Normal 5 14 6 2" xfId="34187"/>
    <cellStyle name="Normal 5 14 7" xfId="34188"/>
    <cellStyle name="Normal 5 14 7 2" xfId="34189"/>
    <cellStyle name="Normal 5 14 8" xfId="34190"/>
    <cellStyle name="Normal 5 14 9" xfId="34191"/>
    <cellStyle name="Normal 5 15" xfId="34192"/>
    <cellStyle name="Normal 5 15 10" xfId="34193"/>
    <cellStyle name="Normal 5 15 11" xfId="34194"/>
    <cellStyle name="Normal 5 15 12" xfId="34195"/>
    <cellStyle name="Normal 5 15 13" xfId="34196"/>
    <cellStyle name="Normal 5 15 14" xfId="34197"/>
    <cellStyle name="Normal 5 15 15" xfId="34198"/>
    <cellStyle name="Normal 5 15 16" xfId="34199"/>
    <cellStyle name="Normal 5 15 17" xfId="34200"/>
    <cellStyle name="Normal 5 15 18" xfId="34201"/>
    <cellStyle name="Normal 5 15 2" xfId="34202"/>
    <cellStyle name="Normal 5 15 2 10" xfId="34203"/>
    <cellStyle name="Normal 5 15 2 11" xfId="34204"/>
    <cellStyle name="Normal 5 15 2 12" xfId="34205"/>
    <cellStyle name="Normal 5 15 2 13" xfId="34206"/>
    <cellStyle name="Normal 5 15 2 2" xfId="34207"/>
    <cellStyle name="Normal 5 15 2 2 2" xfId="34208"/>
    <cellStyle name="Normal 5 15 2 2 2 2" xfId="34209"/>
    <cellStyle name="Normal 5 15 2 2 3" xfId="34210"/>
    <cellStyle name="Normal 5 15 2 2 4" xfId="34211"/>
    <cellStyle name="Normal 5 15 2 2 5" xfId="34212"/>
    <cellStyle name="Normal 5 15 2 3" xfId="34213"/>
    <cellStyle name="Normal 5 15 2 3 2" xfId="34214"/>
    <cellStyle name="Normal 5 15 2 4" xfId="34215"/>
    <cellStyle name="Normal 5 15 2 4 2" xfId="34216"/>
    <cellStyle name="Normal 5 15 2 5" xfId="34217"/>
    <cellStyle name="Normal 5 15 2 5 2" xfId="34218"/>
    <cellStyle name="Normal 5 15 2 6" xfId="34219"/>
    <cellStyle name="Normal 5 15 2 6 2" xfId="34220"/>
    <cellStyle name="Normal 5 15 2 7" xfId="34221"/>
    <cellStyle name="Normal 5 15 2 8" xfId="34222"/>
    <cellStyle name="Normal 5 15 2 9" xfId="34223"/>
    <cellStyle name="Normal 5 15 3" xfId="34224"/>
    <cellStyle name="Normal 5 15 3 2" xfId="34225"/>
    <cellStyle name="Normal 5 15 3 2 2" xfId="34226"/>
    <cellStyle name="Normal 5 15 3 3" xfId="34227"/>
    <cellStyle name="Normal 5 15 3 4" xfId="34228"/>
    <cellStyle name="Normal 5 15 3 5" xfId="34229"/>
    <cellStyle name="Normal 5 15 4" xfId="34230"/>
    <cellStyle name="Normal 5 15 4 2" xfId="34231"/>
    <cellStyle name="Normal 5 15 5" xfId="34232"/>
    <cellStyle name="Normal 5 15 5 2" xfId="34233"/>
    <cellStyle name="Normal 5 15 6" xfId="34234"/>
    <cellStyle name="Normal 5 15 6 2" xfId="34235"/>
    <cellStyle name="Normal 5 15 7" xfId="34236"/>
    <cellStyle name="Normal 5 15 7 2" xfId="34237"/>
    <cellStyle name="Normal 5 15 8" xfId="34238"/>
    <cellStyle name="Normal 5 15 9" xfId="34239"/>
    <cellStyle name="Normal 5 16" xfId="34240"/>
    <cellStyle name="Normal 5 16 10" xfId="34241"/>
    <cellStyle name="Normal 5 16 11" xfId="34242"/>
    <cellStyle name="Normal 5 16 12" xfId="34243"/>
    <cellStyle name="Normal 5 16 13" xfId="34244"/>
    <cellStyle name="Normal 5 16 14" xfId="34245"/>
    <cellStyle name="Normal 5 16 15" xfId="34246"/>
    <cellStyle name="Normal 5 16 16" xfId="34247"/>
    <cellStyle name="Normal 5 16 17" xfId="34248"/>
    <cellStyle name="Normal 5 16 2" xfId="34249"/>
    <cellStyle name="Normal 5 16 2 10" xfId="34250"/>
    <cellStyle name="Normal 5 16 2 11" xfId="34251"/>
    <cellStyle name="Normal 5 16 2 12" xfId="34252"/>
    <cellStyle name="Normal 5 16 2 13" xfId="34253"/>
    <cellStyle name="Normal 5 16 2 2" xfId="34254"/>
    <cellStyle name="Normal 5 16 2 2 2" xfId="34255"/>
    <cellStyle name="Normal 5 16 2 2 2 2" xfId="34256"/>
    <cellStyle name="Normal 5 16 2 2 3" xfId="34257"/>
    <cellStyle name="Normal 5 16 2 2 4" xfId="34258"/>
    <cellStyle name="Normal 5 16 2 2 5" xfId="34259"/>
    <cellStyle name="Normal 5 16 2 3" xfId="34260"/>
    <cellStyle name="Normal 5 16 2 3 2" xfId="34261"/>
    <cellStyle name="Normal 5 16 2 4" xfId="34262"/>
    <cellStyle name="Normal 5 16 2 4 2" xfId="34263"/>
    <cellStyle name="Normal 5 16 2 5" xfId="34264"/>
    <cellStyle name="Normal 5 16 2 5 2" xfId="34265"/>
    <cellStyle name="Normal 5 16 2 6" xfId="34266"/>
    <cellStyle name="Normal 5 16 2 6 2" xfId="34267"/>
    <cellStyle name="Normal 5 16 2 7" xfId="34268"/>
    <cellStyle name="Normal 5 16 2 8" xfId="34269"/>
    <cellStyle name="Normal 5 16 2 9" xfId="34270"/>
    <cellStyle name="Normal 5 16 3" xfId="34271"/>
    <cellStyle name="Normal 5 16 3 2" xfId="34272"/>
    <cellStyle name="Normal 5 16 3 2 2" xfId="34273"/>
    <cellStyle name="Normal 5 16 3 3" xfId="34274"/>
    <cellStyle name="Normal 5 16 3 4" xfId="34275"/>
    <cellStyle name="Normal 5 16 3 5" xfId="34276"/>
    <cellStyle name="Normal 5 16 4" xfId="34277"/>
    <cellStyle name="Normal 5 16 4 2" xfId="34278"/>
    <cellStyle name="Normal 5 16 5" xfId="34279"/>
    <cellStyle name="Normal 5 16 5 2" xfId="34280"/>
    <cellStyle name="Normal 5 16 6" xfId="34281"/>
    <cellStyle name="Normal 5 16 6 2" xfId="34282"/>
    <cellStyle name="Normal 5 16 7" xfId="34283"/>
    <cellStyle name="Normal 5 16 7 2" xfId="34284"/>
    <cellStyle name="Normal 5 16 8" xfId="34285"/>
    <cellStyle name="Normal 5 16 9" xfId="34286"/>
    <cellStyle name="Normal 5 17" xfId="34287"/>
    <cellStyle name="Normal 5 17 10" xfId="34288"/>
    <cellStyle name="Normal 5 17 11" xfId="34289"/>
    <cellStyle name="Normal 5 17 12" xfId="34290"/>
    <cellStyle name="Normal 5 17 13" xfId="34291"/>
    <cellStyle name="Normal 5 17 14" xfId="34292"/>
    <cellStyle name="Normal 5 17 15" xfId="34293"/>
    <cellStyle name="Normal 5 17 2" xfId="34294"/>
    <cellStyle name="Normal 5 17 2 2" xfId="34295"/>
    <cellStyle name="Normal 5 17 2 2 2" xfId="34296"/>
    <cellStyle name="Normal 5 17 2 3" xfId="34297"/>
    <cellStyle name="Normal 5 17 2 3 2" xfId="34298"/>
    <cellStyle name="Normal 5 17 2 4" xfId="34299"/>
    <cellStyle name="Normal 5 17 2 4 2" xfId="34300"/>
    <cellStyle name="Normal 5 17 2 5" xfId="34301"/>
    <cellStyle name="Normal 5 17 2 5 2" xfId="34302"/>
    <cellStyle name="Normal 5 17 2 6" xfId="34303"/>
    <cellStyle name="Normal 5 17 2 7" xfId="34304"/>
    <cellStyle name="Normal 5 17 2 8" xfId="34305"/>
    <cellStyle name="Normal 5 17 2 9" xfId="34306"/>
    <cellStyle name="Normal 5 17 3" xfId="34307"/>
    <cellStyle name="Normal 5 17 3 2" xfId="34308"/>
    <cellStyle name="Normal 5 17 3 2 2" xfId="34309"/>
    <cellStyle name="Normal 5 17 3 3" xfId="34310"/>
    <cellStyle name="Normal 5 17 3 4" xfId="34311"/>
    <cellStyle name="Normal 5 17 3 5" xfId="34312"/>
    <cellStyle name="Normal 5 17 4" xfId="34313"/>
    <cellStyle name="Normal 5 17 4 2" xfId="34314"/>
    <cellStyle name="Normal 5 17 5" xfId="34315"/>
    <cellStyle name="Normal 5 17 5 2" xfId="34316"/>
    <cellStyle name="Normal 5 17 6" xfId="34317"/>
    <cellStyle name="Normal 5 17 6 2" xfId="34318"/>
    <cellStyle name="Normal 5 17 7" xfId="34319"/>
    <cellStyle name="Normal 5 17 7 2" xfId="34320"/>
    <cellStyle name="Normal 5 17 8" xfId="34321"/>
    <cellStyle name="Normal 5 17 9" xfId="34322"/>
    <cellStyle name="Normal 5 18" xfId="34323"/>
    <cellStyle name="Normal 5 18 10" xfId="34324"/>
    <cellStyle name="Normal 5 18 11" xfId="34325"/>
    <cellStyle name="Normal 5 18 12" xfId="34326"/>
    <cellStyle name="Normal 5 18 13" xfId="34327"/>
    <cellStyle name="Normal 5 18 14" xfId="34328"/>
    <cellStyle name="Normal 5 18 15" xfId="34329"/>
    <cellStyle name="Normal 5 18 2" xfId="34330"/>
    <cellStyle name="Normal 5 18 2 2" xfId="34331"/>
    <cellStyle name="Normal 5 18 2 2 2" xfId="34332"/>
    <cellStyle name="Normal 5 18 2 3" xfId="34333"/>
    <cellStyle name="Normal 5 18 2 3 2" xfId="34334"/>
    <cellStyle name="Normal 5 18 2 4" xfId="34335"/>
    <cellStyle name="Normal 5 18 2 4 2" xfId="34336"/>
    <cellStyle name="Normal 5 18 2 5" xfId="34337"/>
    <cellStyle name="Normal 5 18 2 5 2" xfId="34338"/>
    <cellStyle name="Normal 5 18 2 6" xfId="34339"/>
    <cellStyle name="Normal 5 18 2 7" xfId="34340"/>
    <cellStyle name="Normal 5 18 2 8" xfId="34341"/>
    <cellStyle name="Normal 5 18 2 9" xfId="34342"/>
    <cellStyle name="Normal 5 18 3" xfId="34343"/>
    <cellStyle name="Normal 5 18 3 2" xfId="34344"/>
    <cellStyle name="Normal 5 18 3 2 2" xfId="34345"/>
    <cellStyle name="Normal 5 18 3 3" xfId="34346"/>
    <cellStyle name="Normal 5 18 3 4" xfId="34347"/>
    <cellStyle name="Normal 5 18 3 5" xfId="34348"/>
    <cellStyle name="Normal 5 18 4" xfId="34349"/>
    <cellStyle name="Normal 5 18 4 2" xfId="34350"/>
    <cellStyle name="Normal 5 18 5" xfId="34351"/>
    <cellStyle name="Normal 5 18 5 2" xfId="34352"/>
    <cellStyle name="Normal 5 18 6" xfId="34353"/>
    <cellStyle name="Normal 5 18 6 2" xfId="34354"/>
    <cellStyle name="Normal 5 18 7" xfId="34355"/>
    <cellStyle name="Normal 5 18 7 2" xfId="34356"/>
    <cellStyle name="Normal 5 18 8" xfId="34357"/>
    <cellStyle name="Normal 5 18 9" xfId="34358"/>
    <cellStyle name="Normal 5 19" xfId="34359"/>
    <cellStyle name="Normal 5 19 10" xfId="34360"/>
    <cellStyle name="Normal 5 19 11" xfId="34361"/>
    <cellStyle name="Normal 5 19 12" xfId="34362"/>
    <cellStyle name="Normal 5 19 13" xfId="34363"/>
    <cellStyle name="Normal 5 19 14" xfId="34364"/>
    <cellStyle name="Normal 5 19 2" xfId="34365"/>
    <cellStyle name="Normal 5 19 2 2" xfId="34366"/>
    <cellStyle name="Normal 5 19 2 2 2" xfId="34367"/>
    <cellStyle name="Normal 5 19 2 3" xfId="34368"/>
    <cellStyle name="Normal 5 19 2 3 2" xfId="34369"/>
    <cellStyle name="Normal 5 19 2 4" xfId="34370"/>
    <cellStyle name="Normal 5 19 2 4 2" xfId="34371"/>
    <cellStyle name="Normal 5 19 2 5" xfId="34372"/>
    <cellStyle name="Normal 5 19 2 5 2" xfId="34373"/>
    <cellStyle name="Normal 5 19 2 6" xfId="34374"/>
    <cellStyle name="Normal 5 19 2 7" xfId="34375"/>
    <cellStyle name="Normal 5 19 2 8" xfId="34376"/>
    <cellStyle name="Normal 5 19 2 9" xfId="34377"/>
    <cellStyle name="Normal 5 19 3" xfId="34378"/>
    <cellStyle name="Normal 5 19 3 2" xfId="34379"/>
    <cellStyle name="Normal 5 19 3 2 2" xfId="34380"/>
    <cellStyle name="Normal 5 19 3 3" xfId="34381"/>
    <cellStyle name="Normal 5 19 3 4" xfId="34382"/>
    <cellStyle name="Normal 5 19 3 5" xfId="34383"/>
    <cellStyle name="Normal 5 19 4" xfId="34384"/>
    <cellStyle name="Normal 5 19 4 2" xfId="34385"/>
    <cellStyle name="Normal 5 19 5" xfId="34386"/>
    <cellStyle name="Normal 5 19 5 2" xfId="34387"/>
    <cellStyle name="Normal 5 19 6" xfId="34388"/>
    <cellStyle name="Normal 5 19 6 2" xfId="34389"/>
    <cellStyle name="Normal 5 19 7" xfId="34390"/>
    <cellStyle name="Normal 5 19 7 2" xfId="34391"/>
    <cellStyle name="Normal 5 19 8" xfId="34392"/>
    <cellStyle name="Normal 5 19 9" xfId="34393"/>
    <cellStyle name="Normal 5 2" xfId="1003"/>
    <cellStyle name="Normal 5 2 10" xfId="34395"/>
    <cellStyle name="Normal 5 2 10 10" xfId="34396"/>
    <cellStyle name="Normal 5 2 10 11" xfId="34397"/>
    <cellStyle name="Normal 5 2 10 12" xfId="34398"/>
    <cellStyle name="Normal 5 2 10 13" xfId="34399"/>
    <cellStyle name="Normal 5 2 10 14" xfId="34400"/>
    <cellStyle name="Normal 5 2 10 15" xfId="34401"/>
    <cellStyle name="Normal 5 2 10 2" xfId="34402"/>
    <cellStyle name="Normal 5 2 10 2 2" xfId="34403"/>
    <cellStyle name="Normal 5 2 10 2 2 2" xfId="34404"/>
    <cellStyle name="Normal 5 2 10 2 3" xfId="34405"/>
    <cellStyle name="Normal 5 2 10 2 3 2" xfId="34406"/>
    <cellStyle name="Normal 5 2 10 2 4" xfId="34407"/>
    <cellStyle name="Normal 5 2 10 2 4 2" xfId="34408"/>
    <cellStyle name="Normal 5 2 10 2 5" xfId="34409"/>
    <cellStyle name="Normal 5 2 10 2 5 2" xfId="34410"/>
    <cellStyle name="Normal 5 2 10 2 6" xfId="34411"/>
    <cellStyle name="Normal 5 2 10 2 7" xfId="34412"/>
    <cellStyle name="Normal 5 2 10 2 8" xfId="34413"/>
    <cellStyle name="Normal 5 2 10 2 9" xfId="34414"/>
    <cellStyle name="Normal 5 2 10 3" xfId="34415"/>
    <cellStyle name="Normal 5 2 10 3 2" xfId="34416"/>
    <cellStyle name="Normal 5 2 10 3 2 2" xfId="34417"/>
    <cellStyle name="Normal 5 2 10 3 3" xfId="34418"/>
    <cellStyle name="Normal 5 2 10 3 4" xfId="34419"/>
    <cellStyle name="Normal 5 2 10 3 5" xfId="34420"/>
    <cellStyle name="Normal 5 2 10 4" xfId="34421"/>
    <cellStyle name="Normal 5 2 10 4 2" xfId="34422"/>
    <cellStyle name="Normal 5 2 10 5" xfId="34423"/>
    <cellStyle name="Normal 5 2 10 5 2" xfId="34424"/>
    <cellStyle name="Normal 5 2 10 6" xfId="34425"/>
    <cellStyle name="Normal 5 2 10 6 2" xfId="34426"/>
    <cellStyle name="Normal 5 2 10 7" xfId="34427"/>
    <cellStyle name="Normal 5 2 10 7 2" xfId="34428"/>
    <cellStyle name="Normal 5 2 10 8" xfId="34429"/>
    <cellStyle name="Normal 5 2 10 9" xfId="34430"/>
    <cellStyle name="Normal 5 2 11" xfId="34431"/>
    <cellStyle name="Normal 5 2 11 2" xfId="34432"/>
    <cellStyle name="Normal 5 2 11 2 2" xfId="34433"/>
    <cellStyle name="Normal 5 2 11 3" xfId="34434"/>
    <cellStyle name="Normal 5 2 11 3 2" xfId="34435"/>
    <cellStyle name="Normal 5 2 11 4" xfId="34436"/>
    <cellStyle name="Normal 5 2 11 4 2" xfId="34437"/>
    <cellStyle name="Normal 5 2 11 5" xfId="34438"/>
    <cellStyle name="Normal 5 2 11 5 2" xfId="34439"/>
    <cellStyle name="Normal 5 2 11 6" xfId="34440"/>
    <cellStyle name="Normal 5 2 11 7" xfId="34441"/>
    <cellStyle name="Normal 5 2 11 8" xfId="34442"/>
    <cellStyle name="Normal 5 2 11 9" xfId="34443"/>
    <cellStyle name="Normal 5 2 12" xfId="34444"/>
    <cellStyle name="Normal 5 2 12 2" xfId="34445"/>
    <cellStyle name="Normal 5 2 12 2 2" xfId="34446"/>
    <cellStyle name="Normal 5 2 12 3" xfId="34447"/>
    <cellStyle name="Normal 5 2 12 4" xfId="34448"/>
    <cellStyle name="Normal 5 2 12 5" xfId="34449"/>
    <cellStyle name="Normal 5 2 13" xfId="34450"/>
    <cellStyle name="Normal 5 2 13 2" xfId="34451"/>
    <cellStyle name="Normal 5 2 14" xfId="34452"/>
    <cellStyle name="Normal 5 2 14 2" xfId="34453"/>
    <cellStyle name="Normal 5 2 15" xfId="34454"/>
    <cellStyle name="Normal 5 2 15 2" xfId="34455"/>
    <cellStyle name="Normal 5 2 16" xfId="34456"/>
    <cellStyle name="Normal 5 2 16 2" xfId="34457"/>
    <cellStyle name="Normal 5 2 17" xfId="34458"/>
    <cellStyle name="Normal 5 2 18" xfId="34459"/>
    <cellStyle name="Normal 5 2 19" xfId="34460"/>
    <cellStyle name="Normal 5 2 2" xfId="34394"/>
    <cellStyle name="Normal 5 2 2 10" xfId="34461"/>
    <cellStyle name="Normal 5 2 2 10 2" xfId="34462"/>
    <cellStyle name="Normal 5 2 2 11" xfId="34463"/>
    <cellStyle name="Normal 5 2 2 11 2" xfId="34464"/>
    <cellStyle name="Normal 5 2 2 12" xfId="34465"/>
    <cellStyle name="Normal 5 2 2 13" xfId="34466"/>
    <cellStyle name="Normal 5 2 2 14" xfId="34467"/>
    <cellStyle name="Normal 5 2 2 15" xfId="34468"/>
    <cellStyle name="Normal 5 2 2 16" xfId="34469"/>
    <cellStyle name="Normal 5 2 2 17" xfId="34470"/>
    <cellStyle name="Normal 5 2 2 18" xfId="34471"/>
    <cellStyle name="Normal 5 2 2 19" xfId="34472"/>
    <cellStyle name="Normal 5 2 2 2" xfId="34473"/>
    <cellStyle name="Normal 5 2 2 2 10" xfId="34474"/>
    <cellStyle name="Normal 5 2 2 2 11" xfId="34475"/>
    <cellStyle name="Normal 5 2 2 2 12" xfId="34476"/>
    <cellStyle name="Normal 5 2 2 2 13" xfId="34477"/>
    <cellStyle name="Normal 5 2 2 2 14" xfId="34478"/>
    <cellStyle name="Normal 5 2 2 2 15" xfId="34479"/>
    <cellStyle name="Normal 5 2 2 2 16" xfId="34480"/>
    <cellStyle name="Normal 5 2 2 2 2" xfId="34481"/>
    <cellStyle name="Normal 5 2 2 2 2 2" xfId="34482"/>
    <cellStyle name="Normal 5 2 2 2 2 2 2" xfId="34483"/>
    <cellStyle name="Normal 5 2 2 2 2 3" xfId="34484"/>
    <cellStyle name="Normal 5 2 2 2 2 3 2" xfId="34485"/>
    <cellStyle name="Normal 5 2 2 2 2 4" xfId="34486"/>
    <cellStyle name="Normal 5 2 2 2 2 4 2" xfId="34487"/>
    <cellStyle name="Normal 5 2 2 2 2 5" xfId="34488"/>
    <cellStyle name="Normal 5 2 2 2 2 5 2" xfId="34489"/>
    <cellStyle name="Normal 5 2 2 2 2 6" xfId="34490"/>
    <cellStyle name="Normal 5 2 2 2 2 7" xfId="34491"/>
    <cellStyle name="Normal 5 2 2 2 2 8" xfId="34492"/>
    <cellStyle name="Normal 5 2 2 2 2 9" xfId="34493"/>
    <cellStyle name="Normal 5 2 2 2 3" xfId="34494"/>
    <cellStyle name="Normal 5 2 2 2 3 2" xfId="34495"/>
    <cellStyle name="Normal 5 2 2 2 3 2 2" xfId="34496"/>
    <cellStyle name="Normal 5 2 2 2 3 3" xfId="34497"/>
    <cellStyle name="Normal 5 2 2 2 3 4" xfId="34498"/>
    <cellStyle name="Normal 5 2 2 2 3 5" xfId="34499"/>
    <cellStyle name="Normal 5 2 2 2 4" xfId="34500"/>
    <cellStyle name="Normal 5 2 2 2 4 2" xfId="34501"/>
    <cellStyle name="Normal 5 2 2 2 5" xfId="34502"/>
    <cellStyle name="Normal 5 2 2 2 5 2" xfId="34503"/>
    <cellStyle name="Normal 5 2 2 2 6" xfId="34504"/>
    <cellStyle name="Normal 5 2 2 2 6 2" xfId="34505"/>
    <cellStyle name="Normal 5 2 2 2 7" xfId="34506"/>
    <cellStyle name="Normal 5 2 2 2 7 2" xfId="34507"/>
    <cellStyle name="Normal 5 2 2 2 8" xfId="34508"/>
    <cellStyle name="Normal 5 2 2 2 9" xfId="34509"/>
    <cellStyle name="Normal 5 2 2 20" xfId="34510"/>
    <cellStyle name="Normal 5 2 2 3" xfId="34511"/>
    <cellStyle name="Normal 5 2 2 3 10" xfId="34512"/>
    <cellStyle name="Normal 5 2 2 3 11" xfId="34513"/>
    <cellStyle name="Normal 5 2 2 3 12" xfId="34514"/>
    <cellStyle name="Normal 5 2 2 3 13" xfId="34515"/>
    <cellStyle name="Normal 5 2 2 3 14" xfId="34516"/>
    <cellStyle name="Normal 5 2 2 3 15" xfId="34517"/>
    <cellStyle name="Normal 5 2 2 3 16" xfId="34518"/>
    <cellStyle name="Normal 5 2 2 3 2" xfId="34519"/>
    <cellStyle name="Normal 5 2 2 3 2 2" xfId="34520"/>
    <cellStyle name="Normal 5 2 2 3 2 2 2" xfId="34521"/>
    <cellStyle name="Normal 5 2 2 3 2 3" xfId="34522"/>
    <cellStyle name="Normal 5 2 2 3 2 3 2" xfId="34523"/>
    <cellStyle name="Normal 5 2 2 3 2 4" xfId="34524"/>
    <cellStyle name="Normal 5 2 2 3 2 4 2" xfId="34525"/>
    <cellStyle name="Normal 5 2 2 3 2 5" xfId="34526"/>
    <cellStyle name="Normal 5 2 2 3 2 5 2" xfId="34527"/>
    <cellStyle name="Normal 5 2 2 3 2 6" xfId="34528"/>
    <cellStyle name="Normal 5 2 2 3 2 7" xfId="34529"/>
    <cellStyle name="Normal 5 2 2 3 2 8" xfId="34530"/>
    <cellStyle name="Normal 5 2 2 3 2 9" xfId="34531"/>
    <cellStyle name="Normal 5 2 2 3 3" xfId="34532"/>
    <cellStyle name="Normal 5 2 2 3 3 2" xfId="34533"/>
    <cellStyle name="Normal 5 2 2 3 3 2 2" xfId="34534"/>
    <cellStyle name="Normal 5 2 2 3 3 3" xfId="34535"/>
    <cellStyle name="Normal 5 2 2 3 3 4" xfId="34536"/>
    <cellStyle name="Normal 5 2 2 3 3 5" xfId="34537"/>
    <cellStyle name="Normal 5 2 2 3 4" xfId="34538"/>
    <cellStyle name="Normal 5 2 2 3 4 2" xfId="34539"/>
    <cellStyle name="Normal 5 2 2 3 5" xfId="34540"/>
    <cellStyle name="Normal 5 2 2 3 5 2" xfId="34541"/>
    <cellStyle name="Normal 5 2 2 3 6" xfId="34542"/>
    <cellStyle name="Normal 5 2 2 3 6 2" xfId="34543"/>
    <cellStyle name="Normal 5 2 2 3 7" xfId="34544"/>
    <cellStyle name="Normal 5 2 2 3 7 2" xfId="34545"/>
    <cellStyle name="Normal 5 2 2 3 8" xfId="34546"/>
    <cellStyle name="Normal 5 2 2 3 9" xfId="34547"/>
    <cellStyle name="Normal 5 2 2 4" xfId="34548"/>
    <cellStyle name="Normal 5 2 2 4 10" xfId="34549"/>
    <cellStyle name="Normal 5 2 2 4 11" xfId="34550"/>
    <cellStyle name="Normal 5 2 2 4 12" xfId="34551"/>
    <cellStyle name="Normal 5 2 2 4 13" xfId="34552"/>
    <cellStyle name="Normal 5 2 2 4 14" xfId="34553"/>
    <cellStyle name="Normal 5 2 2 4 15" xfId="34554"/>
    <cellStyle name="Normal 5 2 2 4 2" xfId="34555"/>
    <cellStyle name="Normal 5 2 2 4 2 2" xfId="34556"/>
    <cellStyle name="Normal 5 2 2 4 2 2 2" xfId="34557"/>
    <cellStyle name="Normal 5 2 2 4 2 3" xfId="34558"/>
    <cellStyle name="Normal 5 2 2 4 2 3 2" xfId="34559"/>
    <cellStyle name="Normal 5 2 2 4 2 4" xfId="34560"/>
    <cellStyle name="Normal 5 2 2 4 2 4 2" xfId="34561"/>
    <cellStyle name="Normal 5 2 2 4 2 5" xfId="34562"/>
    <cellStyle name="Normal 5 2 2 4 2 5 2" xfId="34563"/>
    <cellStyle name="Normal 5 2 2 4 2 6" xfId="34564"/>
    <cellStyle name="Normal 5 2 2 4 2 7" xfId="34565"/>
    <cellStyle name="Normal 5 2 2 4 2 8" xfId="34566"/>
    <cellStyle name="Normal 5 2 2 4 2 9" xfId="34567"/>
    <cellStyle name="Normal 5 2 2 4 3" xfId="34568"/>
    <cellStyle name="Normal 5 2 2 4 3 2" xfId="34569"/>
    <cellStyle name="Normal 5 2 2 4 3 2 2" xfId="34570"/>
    <cellStyle name="Normal 5 2 2 4 3 3" xfId="34571"/>
    <cellStyle name="Normal 5 2 2 4 3 4" xfId="34572"/>
    <cellStyle name="Normal 5 2 2 4 3 5" xfId="34573"/>
    <cellStyle name="Normal 5 2 2 4 4" xfId="34574"/>
    <cellStyle name="Normal 5 2 2 4 4 2" xfId="34575"/>
    <cellStyle name="Normal 5 2 2 4 5" xfId="34576"/>
    <cellStyle name="Normal 5 2 2 4 5 2" xfId="34577"/>
    <cellStyle name="Normal 5 2 2 4 6" xfId="34578"/>
    <cellStyle name="Normal 5 2 2 4 6 2" xfId="34579"/>
    <cellStyle name="Normal 5 2 2 4 7" xfId="34580"/>
    <cellStyle name="Normal 5 2 2 4 7 2" xfId="34581"/>
    <cellStyle name="Normal 5 2 2 4 8" xfId="34582"/>
    <cellStyle name="Normal 5 2 2 4 9" xfId="34583"/>
    <cellStyle name="Normal 5 2 2 5" xfId="34584"/>
    <cellStyle name="Normal 5 2 2 5 10" xfId="34585"/>
    <cellStyle name="Normal 5 2 2 5 11" xfId="34586"/>
    <cellStyle name="Normal 5 2 2 5 12" xfId="34587"/>
    <cellStyle name="Normal 5 2 2 5 13" xfId="34588"/>
    <cellStyle name="Normal 5 2 2 5 14" xfId="34589"/>
    <cellStyle name="Normal 5 2 2 5 2" xfId="34590"/>
    <cellStyle name="Normal 5 2 2 5 2 2" xfId="34591"/>
    <cellStyle name="Normal 5 2 2 5 2 2 2" xfId="34592"/>
    <cellStyle name="Normal 5 2 2 5 2 3" xfId="34593"/>
    <cellStyle name="Normal 5 2 2 5 2 3 2" xfId="34594"/>
    <cellStyle name="Normal 5 2 2 5 2 4" xfId="34595"/>
    <cellStyle name="Normal 5 2 2 5 2 4 2" xfId="34596"/>
    <cellStyle name="Normal 5 2 2 5 2 5" xfId="34597"/>
    <cellStyle name="Normal 5 2 2 5 2 5 2" xfId="34598"/>
    <cellStyle name="Normal 5 2 2 5 2 6" xfId="34599"/>
    <cellStyle name="Normal 5 2 2 5 2 7" xfId="34600"/>
    <cellStyle name="Normal 5 2 2 5 2 8" xfId="34601"/>
    <cellStyle name="Normal 5 2 2 5 2 9" xfId="34602"/>
    <cellStyle name="Normal 5 2 2 5 3" xfId="34603"/>
    <cellStyle name="Normal 5 2 2 5 3 2" xfId="34604"/>
    <cellStyle name="Normal 5 2 2 5 3 2 2" xfId="34605"/>
    <cellStyle name="Normal 5 2 2 5 3 3" xfId="34606"/>
    <cellStyle name="Normal 5 2 2 5 3 4" xfId="34607"/>
    <cellStyle name="Normal 5 2 2 5 3 5" xfId="34608"/>
    <cellStyle name="Normal 5 2 2 5 4" xfId="34609"/>
    <cellStyle name="Normal 5 2 2 5 4 2" xfId="34610"/>
    <cellStyle name="Normal 5 2 2 5 5" xfId="34611"/>
    <cellStyle name="Normal 5 2 2 5 5 2" xfId="34612"/>
    <cellStyle name="Normal 5 2 2 5 6" xfId="34613"/>
    <cellStyle name="Normal 5 2 2 5 6 2" xfId="34614"/>
    <cellStyle name="Normal 5 2 2 5 7" xfId="34615"/>
    <cellStyle name="Normal 5 2 2 5 7 2" xfId="34616"/>
    <cellStyle name="Normal 5 2 2 5 8" xfId="34617"/>
    <cellStyle name="Normal 5 2 2 5 9" xfId="34618"/>
    <cellStyle name="Normal 5 2 2 6" xfId="34619"/>
    <cellStyle name="Normal 5 2 2 6 2" xfId="34620"/>
    <cellStyle name="Normal 5 2 2 6 2 2" xfId="34621"/>
    <cellStyle name="Normal 5 2 2 6 3" xfId="34622"/>
    <cellStyle name="Normal 5 2 2 6 3 2" xfId="34623"/>
    <cellStyle name="Normal 5 2 2 6 4" xfId="34624"/>
    <cellStyle name="Normal 5 2 2 6 4 2" xfId="34625"/>
    <cellStyle name="Normal 5 2 2 6 5" xfId="34626"/>
    <cellStyle name="Normal 5 2 2 6 5 2" xfId="34627"/>
    <cellStyle name="Normal 5 2 2 6 6" xfId="34628"/>
    <cellStyle name="Normal 5 2 2 6 7" xfId="34629"/>
    <cellStyle name="Normal 5 2 2 6 8" xfId="34630"/>
    <cellStyle name="Normal 5 2 2 6 9" xfId="34631"/>
    <cellStyle name="Normal 5 2 2 7" xfId="34632"/>
    <cellStyle name="Normal 5 2 2 7 2" xfId="34633"/>
    <cellStyle name="Normal 5 2 2 7 2 2" xfId="34634"/>
    <cellStyle name="Normal 5 2 2 7 3" xfId="34635"/>
    <cellStyle name="Normal 5 2 2 7 4" xfId="34636"/>
    <cellStyle name="Normal 5 2 2 7 5" xfId="34637"/>
    <cellStyle name="Normal 5 2 2 8" xfId="34638"/>
    <cellStyle name="Normal 5 2 2 8 2" xfId="34639"/>
    <cellStyle name="Normal 5 2 2 9" xfId="34640"/>
    <cellStyle name="Normal 5 2 2 9 2" xfId="34641"/>
    <cellStyle name="Normal 5 2 20" xfId="34642"/>
    <cellStyle name="Normal 5 2 21" xfId="34643"/>
    <cellStyle name="Normal 5 2 22" xfId="34644"/>
    <cellStyle name="Normal 5 2 23" xfId="34645"/>
    <cellStyle name="Normal 5 2 24" xfId="34646"/>
    <cellStyle name="Normal 5 2 25" xfId="34647"/>
    <cellStyle name="Normal 5 2 26" xfId="34648"/>
    <cellStyle name="Normal 5 2 3" xfId="34649"/>
    <cellStyle name="Normal 5 2 3 10" xfId="34650"/>
    <cellStyle name="Normal 5 2 3 11" xfId="34651"/>
    <cellStyle name="Normal 5 2 3 12" xfId="34652"/>
    <cellStyle name="Normal 5 2 3 13" xfId="34653"/>
    <cellStyle name="Normal 5 2 3 14" xfId="34654"/>
    <cellStyle name="Normal 5 2 3 15" xfId="34655"/>
    <cellStyle name="Normal 5 2 3 16" xfId="34656"/>
    <cellStyle name="Normal 5 2 3 17" xfId="34657"/>
    <cellStyle name="Normal 5 2 3 18" xfId="34658"/>
    <cellStyle name="Normal 5 2 3 2" xfId="34659"/>
    <cellStyle name="Normal 5 2 3 2 10" xfId="34660"/>
    <cellStyle name="Normal 5 2 3 2 11" xfId="34661"/>
    <cellStyle name="Normal 5 2 3 2 12" xfId="34662"/>
    <cellStyle name="Normal 5 2 3 2 13" xfId="34663"/>
    <cellStyle name="Normal 5 2 3 2 2" xfId="34664"/>
    <cellStyle name="Normal 5 2 3 2 2 2" xfId="34665"/>
    <cellStyle name="Normal 5 2 3 2 2 2 2" xfId="34666"/>
    <cellStyle name="Normal 5 2 3 2 2 3" xfId="34667"/>
    <cellStyle name="Normal 5 2 3 2 2 4" xfId="34668"/>
    <cellStyle name="Normal 5 2 3 2 2 5" xfId="34669"/>
    <cellStyle name="Normal 5 2 3 2 3" xfId="34670"/>
    <cellStyle name="Normal 5 2 3 2 3 2" xfId="34671"/>
    <cellStyle name="Normal 5 2 3 2 4" xfId="34672"/>
    <cellStyle name="Normal 5 2 3 2 4 2" xfId="34673"/>
    <cellStyle name="Normal 5 2 3 2 5" xfId="34674"/>
    <cellStyle name="Normal 5 2 3 2 5 2" xfId="34675"/>
    <cellStyle name="Normal 5 2 3 2 6" xfId="34676"/>
    <cellStyle name="Normal 5 2 3 2 6 2" xfId="34677"/>
    <cellStyle name="Normal 5 2 3 2 7" xfId="34678"/>
    <cellStyle name="Normal 5 2 3 2 8" xfId="34679"/>
    <cellStyle name="Normal 5 2 3 2 9" xfId="34680"/>
    <cellStyle name="Normal 5 2 3 3" xfId="34681"/>
    <cellStyle name="Normal 5 2 3 3 2" xfId="34682"/>
    <cellStyle name="Normal 5 2 3 3 2 2" xfId="34683"/>
    <cellStyle name="Normal 5 2 3 3 3" xfId="34684"/>
    <cellStyle name="Normal 5 2 3 3 4" xfId="34685"/>
    <cellStyle name="Normal 5 2 3 3 5" xfId="34686"/>
    <cellStyle name="Normal 5 2 3 4" xfId="34687"/>
    <cellStyle name="Normal 5 2 3 4 2" xfId="34688"/>
    <cellStyle name="Normal 5 2 3 5" xfId="34689"/>
    <cellStyle name="Normal 5 2 3 5 2" xfId="34690"/>
    <cellStyle name="Normal 5 2 3 6" xfId="34691"/>
    <cellStyle name="Normal 5 2 3 6 2" xfId="34692"/>
    <cellStyle name="Normal 5 2 3 7" xfId="34693"/>
    <cellStyle name="Normal 5 2 3 7 2" xfId="34694"/>
    <cellStyle name="Normal 5 2 3 8" xfId="34695"/>
    <cellStyle name="Normal 5 2 3 9" xfId="34696"/>
    <cellStyle name="Normal 5 2 4" xfId="34697"/>
    <cellStyle name="Normal 5 2 4 10" xfId="34698"/>
    <cellStyle name="Normal 5 2 4 11" xfId="34699"/>
    <cellStyle name="Normal 5 2 4 12" xfId="34700"/>
    <cellStyle name="Normal 5 2 4 13" xfId="34701"/>
    <cellStyle name="Normal 5 2 4 14" xfId="34702"/>
    <cellStyle name="Normal 5 2 4 15" xfId="34703"/>
    <cellStyle name="Normal 5 2 4 16" xfId="34704"/>
    <cellStyle name="Normal 5 2 4 17" xfId="34705"/>
    <cellStyle name="Normal 5 2 4 18" xfId="34706"/>
    <cellStyle name="Normal 5 2 4 2" xfId="34707"/>
    <cellStyle name="Normal 5 2 4 2 10" xfId="34708"/>
    <cellStyle name="Normal 5 2 4 2 11" xfId="34709"/>
    <cellStyle name="Normal 5 2 4 2 12" xfId="34710"/>
    <cellStyle name="Normal 5 2 4 2 13" xfId="34711"/>
    <cellStyle name="Normal 5 2 4 2 2" xfId="34712"/>
    <cellStyle name="Normal 5 2 4 2 2 2" xfId="34713"/>
    <cellStyle name="Normal 5 2 4 2 2 2 2" xfId="34714"/>
    <cellStyle name="Normal 5 2 4 2 2 3" xfId="34715"/>
    <cellStyle name="Normal 5 2 4 2 2 4" xfId="34716"/>
    <cellStyle name="Normal 5 2 4 2 2 5" xfId="34717"/>
    <cellStyle name="Normal 5 2 4 2 3" xfId="34718"/>
    <cellStyle name="Normal 5 2 4 2 3 2" xfId="34719"/>
    <cellStyle name="Normal 5 2 4 2 4" xfId="34720"/>
    <cellStyle name="Normal 5 2 4 2 4 2" xfId="34721"/>
    <cellStyle name="Normal 5 2 4 2 5" xfId="34722"/>
    <cellStyle name="Normal 5 2 4 2 5 2" xfId="34723"/>
    <cellStyle name="Normal 5 2 4 2 6" xfId="34724"/>
    <cellStyle name="Normal 5 2 4 2 6 2" xfId="34725"/>
    <cellStyle name="Normal 5 2 4 2 7" xfId="34726"/>
    <cellStyle name="Normal 5 2 4 2 8" xfId="34727"/>
    <cellStyle name="Normal 5 2 4 2 9" xfId="34728"/>
    <cellStyle name="Normal 5 2 4 3" xfId="34729"/>
    <cellStyle name="Normal 5 2 4 3 2" xfId="34730"/>
    <cellStyle name="Normal 5 2 4 3 2 2" xfId="34731"/>
    <cellStyle name="Normal 5 2 4 3 3" xfId="34732"/>
    <cellStyle name="Normal 5 2 4 3 4" xfId="34733"/>
    <cellStyle name="Normal 5 2 4 3 5" xfId="34734"/>
    <cellStyle name="Normal 5 2 4 4" xfId="34735"/>
    <cellStyle name="Normal 5 2 4 4 2" xfId="34736"/>
    <cellStyle name="Normal 5 2 4 5" xfId="34737"/>
    <cellStyle name="Normal 5 2 4 5 2" xfId="34738"/>
    <cellStyle name="Normal 5 2 4 6" xfId="34739"/>
    <cellStyle name="Normal 5 2 4 6 2" xfId="34740"/>
    <cellStyle name="Normal 5 2 4 7" xfId="34741"/>
    <cellStyle name="Normal 5 2 4 7 2" xfId="34742"/>
    <cellStyle name="Normal 5 2 4 8" xfId="34743"/>
    <cellStyle name="Normal 5 2 4 9" xfId="34744"/>
    <cellStyle name="Normal 5 2 5" xfId="34745"/>
    <cellStyle name="Normal 5 2 5 10" xfId="34746"/>
    <cellStyle name="Normal 5 2 5 11" xfId="34747"/>
    <cellStyle name="Normal 5 2 5 12" xfId="34748"/>
    <cellStyle name="Normal 5 2 5 13" xfId="34749"/>
    <cellStyle name="Normal 5 2 5 14" xfId="34750"/>
    <cellStyle name="Normal 5 2 5 15" xfId="34751"/>
    <cellStyle name="Normal 5 2 5 16" xfId="34752"/>
    <cellStyle name="Normal 5 2 5 17" xfId="34753"/>
    <cellStyle name="Normal 5 2 5 18" xfId="34754"/>
    <cellStyle name="Normal 5 2 5 2" xfId="34755"/>
    <cellStyle name="Normal 5 2 5 2 10" xfId="34756"/>
    <cellStyle name="Normal 5 2 5 2 11" xfId="34757"/>
    <cellStyle name="Normal 5 2 5 2 12" xfId="34758"/>
    <cellStyle name="Normal 5 2 5 2 13" xfId="34759"/>
    <cellStyle name="Normal 5 2 5 2 2" xfId="34760"/>
    <cellStyle name="Normal 5 2 5 2 2 2" xfId="34761"/>
    <cellStyle name="Normal 5 2 5 2 2 2 2" xfId="34762"/>
    <cellStyle name="Normal 5 2 5 2 2 3" xfId="34763"/>
    <cellStyle name="Normal 5 2 5 2 2 4" xfId="34764"/>
    <cellStyle name="Normal 5 2 5 2 2 5" xfId="34765"/>
    <cellStyle name="Normal 5 2 5 2 3" xfId="34766"/>
    <cellStyle name="Normal 5 2 5 2 3 2" xfId="34767"/>
    <cellStyle name="Normal 5 2 5 2 4" xfId="34768"/>
    <cellStyle name="Normal 5 2 5 2 4 2" xfId="34769"/>
    <cellStyle name="Normal 5 2 5 2 5" xfId="34770"/>
    <cellStyle name="Normal 5 2 5 2 5 2" xfId="34771"/>
    <cellStyle name="Normal 5 2 5 2 6" xfId="34772"/>
    <cellStyle name="Normal 5 2 5 2 6 2" xfId="34773"/>
    <cellStyle name="Normal 5 2 5 2 7" xfId="34774"/>
    <cellStyle name="Normal 5 2 5 2 8" xfId="34775"/>
    <cellStyle name="Normal 5 2 5 2 9" xfId="34776"/>
    <cellStyle name="Normal 5 2 5 3" xfId="34777"/>
    <cellStyle name="Normal 5 2 5 3 2" xfId="34778"/>
    <cellStyle name="Normal 5 2 5 3 2 2" xfId="34779"/>
    <cellStyle name="Normal 5 2 5 3 3" xfId="34780"/>
    <cellStyle name="Normal 5 2 5 3 4" xfId="34781"/>
    <cellStyle name="Normal 5 2 5 3 5" xfId="34782"/>
    <cellStyle name="Normal 5 2 5 4" xfId="34783"/>
    <cellStyle name="Normal 5 2 5 4 2" xfId="34784"/>
    <cellStyle name="Normal 5 2 5 5" xfId="34785"/>
    <cellStyle name="Normal 5 2 5 5 2" xfId="34786"/>
    <cellStyle name="Normal 5 2 5 6" xfId="34787"/>
    <cellStyle name="Normal 5 2 5 6 2" xfId="34788"/>
    <cellStyle name="Normal 5 2 5 7" xfId="34789"/>
    <cellStyle name="Normal 5 2 5 7 2" xfId="34790"/>
    <cellStyle name="Normal 5 2 5 8" xfId="34791"/>
    <cellStyle name="Normal 5 2 5 9" xfId="34792"/>
    <cellStyle name="Normal 5 2 6" xfId="34793"/>
    <cellStyle name="Normal 5 2 6 10" xfId="34794"/>
    <cellStyle name="Normal 5 2 6 11" xfId="34795"/>
    <cellStyle name="Normal 5 2 6 12" xfId="34796"/>
    <cellStyle name="Normal 5 2 6 13" xfId="34797"/>
    <cellStyle name="Normal 5 2 6 14" xfId="34798"/>
    <cellStyle name="Normal 5 2 6 15" xfId="34799"/>
    <cellStyle name="Normal 5 2 6 16" xfId="34800"/>
    <cellStyle name="Normal 5 2 6 17" xfId="34801"/>
    <cellStyle name="Normal 5 2 6 18" xfId="34802"/>
    <cellStyle name="Normal 5 2 6 2" xfId="34803"/>
    <cellStyle name="Normal 5 2 6 2 10" xfId="34804"/>
    <cellStyle name="Normal 5 2 6 2 11" xfId="34805"/>
    <cellStyle name="Normal 5 2 6 2 12" xfId="34806"/>
    <cellStyle name="Normal 5 2 6 2 13" xfId="34807"/>
    <cellStyle name="Normal 5 2 6 2 2" xfId="34808"/>
    <cellStyle name="Normal 5 2 6 2 2 2" xfId="34809"/>
    <cellStyle name="Normal 5 2 6 2 2 2 2" xfId="34810"/>
    <cellStyle name="Normal 5 2 6 2 2 3" xfId="34811"/>
    <cellStyle name="Normal 5 2 6 2 2 4" xfId="34812"/>
    <cellStyle name="Normal 5 2 6 2 2 5" xfId="34813"/>
    <cellStyle name="Normal 5 2 6 2 3" xfId="34814"/>
    <cellStyle name="Normal 5 2 6 2 3 2" xfId="34815"/>
    <cellStyle name="Normal 5 2 6 2 4" xfId="34816"/>
    <cellStyle name="Normal 5 2 6 2 4 2" xfId="34817"/>
    <cellStyle name="Normal 5 2 6 2 5" xfId="34818"/>
    <cellStyle name="Normal 5 2 6 2 5 2" xfId="34819"/>
    <cellStyle name="Normal 5 2 6 2 6" xfId="34820"/>
    <cellStyle name="Normal 5 2 6 2 6 2" xfId="34821"/>
    <cellStyle name="Normal 5 2 6 2 7" xfId="34822"/>
    <cellStyle name="Normal 5 2 6 2 8" xfId="34823"/>
    <cellStyle name="Normal 5 2 6 2 9" xfId="34824"/>
    <cellStyle name="Normal 5 2 6 3" xfId="34825"/>
    <cellStyle name="Normal 5 2 6 3 2" xfId="34826"/>
    <cellStyle name="Normal 5 2 6 3 2 2" xfId="34827"/>
    <cellStyle name="Normal 5 2 6 3 3" xfId="34828"/>
    <cellStyle name="Normal 5 2 6 3 4" xfId="34829"/>
    <cellStyle name="Normal 5 2 6 3 5" xfId="34830"/>
    <cellStyle name="Normal 5 2 6 4" xfId="34831"/>
    <cellStyle name="Normal 5 2 6 4 2" xfId="34832"/>
    <cellStyle name="Normal 5 2 6 5" xfId="34833"/>
    <cellStyle name="Normal 5 2 6 5 2" xfId="34834"/>
    <cellStyle name="Normal 5 2 6 6" xfId="34835"/>
    <cellStyle name="Normal 5 2 6 6 2" xfId="34836"/>
    <cellStyle name="Normal 5 2 6 7" xfId="34837"/>
    <cellStyle name="Normal 5 2 6 7 2" xfId="34838"/>
    <cellStyle name="Normal 5 2 6 8" xfId="34839"/>
    <cellStyle name="Normal 5 2 6 9" xfId="34840"/>
    <cellStyle name="Normal 5 2 7" xfId="34841"/>
    <cellStyle name="Normal 5 2 7 10" xfId="34842"/>
    <cellStyle name="Normal 5 2 7 11" xfId="34843"/>
    <cellStyle name="Normal 5 2 7 12" xfId="34844"/>
    <cellStyle name="Normal 5 2 7 13" xfId="34845"/>
    <cellStyle name="Normal 5 2 7 14" xfId="34846"/>
    <cellStyle name="Normal 5 2 7 15" xfId="34847"/>
    <cellStyle name="Normal 5 2 7 16" xfId="34848"/>
    <cellStyle name="Normal 5 2 7 17" xfId="34849"/>
    <cellStyle name="Normal 5 2 7 18" xfId="34850"/>
    <cellStyle name="Normal 5 2 7 2" xfId="34851"/>
    <cellStyle name="Normal 5 2 7 2 10" xfId="34852"/>
    <cellStyle name="Normal 5 2 7 2 11" xfId="34853"/>
    <cellStyle name="Normal 5 2 7 2 12" xfId="34854"/>
    <cellStyle name="Normal 5 2 7 2 13" xfId="34855"/>
    <cellStyle name="Normal 5 2 7 2 2" xfId="34856"/>
    <cellStyle name="Normal 5 2 7 2 2 2" xfId="34857"/>
    <cellStyle name="Normal 5 2 7 2 2 2 2" xfId="34858"/>
    <cellStyle name="Normal 5 2 7 2 2 3" xfId="34859"/>
    <cellStyle name="Normal 5 2 7 2 2 4" xfId="34860"/>
    <cellStyle name="Normal 5 2 7 2 2 5" xfId="34861"/>
    <cellStyle name="Normal 5 2 7 2 3" xfId="34862"/>
    <cellStyle name="Normal 5 2 7 2 3 2" xfId="34863"/>
    <cellStyle name="Normal 5 2 7 2 4" xfId="34864"/>
    <cellStyle name="Normal 5 2 7 2 4 2" xfId="34865"/>
    <cellStyle name="Normal 5 2 7 2 5" xfId="34866"/>
    <cellStyle name="Normal 5 2 7 2 5 2" xfId="34867"/>
    <cellStyle name="Normal 5 2 7 2 6" xfId="34868"/>
    <cellStyle name="Normal 5 2 7 2 6 2" xfId="34869"/>
    <cellStyle name="Normal 5 2 7 2 7" xfId="34870"/>
    <cellStyle name="Normal 5 2 7 2 8" xfId="34871"/>
    <cellStyle name="Normal 5 2 7 2 9" xfId="34872"/>
    <cellStyle name="Normal 5 2 7 3" xfId="34873"/>
    <cellStyle name="Normal 5 2 7 3 2" xfId="34874"/>
    <cellStyle name="Normal 5 2 7 3 2 2" xfId="34875"/>
    <cellStyle name="Normal 5 2 7 3 3" xfId="34876"/>
    <cellStyle name="Normal 5 2 7 3 4" xfId="34877"/>
    <cellStyle name="Normal 5 2 7 3 5" xfId="34878"/>
    <cellStyle name="Normal 5 2 7 4" xfId="34879"/>
    <cellStyle name="Normal 5 2 7 4 2" xfId="34880"/>
    <cellStyle name="Normal 5 2 7 5" xfId="34881"/>
    <cellStyle name="Normal 5 2 7 5 2" xfId="34882"/>
    <cellStyle name="Normal 5 2 7 6" xfId="34883"/>
    <cellStyle name="Normal 5 2 7 6 2" xfId="34884"/>
    <cellStyle name="Normal 5 2 7 7" xfId="34885"/>
    <cellStyle name="Normal 5 2 7 7 2" xfId="34886"/>
    <cellStyle name="Normal 5 2 7 8" xfId="34887"/>
    <cellStyle name="Normal 5 2 7 9" xfId="34888"/>
    <cellStyle name="Normal 5 2 8" xfId="34889"/>
    <cellStyle name="Normal 5 2 8 10" xfId="34890"/>
    <cellStyle name="Normal 5 2 8 11" xfId="34891"/>
    <cellStyle name="Normal 5 2 8 12" xfId="34892"/>
    <cellStyle name="Normal 5 2 8 13" xfId="34893"/>
    <cellStyle name="Normal 5 2 8 14" xfId="34894"/>
    <cellStyle name="Normal 5 2 8 15" xfId="34895"/>
    <cellStyle name="Normal 5 2 8 16" xfId="34896"/>
    <cellStyle name="Normal 5 2 8 2" xfId="34897"/>
    <cellStyle name="Normal 5 2 8 2 2" xfId="34898"/>
    <cellStyle name="Normal 5 2 8 2 2 2" xfId="34899"/>
    <cellStyle name="Normal 5 2 8 2 3" xfId="34900"/>
    <cellStyle name="Normal 5 2 8 2 3 2" xfId="34901"/>
    <cellStyle name="Normal 5 2 8 2 4" xfId="34902"/>
    <cellStyle name="Normal 5 2 8 2 4 2" xfId="34903"/>
    <cellStyle name="Normal 5 2 8 2 5" xfId="34904"/>
    <cellStyle name="Normal 5 2 8 2 5 2" xfId="34905"/>
    <cellStyle name="Normal 5 2 8 2 6" xfId="34906"/>
    <cellStyle name="Normal 5 2 8 2 7" xfId="34907"/>
    <cellStyle name="Normal 5 2 8 2 8" xfId="34908"/>
    <cellStyle name="Normal 5 2 8 2 9" xfId="34909"/>
    <cellStyle name="Normal 5 2 8 3" xfId="34910"/>
    <cellStyle name="Normal 5 2 8 3 2" xfId="34911"/>
    <cellStyle name="Normal 5 2 8 3 2 2" xfId="34912"/>
    <cellStyle name="Normal 5 2 8 3 3" xfId="34913"/>
    <cellStyle name="Normal 5 2 8 3 4" xfId="34914"/>
    <cellStyle name="Normal 5 2 8 3 5" xfId="34915"/>
    <cellStyle name="Normal 5 2 8 4" xfId="34916"/>
    <cellStyle name="Normal 5 2 8 4 2" xfId="34917"/>
    <cellStyle name="Normal 5 2 8 5" xfId="34918"/>
    <cellStyle name="Normal 5 2 8 5 2" xfId="34919"/>
    <cellStyle name="Normal 5 2 8 6" xfId="34920"/>
    <cellStyle name="Normal 5 2 8 6 2" xfId="34921"/>
    <cellStyle name="Normal 5 2 8 7" xfId="34922"/>
    <cellStyle name="Normal 5 2 8 7 2" xfId="34923"/>
    <cellStyle name="Normal 5 2 8 8" xfId="34924"/>
    <cellStyle name="Normal 5 2 8 9" xfId="34925"/>
    <cellStyle name="Normal 5 2 9" xfId="34926"/>
    <cellStyle name="Normal 5 2 9 10" xfId="34927"/>
    <cellStyle name="Normal 5 2 9 11" xfId="34928"/>
    <cellStyle name="Normal 5 2 9 12" xfId="34929"/>
    <cellStyle name="Normal 5 2 9 13" xfId="34930"/>
    <cellStyle name="Normal 5 2 9 14" xfId="34931"/>
    <cellStyle name="Normal 5 2 9 15" xfId="34932"/>
    <cellStyle name="Normal 5 2 9 16" xfId="34933"/>
    <cellStyle name="Normal 5 2 9 2" xfId="34934"/>
    <cellStyle name="Normal 5 2 9 2 2" xfId="34935"/>
    <cellStyle name="Normal 5 2 9 2 2 2" xfId="34936"/>
    <cellStyle name="Normal 5 2 9 2 3" xfId="34937"/>
    <cellStyle name="Normal 5 2 9 2 3 2" xfId="34938"/>
    <cellStyle name="Normal 5 2 9 2 4" xfId="34939"/>
    <cellStyle name="Normal 5 2 9 2 4 2" xfId="34940"/>
    <cellStyle name="Normal 5 2 9 2 5" xfId="34941"/>
    <cellStyle name="Normal 5 2 9 2 5 2" xfId="34942"/>
    <cellStyle name="Normal 5 2 9 2 6" xfId="34943"/>
    <cellStyle name="Normal 5 2 9 2 7" xfId="34944"/>
    <cellStyle name="Normal 5 2 9 2 8" xfId="34945"/>
    <cellStyle name="Normal 5 2 9 2 9" xfId="34946"/>
    <cellStyle name="Normal 5 2 9 3" xfId="34947"/>
    <cellStyle name="Normal 5 2 9 3 2" xfId="34948"/>
    <cellStyle name="Normal 5 2 9 3 2 2" xfId="34949"/>
    <cellStyle name="Normal 5 2 9 3 3" xfId="34950"/>
    <cellStyle name="Normal 5 2 9 3 4" xfId="34951"/>
    <cellStyle name="Normal 5 2 9 3 5" xfId="34952"/>
    <cellStyle name="Normal 5 2 9 4" xfId="34953"/>
    <cellStyle name="Normal 5 2 9 4 2" xfId="34954"/>
    <cellStyle name="Normal 5 2 9 5" xfId="34955"/>
    <cellStyle name="Normal 5 2 9 5 2" xfId="34956"/>
    <cellStyle name="Normal 5 2 9 6" xfId="34957"/>
    <cellStyle name="Normal 5 2 9 6 2" xfId="34958"/>
    <cellStyle name="Normal 5 2 9 7" xfId="34959"/>
    <cellStyle name="Normal 5 2 9 7 2" xfId="34960"/>
    <cellStyle name="Normal 5 2 9 8" xfId="34961"/>
    <cellStyle name="Normal 5 2 9 9" xfId="34962"/>
    <cellStyle name="Normal 5 20" xfId="34963"/>
    <cellStyle name="Normal 5 20 2" xfId="34964"/>
    <cellStyle name="Normal 5 20 2 2" xfId="34965"/>
    <cellStyle name="Normal 5 20 3" xfId="34966"/>
    <cellStyle name="Normal 5 20 3 2" xfId="34967"/>
    <cellStyle name="Normal 5 20 4" xfId="34968"/>
    <cellStyle name="Normal 5 20 4 2" xfId="34969"/>
    <cellStyle name="Normal 5 20 5" xfId="34970"/>
    <cellStyle name="Normal 5 20 5 2" xfId="34971"/>
    <cellStyle name="Normal 5 20 6" xfId="34972"/>
    <cellStyle name="Normal 5 20 7" xfId="34973"/>
    <cellStyle name="Normal 5 20 8" xfId="34974"/>
    <cellStyle name="Normal 5 20 9" xfId="34975"/>
    <cellStyle name="Normal 5 21" xfId="34976"/>
    <cellStyle name="Normal 5 21 2" xfId="34977"/>
    <cellStyle name="Normal 5 21 2 2" xfId="34978"/>
    <cellStyle name="Normal 5 21 3" xfId="34979"/>
    <cellStyle name="Normal 5 21 4" xfId="34980"/>
    <cellStyle name="Normal 5 21 5" xfId="34981"/>
    <cellStyle name="Normal 5 22" xfId="34982"/>
    <cellStyle name="Normal 5 22 2" xfId="34983"/>
    <cellStyle name="Normal 5 23" xfId="34984"/>
    <cellStyle name="Normal 5 23 2" xfId="34985"/>
    <cellStyle name="Normal 5 24" xfId="34986"/>
    <cellStyle name="Normal 5 24 2" xfId="34987"/>
    <cellStyle name="Normal 5 25" xfId="34988"/>
    <cellStyle name="Normal 5 25 2" xfId="34989"/>
    <cellStyle name="Normal 5 26" xfId="34990"/>
    <cellStyle name="Normal 5 27" xfId="34991"/>
    <cellStyle name="Normal 5 28" xfId="34992"/>
    <cellStyle name="Normal 5 29" xfId="34993"/>
    <cellStyle name="Normal 5 3" xfId="1014"/>
    <cellStyle name="Normal 5 3 10" xfId="34995"/>
    <cellStyle name="Normal 5 3 10 10" xfId="34996"/>
    <cellStyle name="Normal 5 3 10 11" xfId="34997"/>
    <cellStyle name="Normal 5 3 10 12" xfId="34998"/>
    <cellStyle name="Normal 5 3 10 13" xfId="34999"/>
    <cellStyle name="Normal 5 3 10 14" xfId="35000"/>
    <cellStyle name="Normal 5 3 10 2" xfId="35001"/>
    <cellStyle name="Normal 5 3 10 2 2" xfId="35002"/>
    <cellStyle name="Normal 5 3 10 2 2 2" xfId="35003"/>
    <cellStyle name="Normal 5 3 10 2 3" xfId="35004"/>
    <cellStyle name="Normal 5 3 10 2 3 2" xfId="35005"/>
    <cellStyle name="Normal 5 3 10 2 4" xfId="35006"/>
    <cellStyle name="Normal 5 3 10 2 4 2" xfId="35007"/>
    <cellStyle name="Normal 5 3 10 2 5" xfId="35008"/>
    <cellStyle name="Normal 5 3 10 2 5 2" xfId="35009"/>
    <cellStyle name="Normal 5 3 10 2 6" xfId="35010"/>
    <cellStyle name="Normal 5 3 10 2 7" xfId="35011"/>
    <cellStyle name="Normal 5 3 10 2 8" xfId="35012"/>
    <cellStyle name="Normal 5 3 10 2 9" xfId="35013"/>
    <cellStyle name="Normal 5 3 10 3" xfId="35014"/>
    <cellStyle name="Normal 5 3 10 3 2" xfId="35015"/>
    <cellStyle name="Normal 5 3 10 3 2 2" xfId="35016"/>
    <cellStyle name="Normal 5 3 10 3 3" xfId="35017"/>
    <cellStyle name="Normal 5 3 10 3 4" xfId="35018"/>
    <cellStyle name="Normal 5 3 10 3 5" xfId="35019"/>
    <cellStyle name="Normal 5 3 10 4" xfId="35020"/>
    <cellStyle name="Normal 5 3 10 4 2" xfId="35021"/>
    <cellStyle name="Normal 5 3 10 5" xfId="35022"/>
    <cellStyle name="Normal 5 3 10 5 2" xfId="35023"/>
    <cellStyle name="Normal 5 3 10 6" xfId="35024"/>
    <cellStyle name="Normal 5 3 10 6 2" xfId="35025"/>
    <cellStyle name="Normal 5 3 10 7" xfId="35026"/>
    <cellStyle name="Normal 5 3 10 7 2" xfId="35027"/>
    <cellStyle name="Normal 5 3 10 8" xfId="35028"/>
    <cellStyle name="Normal 5 3 10 9" xfId="35029"/>
    <cellStyle name="Normal 5 3 11" xfId="35030"/>
    <cellStyle name="Normal 5 3 11 2" xfId="35031"/>
    <cellStyle name="Normal 5 3 11 2 2" xfId="35032"/>
    <cellStyle name="Normal 5 3 11 3" xfId="35033"/>
    <cellStyle name="Normal 5 3 11 3 2" xfId="35034"/>
    <cellStyle name="Normal 5 3 11 4" xfId="35035"/>
    <cellStyle name="Normal 5 3 11 4 2" xfId="35036"/>
    <cellStyle name="Normal 5 3 11 5" xfId="35037"/>
    <cellStyle name="Normal 5 3 11 5 2" xfId="35038"/>
    <cellStyle name="Normal 5 3 11 6" xfId="35039"/>
    <cellStyle name="Normal 5 3 11 7" xfId="35040"/>
    <cellStyle name="Normal 5 3 11 8" xfId="35041"/>
    <cellStyle name="Normal 5 3 11 9" xfId="35042"/>
    <cellStyle name="Normal 5 3 12" xfId="35043"/>
    <cellStyle name="Normal 5 3 12 2" xfId="35044"/>
    <cellStyle name="Normal 5 3 12 2 2" xfId="35045"/>
    <cellStyle name="Normal 5 3 12 3" xfId="35046"/>
    <cellStyle name="Normal 5 3 12 4" xfId="35047"/>
    <cellStyle name="Normal 5 3 12 5" xfId="35048"/>
    <cellStyle name="Normal 5 3 13" xfId="35049"/>
    <cellStyle name="Normal 5 3 13 2" xfId="35050"/>
    <cellStyle name="Normal 5 3 14" xfId="35051"/>
    <cellStyle name="Normal 5 3 14 2" xfId="35052"/>
    <cellStyle name="Normal 5 3 15" xfId="35053"/>
    <cellStyle name="Normal 5 3 15 2" xfId="35054"/>
    <cellStyle name="Normal 5 3 16" xfId="35055"/>
    <cellStyle name="Normal 5 3 16 2" xfId="35056"/>
    <cellStyle name="Normal 5 3 17" xfId="35057"/>
    <cellStyle name="Normal 5 3 18" xfId="35058"/>
    <cellStyle name="Normal 5 3 19" xfId="35059"/>
    <cellStyle name="Normal 5 3 2" xfId="34994"/>
    <cellStyle name="Normal 5 3 2 10" xfId="35060"/>
    <cellStyle name="Normal 5 3 2 10 2" xfId="35061"/>
    <cellStyle name="Normal 5 3 2 11" xfId="35062"/>
    <cellStyle name="Normal 5 3 2 11 2" xfId="35063"/>
    <cellStyle name="Normal 5 3 2 12" xfId="35064"/>
    <cellStyle name="Normal 5 3 2 13" xfId="35065"/>
    <cellStyle name="Normal 5 3 2 14" xfId="35066"/>
    <cellStyle name="Normal 5 3 2 15" xfId="35067"/>
    <cellStyle name="Normal 5 3 2 16" xfId="35068"/>
    <cellStyle name="Normal 5 3 2 17" xfId="35069"/>
    <cellStyle name="Normal 5 3 2 18" xfId="35070"/>
    <cellStyle name="Normal 5 3 2 19" xfId="35071"/>
    <cellStyle name="Normal 5 3 2 2" xfId="35072"/>
    <cellStyle name="Normal 5 3 2 2 10" xfId="35073"/>
    <cellStyle name="Normal 5 3 2 2 11" xfId="35074"/>
    <cellStyle name="Normal 5 3 2 2 12" xfId="35075"/>
    <cellStyle name="Normal 5 3 2 2 13" xfId="35076"/>
    <cellStyle name="Normal 5 3 2 2 14" xfId="35077"/>
    <cellStyle name="Normal 5 3 2 2 15" xfId="35078"/>
    <cellStyle name="Normal 5 3 2 2 16" xfId="35079"/>
    <cellStyle name="Normal 5 3 2 2 2" xfId="35080"/>
    <cellStyle name="Normal 5 3 2 2 2 2" xfId="35081"/>
    <cellStyle name="Normal 5 3 2 2 2 2 2" xfId="35082"/>
    <cellStyle name="Normal 5 3 2 2 2 3" xfId="35083"/>
    <cellStyle name="Normal 5 3 2 2 2 3 2" xfId="35084"/>
    <cellStyle name="Normal 5 3 2 2 2 4" xfId="35085"/>
    <cellStyle name="Normal 5 3 2 2 2 4 2" xfId="35086"/>
    <cellStyle name="Normal 5 3 2 2 2 5" xfId="35087"/>
    <cellStyle name="Normal 5 3 2 2 2 5 2" xfId="35088"/>
    <cellStyle name="Normal 5 3 2 2 2 6" xfId="35089"/>
    <cellStyle name="Normal 5 3 2 2 2 7" xfId="35090"/>
    <cellStyle name="Normal 5 3 2 2 2 8" xfId="35091"/>
    <cellStyle name="Normal 5 3 2 2 2 9" xfId="35092"/>
    <cellStyle name="Normal 5 3 2 2 3" xfId="35093"/>
    <cellStyle name="Normal 5 3 2 2 3 2" xfId="35094"/>
    <cellStyle name="Normal 5 3 2 2 3 2 2" xfId="35095"/>
    <cellStyle name="Normal 5 3 2 2 3 3" xfId="35096"/>
    <cellStyle name="Normal 5 3 2 2 3 4" xfId="35097"/>
    <cellStyle name="Normal 5 3 2 2 3 5" xfId="35098"/>
    <cellStyle name="Normal 5 3 2 2 4" xfId="35099"/>
    <cellStyle name="Normal 5 3 2 2 4 2" xfId="35100"/>
    <cellStyle name="Normal 5 3 2 2 5" xfId="35101"/>
    <cellStyle name="Normal 5 3 2 2 5 2" xfId="35102"/>
    <cellStyle name="Normal 5 3 2 2 6" xfId="35103"/>
    <cellStyle name="Normal 5 3 2 2 6 2" xfId="35104"/>
    <cellStyle name="Normal 5 3 2 2 7" xfId="35105"/>
    <cellStyle name="Normal 5 3 2 2 7 2" xfId="35106"/>
    <cellStyle name="Normal 5 3 2 2 8" xfId="35107"/>
    <cellStyle name="Normal 5 3 2 2 9" xfId="35108"/>
    <cellStyle name="Normal 5 3 2 20" xfId="35109"/>
    <cellStyle name="Normal 5 3 2 3" xfId="35110"/>
    <cellStyle name="Normal 5 3 2 3 10" xfId="35111"/>
    <cellStyle name="Normal 5 3 2 3 11" xfId="35112"/>
    <cellStyle name="Normal 5 3 2 3 12" xfId="35113"/>
    <cellStyle name="Normal 5 3 2 3 13" xfId="35114"/>
    <cellStyle name="Normal 5 3 2 3 14" xfId="35115"/>
    <cellStyle name="Normal 5 3 2 3 15" xfId="35116"/>
    <cellStyle name="Normal 5 3 2 3 16" xfId="35117"/>
    <cellStyle name="Normal 5 3 2 3 2" xfId="35118"/>
    <cellStyle name="Normal 5 3 2 3 2 2" xfId="35119"/>
    <cellStyle name="Normal 5 3 2 3 2 2 2" xfId="35120"/>
    <cellStyle name="Normal 5 3 2 3 2 3" xfId="35121"/>
    <cellStyle name="Normal 5 3 2 3 2 3 2" xfId="35122"/>
    <cellStyle name="Normal 5 3 2 3 2 4" xfId="35123"/>
    <cellStyle name="Normal 5 3 2 3 2 4 2" xfId="35124"/>
    <cellStyle name="Normal 5 3 2 3 2 5" xfId="35125"/>
    <cellStyle name="Normal 5 3 2 3 2 5 2" xfId="35126"/>
    <cellStyle name="Normal 5 3 2 3 2 6" xfId="35127"/>
    <cellStyle name="Normal 5 3 2 3 2 7" xfId="35128"/>
    <cellStyle name="Normal 5 3 2 3 2 8" xfId="35129"/>
    <cellStyle name="Normal 5 3 2 3 2 9" xfId="35130"/>
    <cellStyle name="Normal 5 3 2 3 3" xfId="35131"/>
    <cellStyle name="Normal 5 3 2 3 3 2" xfId="35132"/>
    <cellStyle name="Normal 5 3 2 3 3 2 2" xfId="35133"/>
    <cellStyle name="Normal 5 3 2 3 3 3" xfId="35134"/>
    <cellStyle name="Normal 5 3 2 3 3 4" xfId="35135"/>
    <cellStyle name="Normal 5 3 2 3 3 5" xfId="35136"/>
    <cellStyle name="Normal 5 3 2 3 4" xfId="35137"/>
    <cellStyle name="Normal 5 3 2 3 4 2" xfId="35138"/>
    <cellStyle name="Normal 5 3 2 3 5" xfId="35139"/>
    <cellStyle name="Normal 5 3 2 3 5 2" xfId="35140"/>
    <cellStyle name="Normal 5 3 2 3 6" xfId="35141"/>
    <cellStyle name="Normal 5 3 2 3 6 2" xfId="35142"/>
    <cellStyle name="Normal 5 3 2 3 7" xfId="35143"/>
    <cellStyle name="Normal 5 3 2 3 7 2" xfId="35144"/>
    <cellStyle name="Normal 5 3 2 3 8" xfId="35145"/>
    <cellStyle name="Normal 5 3 2 3 9" xfId="35146"/>
    <cellStyle name="Normal 5 3 2 4" xfId="35147"/>
    <cellStyle name="Normal 5 3 2 4 10" xfId="35148"/>
    <cellStyle name="Normal 5 3 2 4 11" xfId="35149"/>
    <cellStyle name="Normal 5 3 2 4 12" xfId="35150"/>
    <cellStyle name="Normal 5 3 2 4 13" xfId="35151"/>
    <cellStyle name="Normal 5 3 2 4 14" xfId="35152"/>
    <cellStyle name="Normal 5 3 2 4 15" xfId="35153"/>
    <cellStyle name="Normal 5 3 2 4 2" xfId="35154"/>
    <cellStyle name="Normal 5 3 2 4 2 2" xfId="35155"/>
    <cellStyle name="Normal 5 3 2 4 2 2 2" xfId="35156"/>
    <cellStyle name="Normal 5 3 2 4 2 3" xfId="35157"/>
    <cellStyle name="Normal 5 3 2 4 2 3 2" xfId="35158"/>
    <cellStyle name="Normal 5 3 2 4 2 4" xfId="35159"/>
    <cellStyle name="Normal 5 3 2 4 2 4 2" xfId="35160"/>
    <cellStyle name="Normal 5 3 2 4 2 5" xfId="35161"/>
    <cellStyle name="Normal 5 3 2 4 2 5 2" xfId="35162"/>
    <cellStyle name="Normal 5 3 2 4 2 6" xfId="35163"/>
    <cellStyle name="Normal 5 3 2 4 2 7" xfId="35164"/>
    <cellStyle name="Normal 5 3 2 4 2 8" xfId="35165"/>
    <cellStyle name="Normal 5 3 2 4 2 9" xfId="35166"/>
    <cellStyle name="Normal 5 3 2 4 3" xfId="35167"/>
    <cellStyle name="Normal 5 3 2 4 3 2" xfId="35168"/>
    <cellStyle name="Normal 5 3 2 4 3 2 2" xfId="35169"/>
    <cellStyle name="Normal 5 3 2 4 3 3" xfId="35170"/>
    <cellStyle name="Normal 5 3 2 4 3 4" xfId="35171"/>
    <cellStyle name="Normal 5 3 2 4 3 5" xfId="35172"/>
    <cellStyle name="Normal 5 3 2 4 4" xfId="35173"/>
    <cellStyle name="Normal 5 3 2 4 4 2" xfId="35174"/>
    <cellStyle name="Normal 5 3 2 4 5" xfId="35175"/>
    <cellStyle name="Normal 5 3 2 4 5 2" xfId="35176"/>
    <cellStyle name="Normal 5 3 2 4 6" xfId="35177"/>
    <cellStyle name="Normal 5 3 2 4 6 2" xfId="35178"/>
    <cellStyle name="Normal 5 3 2 4 7" xfId="35179"/>
    <cellStyle name="Normal 5 3 2 4 7 2" xfId="35180"/>
    <cellStyle name="Normal 5 3 2 4 8" xfId="35181"/>
    <cellStyle name="Normal 5 3 2 4 9" xfId="35182"/>
    <cellStyle name="Normal 5 3 2 5" xfId="35183"/>
    <cellStyle name="Normal 5 3 2 5 10" xfId="35184"/>
    <cellStyle name="Normal 5 3 2 5 11" xfId="35185"/>
    <cellStyle name="Normal 5 3 2 5 12" xfId="35186"/>
    <cellStyle name="Normal 5 3 2 5 13" xfId="35187"/>
    <cellStyle name="Normal 5 3 2 5 14" xfId="35188"/>
    <cellStyle name="Normal 5 3 2 5 2" xfId="35189"/>
    <cellStyle name="Normal 5 3 2 5 2 2" xfId="35190"/>
    <cellStyle name="Normal 5 3 2 5 2 2 2" xfId="35191"/>
    <cellStyle name="Normal 5 3 2 5 2 3" xfId="35192"/>
    <cellStyle name="Normal 5 3 2 5 2 3 2" xfId="35193"/>
    <cellStyle name="Normal 5 3 2 5 2 4" xfId="35194"/>
    <cellStyle name="Normal 5 3 2 5 2 4 2" xfId="35195"/>
    <cellStyle name="Normal 5 3 2 5 2 5" xfId="35196"/>
    <cellStyle name="Normal 5 3 2 5 2 5 2" xfId="35197"/>
    <cellStyle name="Normal 5 3 2 5 2 6" xfId="35198"/>
    <cellStyle name="Normal 5 3 2 5 2 7" xfId="35199"/>
    <cellStyle name="Normal 5 3 2 5 2 8" xfId="35200"/>
    <cellStyle name="Normal 5 3 2 5 2 9" xfId="35201"/>
    <cellStyle name="Normal 5 3 2 5 3" xfId="35202"/>
    <cellStyle name="Normal 5 3 2 5 3 2" xfId="35203"/>
    <cellStyle name="Normal 5 3 2 5 3 2 2" xfId="35204"/>
    <cellStyle name="Normal 5 3 2 5 3 3" xfId="35205"/>
    <cellStyle name="Normal 5 3 2 5 3 4" xfId="35206"/>
    <cellStyle name="Normal 5 3 2 5 3 5" xfId="35207"/>
    <cellStyle name="Normal 5 3 2 5 4" xfId="35208"/>
    <cellStyle name="Normal 5 3 2 5 4 2" xfId="35209"/>
    <cellStyle name="Normal 5 3 2 5 5" xfId="35210"/>
    <cellStyle name="Normal 5 3 2 5 5 2" xfId="35211"/>
    <cellStyle name="Normal 5 3 2 5 6" xfId="35212"/>
    <cellStyle name="Normal 5 3 2 5 6 2" xfId="35213"/>
    <cellStyle name="Normal 5 3 2 5 7" xfId="35214"/>
    <cellStyle name="Normal 5 3 2 5 7 2" xfId="35215"/>
    <cellStyle name="Normal 5 3 2 5 8" xfId="35216"/>
    <cellStyle name="Normal 5 3 2 5 9" xfId="35217"/>
    <cellStyle name="Normal 5 3 2 6" xfId="35218"/>
    <cellStyle name="Normal 5 3 2 6 2" xfId="35219"/>
    <cellStyle name="Normal 5 3 2 6 2 2" xfId="35220"/>
    <cellStyle name="Normal 5 3 2 6 3" xfId="35221"/>
    <cellStyle name="Normal 5 3 2 6 3 2" xfId="35222"/>
    <cellStyle name="Normal 5 3 2 6 4" xfId="35223"/>
    <cellStyle name="Normal 5 3 2 6 4 2" xfId="35224"/>
    <cellStyle name="Normal 5 3 2 6 5" xfId="35225"/>
    <cellStyle name="Normal 5 3 2 6 5 2" xfId="35226"/>
    <cellStyle name="Normal 5 3 2 6 6" xfId="35227"/>
    <cellStyle name="Normal 5 3 2 6 7" xfId="35228"/>
    <cellStyle name="Normal 5 3 2 6 8" xfId="35229"/>
    <cellStyle name="Normal 5 3 2 6 9" xfId="35230"/>
    <cellStyle name="Normal 5 3 2 7" xfId="35231"/>
    <cellStyle name="Normal 5 3 2 7 2" xfId="35232"/>
    <cellStyle name="Normal 5 3 2 7 2 2" xfId="35233"/>
    <cellStyle name="Normal 5 3 2 7 3" xfId="35234"/>
    <cellStyle name="Normal 5 3 2 7 4" xfId="35235"/>
    <cellStyle name="Normal 5 3 2 7 5" xfId="35236"/>
    <cellStyle name="Normal 5 3 2 8" xfId="35237"/>
    <cellStyle name="Normal 5 3 2 8 2" xfId="35238"/>
    <cellStyle name="Normal 5 3 2 9" xfId="35239"/>
    <cellStyle name="Normal 5 3 2 9 2" xfId="35240"/>
    <cellStyle name="Normal 5 3 20" xfId="35241"/>
    <cellStyle name="Normal 5 3 21" xfId="35242"/>
    <cellStyle name="Normal 5 3 22" xfId="35243"/>
    <cellStyle name="Normal 5 3 23" xfId="35244"/>
    <cellStyle name="Normal 5 3 24" xfId="35245"/>
    <cellStyle name="Normal 5 3 25" xfId="35246"/>
    <cellStyle name="Normal 5 3 3" xfId="35247"/>
    <cellStyle name="Normal 5 3 3 10" xfId="35248"/>
    <cellStyle name="Normal 5 3 3 11" xfId="35249"/>
    <cellStyle name="Normal 5 3 3 12" xfId="35250"/>
    <cellStyle name="Normal 5 3 3 13" xfId="35251"/>
    <cellStyle name="Normal 5 3 3 14" xfId="35252"/>
    <cellStyle name="Normal 5 3 3 15" xfId="35253"/>
    <cellStyle name="Normal 5 3 3 16" xfId="35254"/>
    <cellStyle name="Normal 5 3 3 17" xfId="35255"/>
    <cellStyle name="Normal 5 3 3 18" xfId="35256"/>
    <cellStyle name="Normal 5 3 3 2" xfId="35257"/>
    <cellStyle name="Normal 5 3 3 2 10" xfId="35258"/>
    <cellStyle name="Normal 5 3 3 2 11" xfId="35259"/>
    <cellStyle name="Normal 5 3 3 2 12" xfId="35260"/>
    <cellStyle name="Normal 5 3 3 2 13" xfId="35261"/>
    <cellStyle name="Normal 5 3 3 2 2" xfId="35262"/>
    <cellStyle name="Normal 5 3 3 2 2 2" xfId="35263"/>
    <cellStyle name="Normal 5 3 3 2 2 2 2" xfId="35264"/>
    <cellStyle name="Normal 5 3 3 2 2 3" xfId="35265"/>
    <cellStyle name="Normal 5 3 3 2 2 4" xfId="35266"/>
    <cellStyle name="Normal 5 3 3 2 2 5" xfId="35267"/>
    <cellStyle name="Normal 5 3 3 2 3" xfId="35268"/>
    <cellStyle name="Normal 5 3 3 2 3 2" xfId="35269"/>
    <cellStyle name="Normal 5 3 3 2 4" xfId="35270"/>
    <cellStyle name="Normal 5 3 3 2 4 2" xfId="35271"/>
    <cellStyle name="Normal 5 3 3 2 5" xfId="35272"/>
    <cellStyle name="Normal 5 3 3 2 5 2" xfId="35273"/>
    <cellStyle name="Normal 5 3 3 2 6" xfId="35274"/>
    <cellStyle name="Normal 5 3 3 2 6 2" xfId="35275"/>
    <cellStyle name="Normal 5 3 3 2 7" xfId="35276"/>
    <cellStyle name="Normal 5 3 3 2 8" xfId="35277"/>
    <cellStyle name="Normal 5 3 3 2 9" xfId="35278"/>
    <cellStyle name="Normal 5 3 3 3" xfId="35279"/>
    <cellStyle name="Normal 5 3 3 3 2" xfId="35280"/>
    <cellStyle name="Normal 5 3 3 3 2 2" xfId="35281"/>
    <cellStyle name="Normal 5 3 3 3 3" xfId="35282"/>
    <cellStyle name="Normal 5 3 3 3 4" xfId="35283"/>
    <cellStyle name="Normal 5 3 3 3 5" xfId="35284"/>
    <cellStyle name="Normal 5 3 3 4" xfId="35285"/>
    <cellStyle name="Normal 5 3 3 4 2" xfId="35286"/>
    <cellStyle name="Normal 5 3 3 5" xfId="35287"/>
    <cellStyle name="Normal 5 3 3 5 2" xfId="35288"/>
    <cellStyle name="Normal 5 3 3 6" xfId="35289"/>
    <cellStyle name="Normal 5 3 3 6 2" xfId="35290"/>
    <cellStyle name="Normal 5 3 3 7" xfId="35291"/>
    <cellStyle name="Normal 5 3 3 7 2" xfId="35292"/>
    <cellStyle name="Normal 5 3 3 8" xfId="35293"/>
    <cellStyle name="Normal 5 3 3 9" xfId="35294"/>
    <cellStyle name="Normal 5 3 4" xfId="35295"/>
    <cellStyle name="Normal 5 3 4 10" xfId="35296"/>
    <cellStyle name="Normal 5 3 4 11" xfId="35297"/>
    <cellStyle name="Normal 5 3 4 12" xfId="35298"/>
    <cellStyle name="Normal 5 3 4 13" xfId="35299"/>
    <cellStyle name="Normal 5 3 4 14" xfId="35300"/>
    <cellStyle name="Normal 5 3 4 15" xfId="35301"/>
    <cellStyle name="Normal 5 3 4 16" xfId="35302"/>
    <cellStyle name="Normal 5 3 4 17" xfId="35303"/>
    <cellStyle name="Normal 5 3 4 18" xfId="35304"/>
    <cellStyle name="Normal 5 3 4 2" xfId="35305"/>
    <cellStyle name="Normal 5 3 4 2 10" xfId="35306"/>
    <cellStyle name="Normal 5 3 4 2 11" xfId="35307"/>
    <cellStyle name="Normal 5 3 4 2 12" xfId="35308"/>
    <cellStyle name="Normal 5 3 4 2 13" xfId="35309"/>
    <cellStyle name="Normal 5 3 4 2 2" xfId="35310"/>
    <cellStyle name="Normal 5 3 4 2 2 2" xfId="35311"/>
    <cellStyle name="Normal 5 3 4 2 2 2 2" xfId="35312"/>
    <cellStyle name="Normal 5 3 4 2 2 3" xfId="35313"/>
    <cellStyle name="Normal 5 3 4 2 2 4" xfId="35314"/>
    <cellStyle name="Normal 5 3 4 2 2 5" xfId="35315"/>
    <cellStyle name="Normal 5 3 4 2 3" xfId="35316"/>
    <cellStyle name="Normal 5 3 4 2 3 2" xfId="35317"/>
    <cellStyle name="Normal 5 3 4 2 4" xfId="35318"/>
    <cellStyle name="Normal 5 3 4 2 4 2" xfId="35319"/>
    <cellStyle name="Normal 5 3 4 2 5" xfId="35320"/>
    <cellStyle name="Normal 5 3 4 2 5 2" xfId="35321"/>
    <cellStyle name="Normal 5 3 4 2 6" xfId="35322"/>
    <cellStyle name="Normal 5 3 4 2 6 2" xfId="35323"/>
    <cellStyle name="Normal 5 3 4 2 7" xfId="35324"/>
    <cellStyle name="Normal 5 3 4 2 8" xfId="35325"/>
    <cellStyle name="Normal 5 3 4 2 9" xfId="35326"/>
    <cellStyle name="Normal 5 3 4 3" xfId="35327"/>
    <cellStyle name="Normal 5 3 4 3 2" xfId="35328"/>
    <cellStyle name="Normal 5 3 4 3 2 2" xfId="35329"/>
    <cellStyle name="Normal 5 3 4 3 3" xfId="35330"/>
    <cellStyle name="Normal 5 3 4 3 4" xfId="35331"/>
    <cellStyle name="Normal 5 3 4 3 5" xfId="35332"/>
    <cellStyle name="Normal 5 3 4 4" xfId="35333"/>
    <cellStyle name="Normal 5 3 4 4 2" xfId="35334"/>
    <cellStyle name="Normal 5 3 4 5" xfId="35335"/>
    <cellStyle name="Normal 5 3 4 5 2" xfId="35336"/>
    <cellStyle name="Normal 5 3 4 6" xfId="35337"/>
    <cellStyle name="Normal 5 3 4 6 2" xfId="35338"/>
    <cellStyle name="Normal 5 3 4 7" xfId="35339"/>
    <cellStyle name="Normal 5 3 4 7 2" xfId="35340"/>
    <cellStyle name="Normal 5 3 4 8" xfId="35341"/>
    <cellStyle name="Normal 5 3 4 9" xfId="35342"/>
    <cellStyle name="Normal 5 3 5" xfId="35343"/>
    <cellStyle name="Normal 5 3 5 10" xfId="35344"/>
    <cellStyle name="Normal 5 3 5 11" xfId="35345"/>
    <cellStyle name="Normal 5 3 5 12" xfId="35346"/>
    <cellStyle name="Normal 5 3 5 13" xfId="35347"/>
    <cellStyle name="Normal 5 3 5 14" xfId="35348"/>
    <cellStyle name="Normal 5 3 5 15" xfId="35349"/>
    <cellStyle name="Normal 5 3 5 16" xfId="35350"/>
    <cellStyle name="Normal 5 3 5 17" xfId="35351"/>
    <cellStyle name="Normal 5 3 5 18" xfId="35352"/>
    <cellStyle name="Normal 5 3 5 2" xfId="35353"/>
    <cellStyle name="Normal 5 3 5 2 10" xfId="35354"/>
    <cellStyle name="Normal 5 3 5 2 11" xfId="35355"/>
    <cellStyle name="Normal 5 3 5 2 12" xfId="35356"/>
    <cellStyle name="Normal 5 3 5 2 13" xfId="35357"/>
    <cellStyle name="Normal 5 3 5 2 2" xfId="35358"/>
    <cellStyle name="Normal 5 3 5 2 2 2" xfId="35359"/>
    <cellStyle name="Normal 5 3 5 2 2 2 2" xfId="35360"/>
    <cellStyle name="Normal 5 3 5 2 2 3" xfId="35361"/>
    <cellStyle name="Normal 5 3 5 2 2 4" xfId="35362"/>
    <cellStyle name="Normal 5 3 5 2 2 5" xfId="35363"/>
    <cellStyle name="Normal 5 3 5 2 3" xfId="35364"/>
    <cellStyle name="Normal 5 3 5 2 3 2" xfId="35365"/>
    <cellStyle name="Normal 5 3 5 2 4" xfId="35366"/>
    <cellStyle name="Normal 5 3 5 2 4 2" xfId="35367"/>
    <cellStyle name="Normal 5 3 5 2 5" xfId="35368"/>
    <cellStyle name="Normal 5 3 5 2 5 2" xfId="35369"/>
    <cellStyle name="Normal 5 3 5 2 6" xfId="35370"/>
    <cellStyle name="Normal 5 3 5 2 6 2" xfId="35371"/>
    <cellStyle name="Normal 5 3 5 2 7" xfId="35372"/>
    <cellStyle name="Normal 5 3 5 2 8" xfId="35373"/>
    <cellStyle name="Normal 5 3 5 2 9" xfId="35374"/>
    <cellStyle name="Normal 5 3 5 3" xfId="35375"/>
    <cellStyle name="Normal 5 3 5 3 2" xfId="35376"/>
    <cellStyle name="Normal 5 3 5 3 2 2" xfId="35377"/>
    <cellStyle name="Normal 5 3 5 3 3" xfId="35378"/>
    <cellStyle name="Normal 5 3 5 3 4" xfId="35379"/>
    <cellStyle name="Normal 5 3 5 3 5" xfId="35380"/>
    <cellStyle name="Normal 5 3 5 4" xfId="35381"/>
    <cellStyle name="Normal 5 3 5 4 2" xfId="35382"/>
    <cellStyle name="Normal 5 3 5 5" xfId="35383"/>
    <cellStyle name="Normal 5 3 5 5 2" xfId="35384"/>
    <cellStyle name="Normal 5 3 5 6" xfId="35385"/>
    <cellStyle name="Normal 5 3 5 6 2" xfId="35386"/>
    <cellStyle name="Normal 5 3 5 7" xfId="35387"/>
    <cellStyle name="Normal 5 3 5 7 2" xfId="35388"/>
    <cellStyle name="Normal 5 3 5 8" xfId="35389"/>
    <cellStyle name="Normal 5 3 5 9" xfId="35390"/>
    <cellStyle name="Normal 5 3 6" xfId="35391"/>
    <cellStyle name="Normal 5 3 6 10" xfId="35392"/>
    <cellStyle name="Normal 5 3 6 11" xfId="35393"/>
    <cellStyle name="Normal 5 3 6 12" xfId="35394"/>
    <cellStyle name="Normal 5 3 6 13" xfId="35395"/>
    <cellStyle name="Normal 5 3 6 14" xfId="35396"/>
    <cellStyle name="Normal 5 3 6 15" xfId="35397"/>
    <cellStyle name="Normal 5 3 6 16" xfId="35398"/>
    <cellStyle name="Normal 5 3 6 17" xfId="35399"/>
    <cellStyle name="Normal 5 3 6 18" xfId="35400"/>
    <cellStyle name="Normal 5 3 6 2" xfId="35401"/>
    <cellStyle name="Normal 5 3 6 2 10" xfId="35402"/>
    <cellStyle name="Normal 5 3 6 2 11" xfId="35403"/>
    <cellStyle name="Normal 5 3 6 2 12" xfId="35404"/>
    <cellStyle name="Normal 5 3 6 2 13" xfId="35405"/>
    <cellStyle name="Normal 5 3 6 2 2" xfId="35406"/>
    <cellStyle name="Normal 5 3 6 2 2 2" xfId="35407"/>
    <cellStyle name="Normal 5 3 6 2 2 2 2" xfId="35408"/>
    <cellStyle name="Normal 5 3 6 2 2 3" xfId="35409"/>
    <cellStyle name="Normal 5 3 6 2 2 4" xfId="35410"/>
    <cellStyle name="Normal 5 3 6 2 2 5" xfId="35411"/>
    <cellStyle name="Normal 5 3 6 2 3" xfId="35412"/>
    <cellStyle name="Normal 5 3 6 2 3 2" xfId="35413"/>
    <cellStyle name="Normal 5 3 6 2 4" xfId="35414"/>
    <cellStyle name="Normal 5 3 6 2 4 2" xfId="35415"/>
    <cellStyle name="Normal 5 3 6 2 5" xfId="35416"/>
    <cellStyle name="Normal 5 3 6 2 5 2" xfId="35417"/>
    <cellStyle name="Normal 5 3 6 2 6" xfId="35418"/>
    <cellStyle name="Normal 5 3 6 2 6 2" xfId="35419"/>
    <cellStyle name="Normal 5 3 6 2 7" xfId="35420"/>
    <cellStyle name="Normal 5 3 6 2 8" xfId="35421"/>
    <cellStyle name="Normal 5 3 6 2 9" xfId="35422"/>
    <cellStyle name="Normal 5 3 6 3" xfId="35423"/>
    <cellStyle name="Normal 5 3 6 3 2" xfId="35424"/>
    <cellStyle name="Normal 5 3 6 3 2 2" xfId="35425"/>
    <cellStyle name="Normal 5 3 6 3 3" xfId="35426"/>
    <cellStyle name="Normal 5 3 6 3 4" xfId="35427"/>
    <cellStyle name="Normal 5 3 6 3 5" xfId="35428"/>
    <cellStyle name="Normal 5 3 6 4" xfId="35429"/>
    <cellStyle name="Normal 5 3 6 4 2" xfId="35430"/>
    <cellStyle name="Normal 5 3 6 5" xfId="35431"/>
    <cellStyle name="Normal 5 3 6 5 2" xfId="35432"/>
    <cellStyle name="Normal 5 3 6 6" xfId="35433"/>
    <cellStyle name="Normal 5 3 6 6 2" xfId="35434"/>
    <cellStyle name="Normal 5 3 6 7" xfId="35435"/>
    <cellStyle name="Normal 5 3 6 7 2" xfId="35436"/>
    <cellStyle name="Normal 5 3 6 8" xfId="35437"/>
    <cellStyle name="Normal 5 3 6 9" xfId="35438"/>
    <cellStyle name="Normal 5 3 7" xfId="35439"/>
    <cellStyle name="Normal 5 3 7 10" xfId="35440"/>
    <cellStyle name="Normal 5 3 7 11" xfId="35441"/>
    <cellStyle name="Normal 5 3 7 12" xfId="35442"/>
    <cellStyle name="Normal 5 3 7 13" xfId="35443"/>
    <cellStyle name="Normal 5 3 7 14" xfId="35444"/>
    <cellStyle name="Normal 5 3 7 15" xfId="35445"/>
    <cellStyle name="Normal 5 3 7 16" xfId="35446"/>
    <cellStyle name="Normal 5 3 7 17" xfId="35447"/>
    <cellStyle name="Normal 5 3 7 18" xfId="35448"/>
    <cellStyle name="Normal 5 3 7 2" xfId="35449"/>
    <cellStyle name="Normal 5 3 7 2 10" xfId="35450"/>
    <cellStyle name="Normal 5 3 7 2 11" xfId="35451"/>
    <cellStyle name="Normal 5 3 7 2 12" xfId="35452"/>
    <cellStyle name="Normal 5 3 7 2 13" xfId="35453"/>
    <cellStyle name="Normal 5 3 7 2 2" xfId="35454"/>
    <cellStyle name="Normal 5 3 7 2 2 2" xfId="35455"/>
    <cellStyle name="Normal 5 3 7 2 2 2 2" xfId="35456"/>
    <cellStyle name="Normal 5 3 7 2 2 3" xfId="35457"/>
    <cellStyle name="Normal 5 3 7 2 2 4" xfId="35458"/>
    <cellStyle name="Normal 5 3 7 2 2 5" xfId="35459"/>
    <cellStyle name="Normal 5 3 7 2 3" xfId="35460"/>
    <cellStyle name="Normal 5 3 7 2 3 2" xfId="35461"/>
    <cellStyle name="Normal 5 3 7 2 4" xfId="35462"/>
    <cellStyle name="Normal 5 3 7 2 4 2" xfId="35463"/>
    <cellStyle name="Normal 5 3 7 2 5" xfId="35464"/>
    <cellStyle name="Normal 5 3 7 2 5 2" xfId="35465"/>
    <cellStyle name="Normal 5 3 7 2 6" xfId="35466"/>
    <cellStyle name="Normal 5 3 7 2 6 2" xfId="35467"/>
    <cellStyle name="Normal 5 3 7 2 7" xfId="35468"/>
    <cellStyle name="Normal 5 3 7 2 8" xfId="35469"/>
    <cellStyle name="Normal 5 3 7 2 9" xfId="35470"/>
    <cellStyle name="Normal 5 3 7 3" xfId="35471"/>
    <cellStyle name="Normal 5 3 7 3 2" xfId="35472"/>
    <cellStyle name="Normal 5 3 7 3 2 2" xfId="35473"/>
    <cellStyle name="Normal 5 3 7 3 3" xfId="35474"/>
    <cellStyle name="Normal 5 3 7 3 4" xfId="35475"/>
    <cellStyle name="Normal 5 3 7 3 5" xfId="35476"/>
    <cellStyle name="Normal 5 3 7 4" xfId="35477"/>
    <cellStyle name="Normal 5 3 7 4 2" xfId="35478"/>
    <cellStyle name="Normal 5 3 7 5" xfId="35479"/>
    <cellStyle name="Normal 5 3 7 5 2" xfId="35480"/>
    <cellStyle name="Normal 5 3 7 6" xfId="35481"/>
    <cellStyle name="Normal 5 3 7 6 2" xfId="35482"/>
    <cellStyle name="Normal 5 3 7 7" xfId="35483"/>
    <cellStyle name="Normal 5 3 7 7 2" xfId="35484"/>
    <cellStyle name="Normal 5 3 7 8" xfId="35485"/>
    <cellStyle name="Normal 5 3 7 9" xfId="35486"/>
    <cellStyle name="Normal 5 3 8" xfId="35487"/>
    <cellStyle name="Normal 5 3 8 10" xfId="35488"/>
    <cellStyle name="Normal 5 3 8 11" xfId="35489"/>
    <cellStyle name="Normal 5 3 8 12" xfId="35490"/>
    <cellStyle name="Normal 5 3 8 13" xfId="35491"/>
    <cellStyle name="Normal 5 3 8 14" xfId="35492"/>
    <cellStyle name="Normal 5 3 8 15" xfId="35493"/>
    <cellStyle name="Normal 5 3 8 16" xfId="35494"/>
    <cellStyle name="Normal 5 3 8 2" xfId="35495"/>
    <cellStyle name="Normal 5 3 8 2 2" xfId="35496"/>
    <cellStyle name="Normal 5 3 8 2 2 2" xfId="35497"/>
    <cellStyle name="Normal 5 3 8 2 3" xfId="35498"/>
    <cellStyle name="Normal 5 3 8 2 3 2" xfId="35499"/>
    <cellStyle name="Normal 5 3 8 2 4" xfId="35500"/>
    <cellStyle name="Normal 5 3 8 2 4 2" xfId="35501"/>
    <cellStyle name="Normal 5 3 8 2 5" xfId="35502"/>
    <cellStyle name="Normal 5 3 8 2 5 2" xfId="35503"/>
    <cellStyle name="Normal 5 3 8 2 6" xfId="35504"/>
    <cellStyle name="Normal 5 3 8 2 7" xfId="35505"/>
    <cellStyle name="Normal 5 3 8 2 8" xfId="35506"/>
    <cellStyle name="Normal 5 3 8 2 9" xfId="35507"/>
    <cellStyle name="Normal 5 3 8 3" xfId="35508"/>
    <cellStyle name="Normal 5 3 8 3 2" xfId="35509"/>
    <cellStyle name="Normal 5 3 8 3 2 2" xfId="35510"/>
    <cellStyle name="Normal 5 3 8 3 3" xfId="35511"/>
    <cellStyle name="Normal 5 3 8 3 4" xfId="35512"/>
    <cellStyle name="Normal 5 3 8 3 5" xfId="35513"/>
    <cellStyle name="Normal 5 3 8 4" xfId="35514"/>
    <cellStyle name="Normal 5 3 8 4 2" xfId="35515"/>
    <cellStyle name="Normal 5 3 8 5" xfId="35516"/>
    <cellStyle name="Normal 5 3 8 5 2" xfId="35517"/>
    <cellStyle name="Normal 5 3 8 6" xfId="35518"/>
    <cellStyle name="Normal 5 3 8 6 2" xfId="35519"/>
    <cellStyle name="Normal 5 3 8 7" xfId="35520"/>
    <cellStyle name="Normal 5 3 8 7 2" xfId="35521"/>
    <cellStyle name="Normal 5 3 8 8" xfId="35522"/>
    <cellStyle name="Normal 5 3 8 9" xfId="35523"/>
    <cellStyle name="Normal 5 3 9" xfId="35524"/>
    <cellStyle name="Normal 5 3 9 10" xfId="35525"/>
    <cellStyle name="Normal 5 3 9 11" xfId="35526"/>
    <cellStyle name="Normal 5 3 9 12" xfId="35527"/>
    <cellStyle name="Normal 5 3 9 13" xfId="35528"/>
    <cellStyle name="Normal 5 3 9 14" xfId="35529"/>
    <cellStyle name="Normal 5 3 9 15" xfId="35530"/>
    <cellStyle name="Normal 5 3 9 2" xfId="35531"/>
    <cellStyle name="Normal 5 3 9 2 2" xfId="35532"/>
    <cellStyle name="Normal 5 3 9 2 2 2" xfId="35533"/>
    <cellStyle name="Normal 5 3 9 2 3" xfId="35534"/>
    <cellStyle name="Normal 5 3 9 2 3 2" xfId="35535"/>
    <cellStyle name="Normal 5 3 9 2 4" xfId="35536"/>
    <cellStyle name="Normal 5 3 9 2 4 2" xfId="35537"/>
    <cellStyle name="Normal 5 3 9 2 5" xfId="35538"/>
    <cellStyle name="Normal 5 3 9 2 5 2" xfId="35539"/>
    <cellStyle name="Normal 5 3 9 2 6" xfId="35540"/>
    <cellStyle name="Normal 5 3 9 2 7" xfId="35541"/>
    <cellStyle name="Normal 5 3 9 2 8" xfId="35542"/>
    <cellStyle name="Normal 5 3 9 2 9" xfId="35543"/>
    <cellStyle name="Normal 5 3 9 3" xfId="35544"/>
    <cellStyle name="Normal 5 3 9 3 2" xfId="35545"/>
    <cellStyle name="Normal 5 3 9 3 2 2" xfId="35546"/>
    <cellStyle name="Normal 5 3 9 3 3" xfId="35547"/>
    <cellStyle name="Normal 5 3 9 3 4" xfId="35548"/>
    <cellStyle name="Normal 5 3 9 3 5" xfId="35549"/>
    <cellStyle name="Normal 5 3 9 4" xfId="35550"/>
    <cellStyle name="Normal 5 3 9 4 2" xfId="35551"/>
    <cellStyle name="Normal 5 3 9 5" xfId="35552"/>
    <cellStyle name="Normal 5 3 9 5 2" xfId="35553"/>
    <cellStyle name="Normal 5 3 9 6" xfId="35554"/>
    <cellStyle name="Normal 5 3 9 6 2" xfId="35555"/>
    <cellStyle name="Normal 5 3 9 7" xfId="35556"/>
    <cellStyle name="Normal 5 3 9 7 2" xfId="35557"/>
    <cellStyle name="Normal 5 3 9 8" xfId="35558"/>
    <cellStyle name="Normal 5 3 9 9" xfId="35559"/>
    <cellStyle name="Normal 5 30" xfId="35560"/>
    <cellStyle name="Normal 5 31" xfId="35561"/>
    <cellStyle name="Normal 5 32" xfId="35562"/>
    <cellStyle name="Normal 5 33" xfId="35563"/>
    <cellStyle name="Normal 5 34" xfId="35564"/>
    <cellStyle name="Normal 5 35" xfId="35565"/>
    <cellStyle name="Normal 5 36" xfId="35566"/>
    <cellStyle name="Normal 5 37" xfId="35567"/>
    <cellStyle name="Normal 5 38" xfId="35568"/>
    <cellStyle name="Normal 5 39" xfId="35569"/>
    <cellStyle name="Normal 5 4" xfId="1028"/>
    <cellStyle name="Normal 5 4 10" xfId="35570"/>
    <cellStyle name="Normal 5 4 10 10" xfId="35571"/>
    <cellStyle name="Normal 5 4 10 11" xfId="35572"/>
    <cellStyle name="Normal 5 4 10 12" xfId="35573"/>
    <cellStyle name="Normal 5 4 10 13" xfId="35574"/>
    <cellStyle name="Normal 5 4 10 14" xfId="35575"/>
    <cellStyle name="Normal 5 4 10 2" xfId="35576"/>
    <cellStyle name="Normal 5 4 10 2 2" xfId="35577"/>
    <cellStyle name="Normal 5 4 10 2 2 2" xfId="35578"/>
    <cellStyle name="Normal 5 4 10 2 3" xfId="35579"/>
    <cellStyle name="Normal 5 4 10 2 3 2" xfId="35580"/>
    <cellStyle name="Normal 5 4 10 2 4" xfId="35581"/>
    <cellStyle name="Normal 5 4 10 2 4 2" xfId="35582"/>
    <cellStyle name="Normal 5 4 10 2 5" xfId="35583"/>
    <cellStyle name="Normal 5 4 10 2 5 2" xfId="35584"/>
    <cellStyle name="Normal 5 4 10 2 6" xfId="35585"/>
    <cellStyle name="Normal 5 4 10 2 7" xfId="35586"/>
    <cellStyle name="Normal 5 4 10 2 8" xfId="35587"/>
    <cellStyle name="Normal 5 4 10 2 9" xfId="35588"/>
    <cellStyle name="Normal 5 4 10 3" xfId="35589"/>
    <cellStyle name="Normal 5 4 10 3 2" xfId="35590"/>
    <cellStyle name="Normal 5 4 10 3 2 2" xfId="35591"/>
    <cellStyle name="Normal 5 4 10 3 3" xfId="35592"/>
    <cellStyle name="Normal 5 4 10 3 4" xfId="35593"/>
    <cellStyle name="Normal 5 4 10 3 5" xfId="35594"/>
    <cellStyle name="Normal 5 4 10 4" xfId="35595"/>
    <cellStyle name="Normal 5 4 10 4 2" xfId="35596"/>
    <cellStyle name="Normal 5 4 10 5" xfId="35597"/>
    <cellStyle name="Normal 5 4 10 5 2" xfId="35598"/>
    <cellStyle name="Normal 5 4 10 6" xfId="35599"/>
    <cellStyle name="Normal 5 4 10 6 2" xfId="35600"/>
    <cellStyle name="Normal 5 4 10 7" xfId="35601"/>
    <cellStyle name="Normal 5 4 10 7 2" xfId="35602"/>
    <cellStyle name="Normal 5 4 10 8" xfId="35603"/>
    <cellStyle name="Normal 5 4 10 9" xfId="35604"/>
    <cellStyle name="Normal 5 4 11" xfId="35605"/>
    <cellStyle name="Normal 5 4 11 2" xfId="35606"/>
    <cellStyle name="Normal 5 4 11 2 2" xfId="35607"/>
    <cellStyle name="Normal 5 4 11 3" xfId="35608"/>
    <cellStyle name="Normal 5 4 11 3 2" xfId="35609"/>
    <cellStyle name="Normal 5 4 11 4" xfId="35610"/>
    <cellStyle name="Normal 5 4 11 4 2" xfId="35611"/>
    <cellStyle name="Normal 5 4 11 5" xfId="35612"/>
    <cellStyle name="Normal 5 4 11 5 2" xfId="35613"/>
    <cellStyle name="Normal 5 4 11 6" xfId="35614"/>
    <cellStyle name="Normal 5 4 11 7" xfId="35615"/>
    <cellStyle name="Normal 5 4 11 8" xfId="35616"/>
    <cellStyle name="Normal 5 4 11 9" xfId="35617"/>
    <cellStyle name="Normal 5 4 12" xfId="35618"/>
    <cellStyle name="Normal 5 4 12 2" xfId="35619"/>
    <cellStyle name="Normal 5 4 12 2 2" xfId="35620"/>
    <cellStyle name="Normal 5 4 12 3" xfId="35621"/>
    <cellStyle name="Normal 5 4 12 4" xfId="35622"/>
    <cellStyle name="Normal 5 4 12 5" xfId="35623"/>
    <cellStyle name="Normal 5 4 13" xfId="35624"/>
    <cellStyle name="Normal 5 4 13 2" xfId="35625"/>
    <cellStyle name="Normal 5 4 14" xfId="35626"/>
    <cellStyle name="Normal 5 4 14 2" xfId="35627"/>
    <cellStyle name="Normal 5 4 15" xfId="35628"/>
    <cellStyle name="Normal 5 4 15 2" xfId="35629"/>
    <cellStyle name="Normal 5 4 16" xfId="35630"/>
    <cellStyle name="Normal 5 4 16 2" xfId="35631"/>
    <cellStyle name="Normal 5 4 17" xfId="35632"/>
    <cellStyle name="Normal 5 4 18" xfId="35633"/>
    <cellStyle name="Normal 5 4 19" xfId="35634"/>
    <cellStyle name="Normal 5 4 2" xfId="35635"/>
    <cellStyle name="Normal 5 4 2 10" xfId="35636"/>
    <cellStyle name="Normal 5 4 2 10 2" xfId="35637"/>
    <cellStyle name="Normal 5 4 2 11" xfId="35638"/>
    <cellStyle name="Normal 5 4 2 11 2" xfId="35639"/>
    <cellStyle name="Normal 5 4 2 12" xfId="35640"/>
    <cellStyle name="Normal 5 4 2 13" xfId="35641"/>
    <cellStyle name="Normal 5 4 2 14" xfId="35642"/>
    <cellStyle name="Normal 5 4 2 15" xfId="35643"/>
    <cellStyle name="Normal 5 4 2 16" xfId="35644"/>
    <cellStyle name="Normal 5 4 2 17" xfId="35645"/>
    <cellStyle name="Normal 5 4 2 18" xfId="35646"/>
    <cellStyle name="Normal 5 4 2 19" xfId="35647"/>
    <cellStyle name="Normal 5 4 2 2" xfId="35648"/>
    <cellStyle name="Normal 5 4 2 2 10" xfId="35649"/>
    <cellStyle name="Normal 5 4 2 2 11" xfId="35650"/>
    <cellStyle name="Normal 5 4 2 2 12" xfId="35651"/>
    <cellStyle name="Normal 5 4 2 2 13" xfId="35652"/>
    <cellStyle name="Normal 5 4 2 2 14" xfId="35653"/>
    <cellStyle name="Normal 5 4 2 2 15" xfId="35654"/>
    <cellStyle name="Normal 5 4 2 2 16" xfId="35655"/>
    <cellStyle name="Normal 5 4 2 2 2" xfId="35656"/>
    <cellStyle name="Normal 5 4 2 2 2 2" xfId="35657"/>
    <cellStyle name="Normal 5 4 2 2 2 2 2" xfId="35658"/>
    <cellStyle name="Normal 5 4 2 2 2 3" xfId="35659"/>
    <cellStyle name="Normal 5 4 2 2 2 3 2" xfId="35660"/>
    <cellStyle name="Normal 5 4 2 2 2 4" xfId="35661"/>
    <cellStyle name="Normal 5 4 2 2 2 4 2" xfId="35662"/>
    <cellStyle name="Normal 5 4 2 2 2 5" xfId="35663"/>
    <cellStyle name="Normal 5 4 2 2 2 5 2" xfId="35664"/>
    <cellStyle name="Normal 5 4 2 2 2 6" xfId="35665"/>
    <cellStyle name="Normal 5 4 2 2 2 7" xfId="35666"/>
    <cellStyle name="Normal 5 4 2 2 2 8" xfId="35667"/>
    <cellStyle name="Normal 5 4 2 2 2 9" xfId="35668"/>
    <cellStyle name="Normal 5 4 2 2 3" xfId="35669"/>
    <cellStyle name="Normal 5 4 2 2 3 2" xfId="35670"/>
    <cellStyle name="Normal 5 4 2 2 3 2 2" xfId="35671"/>
    <cellStyle name="Normal 5 4 2 2 3 3" xfId="35672"/>
    <cellStyle name="Normal 5 4 2 2 3 4" xfId="35673"/>
    <cellStyle name="Normal 5 4 2 2 3 5" xfId="35674"/>
    <cellStyle name="Normal 5 4 2 2 4" xfId="35675"/>
    <cellStyle name="Normal 5 4 2 2 4 2" xfId="35676"/>
    <cellStyle name="Normal 5 4 2 2 5" xfId="35677"/>
    <cellStyle name="Normal 5 4 2 2 5 2" xfId="35678"/>
    <cellStyle name="Normal 5 4 2 2 6" xfId="35679"/>
    <cellStyle name="Normal 5 4 2 2 6 2" xfId="35680"/>
    <cellStyle name="Normal 5 4 2 2 7" xfId="35681"/>
    <cellStyle name="Normal 5 4 2 2 7 2" xfId="35682"/>
    <cellStyle name="Normal 5 4 2 2 8" xfId="35683"/>
    <cellStyle name="Normal 5 4 2 2 9" xfId="35684"/>
    <cellStyle name="Normal 5 4 2 20" xfId="35685"/>
    <cellStyle name="Normal 5 4 2 3" xfId="35686"/>
    <cellStyle name="Normal 5 4 2 3 10" xfId="35687"/>
    <cellStyle name="Normal 5 4 2 3 11" xfId="35688"/>
    <cellStyle name="Normal 5 4 2 3 12" xfId="35689"/>
    <cellStyle name="Normal 5 4 2 3 13" xfId="35690"/>
    <cellStyle name="Normal 5 4 2 3 14" xfId="35691"/>
    <cellStyle name="Normal 5 4 2 3 15" xfId="35692"/>
    <cellStyle name="Normal 5 4 2 3 16" xfId="35693"/>
    <cellStyle name="Normal 5 4 2 3 2" xfId="35694"/>
    <cellStyle name="Normal 5 4 2 3 2 2" xfId="35695"/>
    <cellStyle name="Normal 5 4 2 3 2 2 2" xfId="35696"/>
    <cellStyle name="Normal 5 4 2 3 2 3" xfId="35697"/>
    <cellStyle name="Normal 5 4 2 3 2 3 2" xfId="35698"/>
    <cellStyle name="Normal 5 4 2 3 2 4" xfId="35699"/>
    <cellStyle name="Normal 5 4 2 3 2 4 2" xfId="35700"/>
    <cellStyle name="Normal 5 4 2 3 2 5" xfId="35701"/>
    <cellStyle name="Normal 5 4 2 3 2 5 2" xfId="35702"/>
    <cellStyle name="Normal 5 4 2 3 2 6" xfId="35703"/>
    <cellStyle name="Normal 5 4 2 3 2 7" xfId="35704"/>
    <cellStyle name="Normal 5 4 2 3 2 8" xfId="35705"/>
    <cellStyle name="Normal 5 4 2 3 2 9" xfId="35706"/>
    <cellStyle name="Normal 5 4 2 3 3" xfId="35707"/>
    <cellStyle name="Normal 5 4 2 3 3 2" xfId="35708"/>
    <cellStyle name="Normal 5 4 2 3 3 2 2" xfId="35709"/>
    <cellStyle name="Normal 5 4 2 3 3 3" xfId="35710"/>
    <cellStyle name="Normal 5 4 2 3 3 4" xfId="35711"/>
    <cellStyle name="Normal 5 4 2 3 3 5" xfId="35712"/>
    <cellStyle name="Normal 5 4 2 3 4" xfId="35713"/>
    <cellStyle name="Normal 5 4 2 3 4 2" xfId="35714"/>
    <cellStyle name="Normal 5 4 2 3 5" xfId="35715"/>
    <cellStyle name="Normal 5 4 2 3 5 2" xfId="35716"/>
    <cellStyle name="Normal 5 4 2 3 6" xfId="35717"/>
    <cellStyle name="Normal 5 4 2 3 6 2" xfId="35718"/>
    <cellStyle name="Normal 5 4 2 3 7" xfId="35719"/>
    <cellStyle name="Normal 5 4 2 3 7 2" xfId="35720"/>
    <cellStyle name="Normal 5 4 2 3 8" xfId="35721"/>
    <cellStyle name="Normal 5 4 2 3 9" xfId="35722"/>
    <cellStyle name="Normal 5 4 2 4" xfId="35723"/>
    <cellStyle name="Normal 5 4 2 4 10" xfId="35724"/>
    <cellStyle name="Normal 5 4 2 4 11" xfId="35725"/>
    <cellStyle name="Normal 5 4 2 4 12" xfId="35726"/>
    <cellStyle name="Normal 5 4 2 4 13" xfId="35727"/>
    <cellStyle name="Normal 5 4 2 4 14" xfId="35728"/>
    <cellStyle name="Normal 5 4 2 4 15" xfId="35729"/>
    <cellStyle name="Normal 5 4 2 4 2" xfId="35730"/>
    <cellStyle name="Normal 5 4 2 4 2 2" xfId="35731"/>
    <cellStyle name="Normal 5 4 2 4 2 2 2" xfId="35732"/>
    <cellStyle name="Normal 5 4 2 4 2 3" xfId="35733"/>
    <cellStyle name="Normal 5 4 2 4 2 3 2" xfId="35734"/>
    <cellStyle name="Normal 5 4 2 4 2 4" xfId="35735"/>
    <cellStyle name="Normal 5 4 2 4 2 4 2" xfId="35736"/>
    <cellStyle name="Normal 5 4 2 4 2 5" xfId="35737"/>
    <cellStyle name="Normal 5 4 2 4 2 5 2" xfId="35738"/>
    <cellStyle name="Normal 5 4 2 4 2 6" xfId="35739"/>
    <cellStyle name="Normal 5 4 2 4 2 7" xfId="35740"/>
    <cellStyle name="Normal 5 4 2 4 2 8" xfId="35741"/>
    <cellStyle name="Normal 5 4 2 4 2 9" xfId="35742"/>
    <cellStyle name="Normal 5 4 2 4 3" xfId="35743"/>
    <cellStyle name="Normal 5 4 2 4 3 2" xfId="35744"/>
    <cellStyle name="Normal 5 4 2 4 3 2 2" xfId="35745"/>
    <cellStyle name="Normal 5 4 2 4 3 3" xfId="35746"/>
    <cellStyle name="Normal 5 4 2 4 3 4" xfId="35747"/>
    <cellStyle name="Normal 5 4 2 4 3 5" xfId="35748"/>
    <cellStyle name="Normal 5 4 2 4 4" xfId="35749"/>
    <cellStyle name="Normal 5 4 2 4 4 2" xfId="35750"/>
    <cellStyle name="Normal 5 4 2 4 5" xfId="35751"/>
    <cellStyle name="Normal 5 4 2 4 5 2" xfId="35752"/>
    <cellStyle name="Normal 5 4 2 4 6" xfId="35753"/>
    <cellStyle name="Normal 5 4 2 4 6 2" xfId="35754"/>
    <cellStyle name="Normal 5 4 2 4 7" xfId="35755"/>
    <cellStyle name="Normal 5 4 2 4 7 2" xfId="35756"/>
    <cellStyle name="Normal 5 4 2 4 8" xfId="35757"/>
    <cellStyle name="Normal 5 4 2 4 9" xfId="35758"/>
    <cellStyle name="Normal 5 4 2 5" xfId="35759"/>
    <cellStyle name="Normal 5 4 2 5 10" xfId="35760"/>
    <cellStyle name="Normal 5 4 2 5 11" xfId="35761"/>
    <cellStyle name="Normal 5 4 2 5 12" xfId="35762"/>
    <cellStyle name="Normal 5 4 2 5 13" xfId="35763"/>
    <cellStyle name="Normal 5 4 2 5 14" xfId="35764"/>
    <cellStyle name="Normal 5 4 2 5 2" xfId="35765"/>
    <cellStyle name="Normal 5 4 2 5 2 2" xfId="35766"/>
    <cellStyle name="Normal 5 4 2 5 2 2 2" xfId="35767"/>
    <cellStyle name="Normal 5 4 2 5 2 3" xfId="35768"/>
    <cellStyle name="Normal 5 4 2 5 2 3 2" xfId="35769"/>
    <cellStyle name="Normal 5 4 2 5 2 4" xfId="35770"/>
    <cellStyle name="Normal 5 4 2 5 2 4 2" xfId="35771"/>
    <cellStyle name="Normal 5 4 2 5 2 5" xfId="35772"/>
    <cellStyle name="Normal 5 4 2 5 2 5 2" xfId="35773"/>
    <cellStyle name="Normal 5 4 2 5 2 6" xfId="35774"/>
    <cellStyle name="Normal 5 4 2 5 2 7" xfId="35775"/>
    <cellStyle name="Normal 5 4 2 5 2 8" xfId="35776"/>
    <cellStyle name="Normal 5 4 2 5 2 9" xfId="35777"/>
    <cellStyle name="Normal 5 4 2 5 3" xfId="35778"/>
    <cellStyle name="Normal 5 4 2 5 3 2" xfId="35779"/>
    <cellStyle name="Normal 5 4 2 5 3 2 2" xfId="35780"/>
    <cellStyle name="Normal 5 4 2 5 3 3" xfId="35781"/>
    <cellStyle name="Normal 5 4 2 5 3 4" xfId="35782"/>
    <cellStyle name="Normal 5 4 2 5 3 5" xfId="35783"/>
    <cellStyle name="Normal 5 4 2 5 4" xfId="35784"/>
    <cellStyle name="Normal 5 4 2 5 4 2" xfId="35785"/>
    <cellStyle name="Normal 5 4 2 5 5" xfId="35786"/>
    <cellStyle name="Normal 5 4 2 5 5 2" xfId="35787"/>
    <cellStyle name="Normal 5 4 2 5 6" xfId="35788"/>
    <cellStyle name="Normal 5 4 2 5 6 2" xfId="35789"/>
    <cellStyle name="Normal 5 4 2 5 7" xfId="35790"/>
    <cellStyle name="Normal 5 4 2 5 7 2" xfId="35791"/>
    <cellStyle name="Normal 5 4 2 5 8" xfId="35792"/>
    <cellStyle name="Normal 5 4 2 5 9" xfId="35793"/>
    <cellStyle name="Normal 5 4 2 6" xfId="35794"/>
    <cellStyle name="Normal 5 4 2 6 2" xfId="35795"/>
    <cellStyle name="Normal 5 4 2 6 2 2" xfId="35796"/>
    <cellStyle name="Normal 5 4 2 6 3" xfId="35797"/>
    <cellStyle name="Normal 5 4 2 6 3 2" xfId="35798"/>
    <cellStyle name="Normal 5 4 2 6 4" xfId="35799"/>
    <cellStyle name="Normal 5 4 2 6 4 2" xfId="35800"/>
    <cellStyle name="Normal 5 4 2 6 5" xfId="35801"/>
    <cellStyle name="Normal 5 4 2 6 5 2" xfId="35802"/>
    <cellStyle name="Normal 5 4 2 6 6" xfId="35803"/>
    <cellStyle name="Normal 5 4 2 6 7" xfId="35804"/>
    <cellStyle name="Normal 5 4 2 6 8" xfId="35805"/>
    <cellStyle name="Normal 5 4 2 6 9" xfId="35806"/>
    <cellStyle name="Normal 5 4 2 7" xfId="35807"/>
    <cellStyle name="Normal 5 4 2 7 2" xfId="35808"/>
    <cellStyle name="Normal 5 4 2 7 2 2" xfId="35809"/>
    <cellStyle name="Normal 5 4 2 7 3" xfId="35810"/>
    <cellStyle name="Normal 5 4 2 7 4" xfId="35811"/>
    <cellStyle name="Normal 5 4 2 7 5" xfId="35812"/>
    <cellStyle name="Normal 5 4 2 8" xfId="35813"/>
    <cellStyle name="Normal 5 4 2 8 2" xfId="35814"/>
    <cellStyle name="Normal 5 4 2 9" xfId="35815"/>
    <cellStyle name="Normal 5 4 2 9 2" xfId="35816"/>
    <cellStyle name="Normal 5 4 20" xfId="35817"/>
    <cellStyle name="Normal 5 4 21" xfId="35818"/>
    <cellStyle name="Normal 5 4 22" xfId="35819"/>
    <cellStyle name="Normal 5 4 23" xfId="35820"/>
    <cellStyle name="Normal 5 4 24" xfId="35821"/>
    <cellStyle name="Normal 5 4 25" xfId="35822"/>
    <cellStyle name="Normal 5 4 3" xfId="35823"/>
    <cellStyle name="Normal 5 4 3 10" xfId="35824"/>
    <cellStyle name="Normal 5 4 3 11" xfId="35825"/>
    <cellStyle name="Normal 5 4 3 12" xfId="35826"/>
    <cellStyle name="Normal 5 4 3 13" xfId="35827"/>
    <cellStyle name="Normal 5 4 3 14" xfId="35828"/>
    <cellStyle name="Normal 5 4 3 15" xfId="35829"/>
    <cellStyle name="Normal 5 4 3 16" xfId="35830"/>
    <cellStyle name="Normal 5 4 3 17" xfId="35831"/>
    <cellStyle name="Normal 5 4 3 18" xfId="35832"/>
    <cellStyle name="Normal 5 4 3 2" xfId="35833"/>
    <cellStyle name="Normal 5 4 3 2 10" xfId="35834"/>
    <cellStyle name="Normal 5 4 3 2 11" xfId="35835"/>
    <cellStyle name="Normal 5 4 3 2 12" xfId="35836"/>
    <cellStyle name="Normal 5 4 3 2 13" xfId="35837"/>
    <cellStyle name="Normal 5 4 3 2 2" xfId="35838"/>
    <cellStyle name="Normal 5 4 3 2 2 2" xfId="35839"/>
    <cellStyle name="Normal 5 4 3 2 2 2 2" xfId="35840"/>
    <cellStyle name="Normal 5 4 3 2 2 3" xfId="35841"/>
    <cellStyle name="Normal 5 4 3 2 2 4" xfId="35842"/>
    <cellStyle name="Normal 5 4 3 2 2 5" xfId="35843"/>
    <cellStyle name="Normal 5 4 3 2 3" xfId="35844"/>
    <cellStyle name="Normal 5 4 3 2 3 2" xfId="35845"/>
    <cellStyle name="Normal 5 4 3 2 4" xfId="35846"/>
    <cellStyle name="Normal 5 4 3 2 4 2" xfId="35847"/>
    <cellStyle name="Normal 5 4 3 2 5" xfId="35848"/>
    <cellStyle name="Normal 5 4 3 2 5 2" xfId="35849"/>
    <cellStyle name="Normal 5 4 3 2 6" xfId="35850"/>
    <cellStyle name="Normal 5 4 3 2 6 2" xfId="35851"/>
    <cellStyle name="Normal 5 4 3 2 7" xfId="35852"/>
    <cellStyle name="Normal 5 4 3 2 8" xfId="35853"/>
    <cellStyle name="Normal 5 4 3 2 9" xfId="35854"/>
    <cellStyle name="Normal 5 4 3 3" xfId="35855"/>
    <cellStyle name="Normal 5 4 3 3 2" xfId="35856"/>
    <cellStyle name="Normal 5 4 3 3 2 2" xfId="35857"/>
    <cellStyle name="Normal 5 4 3 3 3" xfId="35858"/>
    <cellStyle name="Normal 5 4 3 3 4" xfId="35859"/>
    <cellStyle name="Normal 5 4 3 3 5" xfId="35860"/>
    <cellStyle name="Normal 5 4 3 4" xfId="35861"/>
    <cellStyle name="Normal 5 4 3 4 2" xfId="35862"/>
    <cellStyle name="Normal 5 4 3 5" xfId="35863"/>
    <cellStyle name="Normal 5 4 3 5 2" xfId="35864"/>
    <cellStyle name="Normal 5 4 3 6" xfId="35865"/>
    <cellStyle name="Normal 5 4 3 6 2" xfId="35866"/>
    <cellStyle name="Normal 5 4 3 7" xfId="35867"/>
    <cellStyle name="Normal 5 4 3 7 2" xfId="35868"/>
    <cellStyle name="Normal 5 4 3 8" xfId="35869"/>
    <cellStyle name="Normal 5 4 3 9" xfId="35870"/>
    <cellStyle name="Normal 5 4 4" xfId="35871"/>
    <cellStyle name="Normal 5 4 4 10" xfId="35872"/>
    <cellStyle name="Normal 5 4 4 11" xfId="35873"/>
    <cellStyle name="Normal 5 4 4 12" xfId="35874"/>
    <cellStyle name="Normal 5 4 4 13" xfId="35875"/>
    <cellStyle name="Normal 5 4 4 14" xfId="35876"/>
    <cellStyle name="Normal 5 4 4 15" xfId="35877"/>
    <cellStyle name="Normal 5 4 4 16" xfId="35878"/>
    <cellStyle name="Normal 5 4 4 17" xfId="35879"/>
    <cellStyle name="Normal 5 4 4 18" xfId="35880"/>
    <cellStyle name="Normal 5 4 4 2" xfId="35881"/>
    <cellStyle name="Normal 5 4 4 2 10" xfId="35882"/>
    <cellStyle name="Normal 5 4 4 2 11" xfId="35883"/>
    <cellStyle name="Normal 5 4 4 2 12" xfId="35884"/>
    <cellStyle name="Normal 5 4 4 2 13" xfId="35885"/>
    <cellStyle name="Normal 5 4 4 2 2" xfId="35886"/>
    <cellStyle name="Normal 5 4 4 2 2 2" xfId="35887"/>
    <cellStyle name="Normal 5 4 4 2 2 2 2" xfId="35888"/>
    <cellStyle name="Normal 5 4 4 2 2 3" xfId="35889"/>
    <cellStyle name="Normal 5 4 4 2 2 4" xfId="35890"/>
    <cellStyle name="Normal 5 4 4 2 2 5" xfId="35891"/>
    <cellStyle name="Normal 5 4 4 2 3" xfId="35892"/>
    <cellStyle name="Normal 5 4 4 2 3 2" xfId="35893"/>
    <cellStyle name="Normal 5 4 4 2 4" xfId="35894"/>
    <cellStyle name="Normal 5 4 4 2 4 2" xfId="35895"/>
    <cellStyle name="Normal 5 4 4 2 5" xfId="35896"/>
    <cellStyle name="Normal 5 4 4 2 5 2" xfId="35897"/>
    <cellStyle name="Normal 5 4 4 2 6" xfId="35898"/>
    <cellStyle name="Normal 5 4 4 2 6 2" xfId="35899"/>
    <cellStyle name="Normal 5 4 4 2 7" xfId="35900"/>
    <cellStyle name="Normal 5 4 4 2 8" xfId="35901"/>
    <cellStyle name="Normal 5 4 4 2 9" xfId="35902"/>
    <cellStyle name="Normal 5 4 4 3" xfId="35903"/>
    <cellStyle name="Normal 5 4 4 3 2" xfId="35904"/>
    <cellStyle name="Normal 5 4 4 3 2 2" xfId="35905"/>
    <cellStyle name="Normal 5 4 4 3 3" xfId="35906"/>
    <cellStyle name="Normal 5 4 4 3 4" xfId="35907"/>
    <cellStyle name="Normal 5 4 4 3 5" xfId="35908"/>
    <cellStyle name="Normal 5 4 4 4" xfId="35909"/>
    <cellStyle name="Normal 5 4 4 4 2" xfId="35910"/>
    <cellStyle name="Normal 5 4 4 5" xfId="35911"/>
    <cellStyle name="Normal 5 4 4 5 2" xfId="35912"/>
    <cellStyle name="Normal 5 4 4 6" xfId="35913"/>
    <cellStyle name="Normal 5 4 4 6 2" xfId="35914"/>
    <cellStyle name="Normal 5 4 4 7" xfId="35915"/>
    <cellStyle name="Normal 5 4 4 7 2" xfId="35916"/>
    <cellStyle name="Normal 5 4 4 8" xfId="35917"/>
    <cellStyle name="Normal 5 4 4 9" xfId="35918"/>
    <cellStyle name="Normal 5 4 5" xfId="35919"/>
    <cellStyle name="Normal 5 4 5 10" xfId="35920"/>
    <cellStyle name="Normal 5 4 5 11" xfId="35921"/>
    <cellStyle name="Normal 5 4 5 12" xfId="35922"/>
    <cellStyle name="Normal 5 4 5 13" xfId="35923"/>
    <cellStyle name="Normal 5 4 5 14" xfId="35924"/>
    <cellStyle name="Normal 5 4 5 15" xfId="35925"/>
    <cellStyle name="Normal 5 4 5 16" xfId="35926"/>
    <cellStyle name="Normal 5 4 5 17" xfId="35927"/>
    <cellStyle name="Normal 5 4 5 18" xfId="35928"/>
    <cellStyle name="Normal 5 4 5 2" xfId="35929"/>
    <cellStyle name="Normal 5 4 5 2 10" xfId="35930"/>
    <cellStyle name="Normal 5 4 5 2 11" xfId="35931"/>
    <cellStyle name="Normal 5 4 5 2 12" xfId="35932"/>
    <cellStyle name="Normal 5 4 5 2 13" xfId="35933"/>
    <cellStyle name="Normal 5 4 5 2 2" xfId="35934"/>
    <cellStyle name="Normal 5 4 5 2 2 2" xfId="35935"/>
    <cellStyle name="Normal 5 4 5 2 2 2 2" xfId="35936"/>
    <cellStyle name="Normal 5 4 5 2 2 3" xfId="35937"/>
    <cellStyle name="Normal 5 4 5 2 2 4" xfId="35938"/>
    <cellStyle name="Normal 5 4 5 2 2 5" xfId="35939"/>
    <cellStyle name="Normal 5 4 5 2 3" xfId="35940"/>
    <cellStyle name="Normal 5 4 5 2 3 2" xfId="35941"/>
    <cellStyle name="Normal 5 4 5 2 4" xfId="35942"/>
    <cellStyle name="Normal 5 4 5 2 4 2" xfId="35943"/>
    <cellStyle name="Normal 5 4 5 2 5" xfId="35944"/>
    <cellStyle name="Normal 5 4 5 2 5 2" xfId="35945"/>
    <cellStyle name="Normal 5 4 5 2 6" xfId="35946"/>
    <cellStyle name="Normal 5 4 5 2 6 2" xfId="35947"/>
    <cellStyle name="Normal 5 4 5 2 7" xfId="35948"/>
    <cellStyle name="Normal 5 4 5 2 8" xfId="35949"/>
    <cellStyle name="Normal 5 4 5 2 9" xfId="35950"/>
    <cellStyle name="Normal 5 4 5 3" xfId="35951"/>
    <cellStyle name="Normal 5 4 5 3 2" xfId="35952"/>
    <cellStyle name="Normal 5 4 5 3 2 2" xfId="35953"/>
    <cellStyle name="Normal 5 4 5 3 3" xfId="35954"/>
    <cellStyle name="Normal 5 4 5 3 4" xfId="35955"/>
    <cellStyle name="Normal 5 4 5 3 5" xfId="35956"/>
    <cellStyle name="Normal 5 4 5 4" xfId="35957"/>
    <cellStyle name="Normal 5 4 5 4 2" xfId="35958"/>
    <cellStyle name="Normal 5 4 5 5" xfId="35959"/>
    <cellStyle name="Normal 5 4 5 5 2" xfId="35960"/>
    <cellStyle name="Normal 5 4 5 6" xfId="35961"/>
    <cellStyle name="Normal 5 4 5 6 2" xfId="35962"/>
    <cellStyle name="Normal 5 4 5 7" xfId="35963"/>
    <cellStyle name="Normal 5 4 5 7 2" xfId="35964"/>
    <cellStyle name="Normal 5 4 5 8" xfId="35965"/>
    <cellStyle name="Normal 5 4 5 9" xfId="35966"/>
    <cellStyle name="Normal 5 4 6" xfId="35967"/>
    <cellStyle name="Normal 5 4 6 10" xfId="35968"/>
    <cellStyle name="Normal 5 4 6 11" xfId="35969"/>
    <cellStyle name="Normal 5 4 6 12" xfId="35970"/>
    <cellStyle name="Normal 5 4 6 13" xfId="35971"/>
    <cellStyle name="Normal 5 4 6 14" xfId="35972"/>
    <cellStyle name="Normal 5 4 6 15" xfId="35973"/>
    <cellStyle name="Normal 5 4 6 16" xfId="35974"/>
    <cellStyle name="Normal 5 4 6 17" xfId="35975"/>
    <cellStyle name="Normal 5 4 6 18" xfId="35976"/>
    <cellStyle name="Normal 5 4 6 2" xfId="35977"/>
    <cellStyle name="Normal 5 4 6 2 10" xfId="35978"/>
    <cellStyle name="Normal 5 4 6 2 11" xfId="35979"/>
    <cellStyle name="Normal 5 4 6 2 12" xfId="35980"/>
    <cellStyle name="Normal 5 4 6 2 13" xfId="35981"/>
    <cellStyle name="Normal 5 4 6 2 2" xfId="35982"/>
    <cellStyle name="Normal 5 4 6 2 2 2" xfId="35983"/>
    <cellStyle name="Normal 5 4 6 2 2 2 2" xfId="35984"/>
    <cellStyle name="Normal 5 4 6 2 2 3" xfId="35985"/>
    <cellStyle name="Normal 5 4 6 2 2 4" xfId="35986"/>
    <cellStyle name="Normal 5 4 6 2 2 5" xfId="35987"/>
    <cellStyle name="Normal 5 4 6 2 3" xfId="35988"/>
    <cellStyle name="Normal 5 4 6 2 3 2" xfId="35989"/>
    <cellStyle name="Normal 5 4 6 2 4" xfId="35990"/>
    <cellStyle name="Normal 5 4 6 2 4 2" xfId="35991"/>
    <cellStyle name="Normal 5 4 6 2 5" xfId="35992"/>
    <cellStyle name="Normal 5 4 6 2 5 2" xfId="35993"/>
    <cellStyle name="Normal 5 4 6 2 6" xfId="35994"/>
    <cellStyle name="Normal 5 4 6 2 6 2" xfId="35995"/>
    <cellStyle name="Normal 5 4 6 2 7" xfId="35996"/>
    <cellStyle name="Normal 5 4 6 2 8" xfId="35997"/>
    <cellStyle name="Normal 5 4 6 2 9" xfId="35998"/>
    <cellStyle name="Normal 5 4 6 3" xfId="35999"/>
    <cellStyle name="Normal 5 4 6 3 2" xfId="36000"/>
    <cellStyle name="Normal 5 4 6 3 2 2" xfId="36001"/>
    <cellStyle name="Normal 5 4 6 3 3" xfId="36002"/>
    <cellStyle name="Normal 5 4 6 3 4" xfId="36003"/>
    <cellStyle name="Normal 5 4 6 3 5" xfId="36004"/>
    <cellStyle name="Normal 5 4 6 4" xfId="36005"/>
    <cellStyle name="Normal 5 4 6 4 2" xfId="36006"/>
    <cellStyle name="Normal 5 4 6 5" xfId="36007"/>
    <cellStyle name="Normal 5 4 6 5 2" xfId="36008"/>
    <cellStyle name="Normal 5 4 6 6" xfId="36009"/>
    <cellStyle name="Normal 5 4 6 6 2" xfId="36010"/>
    <cellStyle name="Normal 5 4 6 7" xfId="36011"/>
    <cellStyle name="Normal 5 4 6 7 2" xfId="36012"/>
    <cellStyle name="Normal 5 4 6 8" xfId="36013"/>
    <cellStyle name="Normal 5 4 6 9" xfId="36014"/>
    <cellStyle name="Normal 5 4 7" xfId="36015"/>
    <cellStyle name="Normal 5 4 7 10" xfId="36016"/>
    <cellStyle name="Normal 5 4 7 11" xfId="36017"/>
    <cellStyle name="Normal 5 4 7 12" xfId="36018"/>
    <cellStyle name="Normal 5 4 7 13" xfId="36019"/>
    <cellStyle name="Normal 5 4 7 14" xfId="36020"/>
    <cellStyle name="Normal 5 4 7 15" xfId="36021"/>
    <cellStyle name="Normal 5 4 7 16" xfId="36022"/>
    <cellStyle name="Normal 5 4 7 17" xfId="36023"/>
    <cellStyle name="Normal 5 4 7 18" xfId="36024"/>
    <cellStyle name="Normal 5 4 7 2" xfId="36025"/>
    <cellStyle name="Normal 5 4 7 2 10" xfId="36026"/>
    <cellStyle name="Normal 5 4 7 2 11" xfId="36027"/>
    <cellStyle name="Normal 5 4 7 2 12" xfId="36028"/>
    <cellStyle name="Normal 5 4 7 2 13" xfId="36029"/>
    <cellStyle name="Normal 5 4 7 2 2" xfId="36030"/>
    <cellStyle name="Normal 5 4 7 2 2 2" xfId="36031"/>
    <cellStyle name="Normal 5 4 7 2 2 2 2" xfId="36032"/>
    <cellStyle name="Normal 5 4 7 2 2 3" xfId="36033"/>
    <cellStyle name="Normal 5 4 7 2 2 4" xfId="36034"/>
    <cellStyle name="Normal 5 4 7 2 2 5" xfId="36035"/>
    <cellStyle name="Normal 5 4 7 2 3" xfId="36036"/>
    <cellStyle name="Normal 5 4 7 2 3 2" xfId="36037"/>
    <cellStyle name="Normal 5 4 7 2 4" xfId="36038"/>
    <cellStyle name="Normal 5 4 7 2 4 2" xfId="36039"/>
    <cellStyle name="Normal 5 4 7 2 5" xfId="36040"/>
    <cellStyle name="Normal 5 4 7 2 5 2" xfId="36041"/>
    <cellStyle name="Normal 5 4 7 2 6" xfId="36042"/>
    <cellStyle name="Normal 5 4 7 2 6 2" xfId="36043"/>
    <cellStyle name="Normal 5 4 7 2 7" xfId="36044"/>
    <cellStyle name="Normal 5 4 7 2 8" xfId="36045"/>
    <cellStyle name="Normal 5 4 7 2 9" xfId="36046"/>
    <cellStyle name="Normal 5 4 7 3" xfId="36047"/>
    <cellStyle name="Normal 5 4 7 3 2" xfId="36048"/>
    <cellStyle name="Normal 5 4 7 3 2 2" xfId="36049"/>
    <cellStyle name="Normal 5 4 7 3 3" xfId="36050"/>
    <cellStyle name="Normal 5 4 7 3 4" xfId="36051"/>
    <cellStyle name="Normal 5 4 7 3 5" xfId="36052"/>
    <cellStyle name="Normal 5 4 7 4" xfId="36053"/>
    <cellStyle name="Normal 5 4 7 4 2" xfId="36054"/>
    <cellStyle name="Normal 5 4 7 5" xfId="36055"/>
    <cellStyle name="Normal 5 4 7 5 2" xfId="36056"/>
    <cellStyle name="Normal 5 4 7 6" xfId="36057"/>
    <cellStyle name="Normal 5 4 7 6 2" xfId="36058"/>
    <cellStyle name="Normal 5 4 7 7" xfId="36059"/>
    <cellStyle name="Normal 5 4 7 7 2" xfId="36060"/>
    <cellStyle name="Normal 5 4 7 8" xfId="36061"/>
    <cellStyle name="Normal 5 4 7 9" xfId="36062"/>
    <cellStyle name="Normal 5 4 8" xfId="36063"/>
    <cellStyle name="Normal 5 4 8 10" xfId="36064"/>
    <cellStyle name="Normal 5 4 8 11" xfId="36065"/>
    <cellStyle name="Normal 5 4 8 12" xfId="36066"/>
    <cellStyle name="Normal 5 4 8 13" xfId="36067"/>
    <cellStyle name="Normal 5 4 8 14" xfId="36068"/>
    <cellStyle name="Normal 5 4 8 15" xfId="36069"/>
    <cellStyle name="Normal 5 4 8 16" xfId="36070"/>
    <cellStyle name="Normal 5 4 8 2" xfId="36071"/>
    <cellStyle name="Normal 5 4 8 2 2" xfId="36072"/>
    <cellStyle name="Normal 5 4 8 2 2 2" xfId="36073"/>
    <cellStyle name="Normal 5 4 8 2 3" xfId="36074"/>
    <cellStyle name="Normal 5 4 8 2 3 2" xfId="36075"/>
    <cellStyle name="Normal 5 4 8 2 4" xfId="36076"/>
    <cellStyle name="Normal 5 4 8 2 4 2" xfId="36077"/>
    <cellStyle name="Normal 5 4 8 2 5" xfId="36078"/>
    <cellStyle name="Normal 5 4 8 2 5 2" xfId="36079"/>
    <cellStyle name="Normal 5 4 8 2 6" xfId="36080"/>
    <cellStyle name="Normal 5 4 8 2 7" xfId="36081"/>
    <cellStyle name="Normal 5 4 8 2 8" xfId="36082"/>
    <cellStyle name="Normal 5 4 8 2 9" xfId="36083"/>
    <cellStyle name="Normal 5 4 8 3" xfId="36084"/>
    <cellStyle name="Normal 5 4 8 3 2" xfId="36085"/>
    <cellStyle name="Normal 5 4 8 3 2 2" xfId="36086"/>
    <cellStyle name="Normal 5 4 8 3 3" xfId="36087"/>
    <cellStyle name="Normal 5 4 8 3 4" xfId="36088"/>
    <cellStyle name="Normal 5 4 8 3 5" xfId="36089"/>
    <cellStyle name="Normal 5 4 8 4" xfId="36090"/>
    <cellStyle name="Normal 5 4 8 4 2" xfId="36091"/>
    <cellStyle name="Normal 5 4 8 5" xfId="36092"/>
    <cellStyle name="Normal 5 4 8 5 2" xfId="36093"/>
    <cellStyle name="Normal 5 4 8 6" xfId="36094"/>
    <cellStyle name="Normal 5 4 8 6 2" xfId="36095"/>
    <cellStyle name="Normal 5 4 8 7" xfId="36096"/>
    <cellStyle name="Normal 5 4 8 7 2" xfId="36097"/>
    <cellStyle name="Normal 5 4 8 8" xfId="36098"/>
    <cellStyle name="Normal 5 4 8 9" xfId="36099"/>
    <cellStyle name="Normal 5 4 9" xfId="36100"/>
    <cellStyle name="Normal 5 4 9 10" xfId="36101"/>
    <cellStyle name="Normal 5 4 9 11" xfId="36102"/>
    <cellStyle name="Normal 5 4 9 12" xfId="36103"/>
    <cellStyle name="Normal 5 4 9 13" xfId="36104"/>
    <cellStyle name="Normal 5 4 9 14" xfId="36105"/>
    <cellStyle name="Normal 5 4 9 15" xfId="36106"/>
    <cellStyle name="Normal 5 4 9 2" xfId="36107"/>
    <cellStyle name="Normal 5 4 9 2 2" xfId="36108"/>
    <cellStyle name="Normal 5 4 9 2 2 2" xfId="36109"/>
    <cellStyle name="Normal 5 4 9 2 3" xfId="36110"/>
    <cellStyle name="Normal 5 4 9 2 3 2" xfId="36111"/>
    <cellStyle name="Normal 5 4 9 2 4" xfId="36112"/>
    <cellStyle name="Normal 5 4 9 2 4 2" xfId="36113"/>
    <cellStyle name="Normal 5 4 9 2 5" xfId="36114"/>
    <cellStyle name="Normal 5 4 9 2 5 2" xfId="36115"/>
    <cellStyle name="Normal 5 4 9 2 6" xfId="36116"/>
    <cellStyle name="Normal 5 4 9 2 7" xfId="36117"/>
    <cellStyle name="Normal 5 4 9 2 8" xfId="36118"/>
    <cellStyle name="Normal 5 4 9 2 9" xfId="36119"/>
    <cellStyle name="Normal 5 4 9 3" xfId="36120"/>
    <cellStyle name="Normal 5 4 9 3 2" xfId="36121"/>
    <cellStyle name="Normal 5 4 9 3 2 2" xfId="36122"/>
    <cellStyle name="Normal 5 4 9 3 3" xfId="36123"/>
    <cellStyle name="Normal 5 4 9 3 4" xfId="36124"/>
    <cellStyle name="Normal 5 4 9 3 5" xfId="36125"/>
    <cellStyle name="Normal 5 4 9 4" xfId="36126"/>
    <cellStyle name="Normal 5 4 9 4 2" xfId="36127"/>
    <cellStyle name="Normal 5 4 9 5" xfId="36128"/>
    <cellStyle name="Normal 5 4 9 5 2" xfId="36129"/>
    <cellStyle name="Normal 5 4 9 6" xfId="36130"/>
    <cellStyle name="Normal 5 4 9 6 2" xfId="36131"/>
    <cellStyle name="Normal 5 4 9 7" xfId="36132"/>
    <cellStyle name="Normal 5 4 9 7 2" xfId="36133"/>
    <cellStyle name="Normal 5 4 9 8" xfId="36134"/>
    <cellStyle name="Normal 5 4 9 9" xfId="36135"/>
    <cellStyle name="Normal 5 5" xfId="33570"/>
    <cellStyle name="Normal 5 5 10" xfId="36136"/>
    <cellStyle name="Normal 5 5 10 10" xfId="36137"/>
    <cellStyle name="Normal 5 5 10 11" xfId="36138"/>
    <cellStyle name="Normal 5 5 10 12" xfId="36139"/>
    <cellStyle name="Normal 5 5 10 13" xfId="36140"/>
    <cellStyle name="Normal 5 5 10 14" xfId="36141"/>
    <cellStyle name="Normal 5 5 10 2" xfId="36142"/>
    <cellStyle name="Normal 5 5 10 2 2" xfId="36143"/>
    <cellStyle name="Normal 5 5 10 2 2 2" xfId="36144"/>
    <cellStyle name="Normal 5 5 10 2 3" xfId="36145"/>
    <cellStyle name="Normal 5 5 10 2 3 2" xfId="36146"/>
    <cellStyle name="Normal 5 5 10 2 4" xfId="36147"/>
    <cellStyle name="Normal 5 5 10 2 4 2" xfId="36148"/>
    <cellStyle name="Normal 5 5 10 2 5" xfId="36149"/>
    <cellStyle name="Normal 5 5 10 2 5 2" xfId="36150"/>
    <cellStyle name="Normal 5 5 10 2 6" xfId="36151"/>
    <cellStyle name="Normal 5 5 10 2 7" xfId="36152"/>
    <cellStyle name="Normal 5 5 10 2 8" xfId="36153"/>
    <cellStyle name="Normal 5 5 10 2 9" xfId="36154"/>
    <cellStyle name="Normal 5 5 10 3" xfId="36155"/>
    <cellStyle name="Normal 5 5 10 3 2" xfId="36156"/>
    <cellStyle name="Normal 5 5 10 3 2 2" xfId="36157"/>
    <cellStyle name="Normal 5 5 10 3 3" xfId="36158"/>
    <cellStyle name="Normal 5 5 10 3 4" xfId="36159"/>
    <cellStyle name="Normal 5 5 10 3 5" xfId="36160"/>
    <cellStyle name="Normal 5 5 10 4" xfId="36161"/>
    <cellStyle name="Normal 5 5 10 4 2" xfId="36162"/>
    <cellStyle name="Normal 5 5 10 5" xfId="36163"/>
    <cellStyle name="Normal 5 5 10 5 2" xfId="36164"/>
    <cellStyle name="Normal 5 5 10 6" xfId="36165"/>
    <cellStyle name="Normal 5 5 10 6 2" xfId="36166"/>
    <cellStyle name="Normal 5 5 10 7" xfId="36167"/>
    <cellStyle name="Normal 5 5 10 7 2" xfId="36168"/>
    <cellStyle name="Normal 5 5 10 8" xfId="36169"/>
    <cellStyle name="Normal 5 5 10 9" xfId="36170"/>
    <cellStyle name="Normal 5 5 11" xfId="36171"/>
    <cellStyle name="Normal 5 5 11 2" xfId="36172"/>
    <cellStyle name="Normal 5 5 11 2 2" xfId="36173"/>
    <cellStyle name="Normal 5 5 11 3" xfId="36174"/>
    <cellStyle name="Normal 5 5 11 3 2" xfId="36175"/>
    <cellStyle name="Normal 5 5 11 4" xfId="36176"/>
    <cellStyle name="Normal 5 5 11 4 2" xfId="36177"/>
    <cellStyle name="Normal 5 5 11 5" xfId="36178"/>
    <cellStyle name="Normal 5 5 11 5 2" xfId="36179"/>
    <cellStyle name="Normal 5 5 11 6" xfId="36180"/>
    <cellStyle name="Normal 5 5 11 7" xfId="36181"/>
    <cellStyle name="Normal 5 5 11 8" xfId="36182"/>
    <cellStyle name="Normal 5 5 11 9" xfId="36183"/>
    <cellStyle name="Normal 5 5 12" xfId="36184"/>
    <cellStyle name="Normal 5 5 12 2" xfId="36185"/>
    <cellStyle name="Normal 5 5 12 2 2" xfId="36186"/>
    <cellStyle name="Normal 5 5 12 3" xfId="36187"/>
    <cellStyle name="Normal 5 5 12 4" xfId="36188"/>
    <cellStyle name="Normal 5 5 12 5" xfId="36189"/>
    <cellStyle name="Normal 5 5 13" xfId="36190"/>
    <cellStyle name="Normal 5 5 13 2" xfId="36191"/>
    <cellStyle name="Normal 5 5 14" xfId="36192"/>
    <cellStyle name="Normal 5 5 14 2" xfId="36193"/>
    <cellStyle name="Normal 5 5 15" xfId="36194"/>
    <cellStyle name="Normal 5 5 15 2" xfId="36195"/>
    <cellStyle name="Normal 5 5 16" xfId="36196"/>
    <cellStyle name="Normal 5 5 16 2" xfId="36197"/>
    <cellStyle name="Normal 5 5 17" xfId="36198"/>
    <cellStyle name="Normal 5 5 18" xfId="36199"/>
    <cellStyle name="Normal 5 5 19" xfId="36200"/>
    <cellStyle name="Normal 5 5 2" xfId="36201"/>
    <cellStyle name="Normal 5 5 2 10" xfId="36202"/>
    <cellStyle name="Normal 5 5 2 10 2" xfId="36203"/>
    <cellStyle name="Normal 5 5 2 11" xfId="36204"/>
    <cellStyle name="Normal 5 5 2 11 2" xfId="36205"/>
    <cellStyle name="Normal 5 5 2 12" xfId="36206"/>
    <cellStyle name="Normal 5 5 2 13" xfId="36207"/>
    <cellStyle name="Normal 5 5 2 14" xfId="36208"/>
    <cellStyle name="Normal 5 5 2 15" xfId="36209"/>
    <cellStyle name="Normal 5 5 2 16" xfId="36210"/>
    <cellStyle name="Normal 5 5 2 17" xfId="36211"/>
    <cellStyle name="Normal 5 5 2 18" xfId="36212"/>
    <cellStyle name="Normal 5 5 2 19" xfId="36213"/>
    <cellStyle name="Normal 5 5 2 2" xfId="36214"/>
    <cellStyle name="Normal 5 5 2 2 10" xfId="36215"/>
    <cellStyle name="Normal 5 5 2 2 11" xfId="36216"/>
    <cellStyle name="Normal 5 5 2 2 12" xfId="36217"/>
    <cellStyle name="Normal 5 5 2 2 13" xfId="36218"/>
    <cellStyle name="Normal 5 5 2 2 14" xfId="36219"/>
    <cellStyle name="Normal 5 5 2 2 15" xfId="36220"/>
    <cellStyle name="Normal 5 5 2 2 16" xfId="36221"/>
    <cellStyle name="Normal 5 5 2 2 2" xfId="36222"/>
    <cellStyle name="Normal 5 5 2 2 2 2" xfId="36223"/>
    <cellStyle name="Normal 5 5 2 2 2 2 2" xfId="36224"/>
    <cellStyle name="Normal 5 5 2 2 2 3" xfId="36225"/>
    <cellStyle name="Normal 5 5 2 2 2 3 2" xfId="36226"/>
    <cellStyle name="Normal 5 5 2 2 2 4" xfId="36227"/>
    <cellStyle name="Normal 5 5 2 2 2 4 2" xfId="36228"/>
    <cellStyle name="Normal 5 5 2 2 2 5" xfId="36229"/>
    <cellStyle name="Normal 5 5 2 2 2 5 2" xfId="36230"/>
    <cellStyle name="Normal 5 5 2 2 2 6" xfId="36231"/>
    <cellStyle name="Normal 5 5 2 2 2 7" xfId="36232"/>
    <cellStyle name="Normal 5 5 2 2 2 8" xfId="36233"/>
    <cellStyle name="Normal 5 5 2 2 2 9" xfId="36234"/>
    <cellStyle name="Normal 5 5 2 2 3" xfId="36235"/>
    <cellStyle name="Normal 5 5 2 2 3 2" xfId="36236"/>
    <cellStyle name="Normal 5 5 2 2 3 2 2" xfId="36237"/>
    <cellStyle name="Normal 5 5 2 2 3 3" xfId="36238"/>
    <cellStyle name="Normal 5 5 2 2 3 4" xfId="36239"/>
    <cellStyle name="Normal 5 5 2 2 3 5" xfId="36240"/>
    <cellStyle name="Normal 5 5 2 2 4" xfId="36241"/>
    <cellStyle name="Normal 5 5 2 2 4 2" xfId="36242"/>
    <cellStyle name="Normal 5 5 2 2 5" xfId="36243"/>
    <cellStyle name="Normal 5 5 2 2 5 2" xfId="36244"/>
    <cellStyle name="Normal 5 5 2 2 6" xfId="36245"/>
    <cellStyle name="Normal 5 5 2 2 6 2" xfId="36246"/>
    <cellStyle name="Normal 5 5 2 2 7" xfId="36247"/>
    <cellStyle name="Normal 5 5 2 2 7 2" xfId="36248"/>
    <cellStyle name="Normal 5 5 2 2 8" xfId="36249"/>
    <cellStyle name="Normal 5 5 2 2 9" xfId="36250"/>
    <cellStyle name="Normal 5 5 2 20" xfId="36251"/>
    <cellStyle name="Normal 5 5 2 3" xfId="36252"/>
    <cellStyle name="Normal 5 5 2 3 10" xfId="36253"/>
    <cellStyle name="Normal 5 5 2 3 11" xfId="36254"/>
    <cellStyle name="Normal 5 5 2 3 12" xfId="36255"/>
    <cellStyle name="Normal 5 5 2 3 13" xfId="36256"/>
    <cellStyle name="Normal 5 5 2 3 14" xfId="36257"/>
    <cellStyle name="Normal 5 5 2 3 15" xfId="36258"/>
    <cellStyle name="Normal 5 5 2 3 16" xfId="36259"/>
    <cellStyle name="Normal 5 5 2 3 2" xfId="36260"/>
    <cellStyle name="Normal 5 5 2 3 2 2" xfId="36261"/>
    <cellStyle name="Normal 5 5 2 3 2 2 2" xfId="36262"/>
    <cellStyle name="Normal 5 5 2 3 2 3" xfId="36263"/>
    <cellStyle name="Normal 5 5 2 3 2 3 2" xfId="36264"/>
    <cellStyle name="Normal 5 5 2 3 2 4" xfId="36265"/>
    <cellStyle name="Normal 5 5 2 3 2 4 2" xfId="36266"/>
    <cellStyle name="Normal 5 5 2 3 2 5" xfId="36267"/>
    <cellStyle name="Normal 5 5 2 3 2 5 2" xfId="36268"/>
    <cellStyle name="Normal 5 5 2 3 2 6" xfId="36269"/>
    <cellStyle name="Normal 5 5 2 3 2 7" xfId="36270"/>
    <cellStyle name="Normal 5 5 2 3 2 8" xfId="36271"/>
    <cellStyle name="Normal 5 5 2 3 2 9" xfId="36272"/>
    <cellStyle name="Normal 5 5 2 3 3" xfId="36273"/>
    <cellStyle name="Normal 5 5 2 3 3 2" xfId="36274"/>
    <cellStyle name="Normal 5 5 2 3 3 2 2" xfId="36275"/>
    <cellStyle name="Normal 5 5 2 3 3 3" xfId="36276"/>
    <cellStyle name="Normal 5 5 2 3 3 4" xfId="36277"/>
    <cellStyle name="Normal 5 5 2 3 3 5" xfId="36278"/>
    <cellStyle name="Normal 5 5 2 3 4" xfId="36279"/>
    <cellStyle name="Normal 5 5 2 3 4 2" xfId="36280"/>
    <cellStyle name="Normal 5 5 2 3 5" xfId="36281"/>
    <cellStyle name="Normal 5 5 2 3 5 2" xfId="36282"/>
    <cellStyle name="Normal 5 5 2 3 6" xfId="36283"/>
    <cellStyle name="Normal 5 5 2 3 6 2" xfId="36284"/>
    <cellStyle name="Normal 5 5 2 3 7" xfId="36285"/>
    <cellStyle name="Normal 5 5 2 3 7 2" xfId="36286"/>
    <cellStyle name="Normal 5 5 2 3 8" xfId="36287"/>
    <cellStyle name="Normal 5 5 2 3 9" xfId="36288"/>
    <cellStyle name="Normal 5 5 2 4" xfId="36289"/>
    <cellStyle name="Normal 5 5 2 4 10" xfId="36290"/>
    <cellStyle name="Normal 5 5 2 4 11" xfId="36291"/>
    <cellStyle name="Normal 5 5 2 4 12" xfId="36292"/>
    <cellStyle name="Normal 5 5 2 4 13" xfId="36293"/>
    <cellStyle name="Normal 5 5 2 4 14" xfId="36294"/>
    <cellStyle name="Normal 5 5 2 4 15" xfId="36295"/>
    <cellStyle name="Normal 5 5 2 4 2" xfId="36296"/>
    <cellStyle name="Normal 5 5 2 4 2 2" xfId="36297"/>
    <cellStyle name="Normal 5 5 2 4 2 2 2" xfId="36298"/>
    <cellStyle name="Normal 5 5 2 4 2 3" xfId="36299"/>
    <cellStyle name="Normal 5 5 2 4 2 3 2" xfId="36300"/>
    <cellStyle name="Normal 5 5 2 4 2 4" xfId="36301"/>
    <cellStyle name="Normal 5 5 2 4 2 4 2" xfId="36302"/>
    <cellStyle name="Normal 5 5 2 4 2 5" xfId="36303"/>
    <cellStyle name="Normal 5 5 2 4 2 5 2" xfId="36304"/>
    <cellStyle name="Normal 5 5 2 4 2 6" xfId="36305"/>
    <cellStyle name="Normal 5 5 2 4 2 7" xfId="36306"/>
    <cellStyle name="Normal 5 5 2 4 2 8" xfId="36307"/>
    <cellStyle name="Normal 5 5 2 4 2 9" xfId="36308"/>
    <cellStyle name="Normal 5 5 2 4 3" xfId="36309"/>
    <cellStyle name="Normal 5 5 2 4 3 2" xfId="36310"/>
    <cellStyle name="Normal 5 5 2 4 3 2 2" xfId="36311"/>
    <cellStyle name="Normal 5 5 2 4 3 3" xfId="36312"/>
    <cellStyle name="Normal 5 5 2 4 3 4" xfId="36313"/>
    <cellStyle name="Normal 5 5 2 4 3 5" xfId="36314"/>
    <cellStyle name="Normal 5 5 2 4 4" xfId="36315"/>
    <cellStyle name="Normal 5 5 2 4 4 2" xfId="36316"/>
    <cellStyle name="Normal 5 5 2 4 5" xfId="36317"/>
    <cellStyle name="Normal 5 5 2 4 5 2" xfId="36318"/>
    <cellStyle name="Normal 5 5 2 4 6" xfId="36319"/>
    <cellStyle name="Normal 5 5 2 4 6 2" xfId="36320"/>
    <cellStyle name="Normal 5 5 2 4 7" xfId="36321"/>
    <cellStyle name="Normal 5 5 2 4 7 2" xfId="36322"/>
    <cellStyle name="Normal 5 5 2 4 8" xfId="36323"/>
    <cellStyle name="Normal 5 5 2 4 9" xfId="36324"/>
    <cellStyle name="Normal 5 5 2 5" xfId="36325"/>
    <cellStyle name="Normal 5 5 2 5 10" xfId="36326"/>
    <cellStyle name="Normal 5 5 2 5 11" xfId="36327"/>
    <cellStyle name="Normal 5 5 2 5 12" xfId="36328"/>
    <cellStyle name="Normal 5 5 2 5 13" xfId="36329"/>
    <cellStyle name="Normal 5 5 2 5 14" xfId="36330"/>
    <cellStyle name="Normal 5 5 2 5 2" xfId="36331"/>
    <cellStyle name="Normal 5 5 2 5 2 2" xfId="36332"/>
    <cellStyle name="Normal 5 5 2 5 2 2 2" xfId="36333"/>
    <cellStyle name="Normal 5 5 2 5 2 3" xfId="36334"/>
    <cellStyle name="Normal 5 5 2 5 2 3 2" xfId="36335"/>
    <cellStyle name="Normal 5 5 2 5 2 4" xfId="36336"/>
    <cellStyle name="Normal 5 5 2 5 2 4 2" xfId="36337"/>
    <cellStyle name="Normal 5 5 2 5 2 5" xfId="36338"/>
    <cellStyle name="Normal 5 5 2 5 2 5 2" xfId="36339"/>
    <cellStyle name="Normal 5 5 2 5 2 6" xfId="36340"/>
    <cellStyle name="Normal 5 5 2 5 2 7" xfId="36341"/>
    <cellStyle name="Normal 5 5 2 5 2 8" xfId="36342"/>
    <cellStyle name="Normal 5 5 2 5 2 9" xfId="36343"/>
    <cellStyle name="Normal 5 5 2 5 3" xfId="36344"/>
    <cellStyle name="Normal 5 5 2 5 3 2" xfId="36345"/>
    <cellStyle name="Normal 5 5 2 5 3 2 2" xfId="36346"/>
    <cellStyle name="Normal 5 5 2 5 3 3" xfId="36347"/>
    <cellStyle name="Normal 5 5 2 5 3 4" xfId="36348"/>
    <cellStyle name="Normal 5 5 2 5 3 5" xfId="36349"/>
    <cellStyle name="Normal 5 5 2 5 4" xfId="36350"/>
    <cellStyle name="Normal 5 5 2 5 4 2" xfId="36351"/>
    <cellStyle name="Normal 5 5 2 5 5" xfId="36352"/>
    <cellStyle name="Normal 5 5 2 5 5 2" xfId="36353"/>
    <cellStyle name="Normal 5 5 2 5 6" xfId="36354"/>
    <cellStyle name="Normal 5 5 2 5 6 2" xfId="36355"/>
    <cellStyle name="Normal 5 5 2 5 7" xfId="36356"/>
    <cellStyle name="Normal 5 5 2 5 7 2" xfId="36357"/>
    <cellStyle name="Normal 5 5 2 5 8" xfId="36358"/>
    <cellStyle name="Normal 5 5 2 5 9" xfId="36359"/>
    <cellStyle name="Normal 5 5 2 6" xfId="36360"/>
    <cellStyle name="Normal 5 5 2 6 2" xfId="36361"/>
    <cellStyle name="Normal 5 5 2 6 2 2" xfId="36362"/>
    <cellStyle name="Normal 5 5 2 6 3" xfId="36363"/>
    <cellStyle name="Normal 5 5 2 6 3 2" xfId="36364"/>
    <cellStyle name="Normal 5 5 2 6 4" xfId="36365"/>
    <cellStyle name="Normal 5 5 2 6 4 2" xfId="36366"/>
    <cellStyle name="Normal 5 5 2 6 5" xfId="36367"/>
    <cellStyle name="Normal 5 5 2 6 5 2" xfId="36368"/>
    <cellStyle name="Normal 5 5 2 6 6" xfId="36369"/>
    <cellStyle name="Normal 5 5 2 6 7" xfId="36370"/>
    <cellStyle name="Normal 5 5 2 6 8" xfId="36371"/>
    <cellStyle name="Normal 5 5 2 6 9" xfId="36372"/>
    <cellStyle name="Normal 5 5 2 7" xfId="36373"/>
    <cellStyle name="Normal 5 5 2 7 2" xfId="36374"/>
    <cellStyle name="Normal 5 5 2 7 2 2" xfId="36375"/>
    <cellStyle name="Normal 5 5 2 7 3" xfId="36376"/>
    <cellStyle name="Normal 5 5 2 7 4" xfId="36377"/>
    <cellStyle name="Normal 5 5 2 7 5" xfId="36378"/>
    <cellStyle name="Normal 5 5 2 8" xfId="36379"/>
    <cellStyle name="Normal 5 5 2 8 2" xfId="36380"/>
    <cellStyle name="Normal 5 5 2 9" xfId="36381"/>
    <cellStyle name="Normal 5 5 2 9 2" xfId="36382"/>
    <cellStyle name="Normal 5 5 20" xfId="36383"/>
    <cellStyle name="Normal 5 5 21" xfId="36384"/>
    <cellStyle name="Normal 5 5 22" xfId="36385"/>
    <cellStyle name="Normal 5 5 23" xfId="36386"/>
    <cellStyle name="Normal 5 5 24" xfId="36387"/>
    <cellStyle name="Normal 5 5 25" xfId="36388"/>
    <cellStyle name="Normal 5 5 3" xfId="36389"/>
    <cellStyle name="Normal 5 5 3 10" xfId="36390"/>
    <cellStyle name="Normal 5 5 3 11" xfId="36391"/>
    <cellStyle name="Normal 5 5 3 12" xfId="36392"/>
    <cellStyle name="Normal 5 5 3 13" xfId="36393"/>
    <cellStyle name="Normal 5 5 3 14" xfId="36394"/>
    <cellStyle name="Normal 5 5 3 15" xfId="36395"/>
    <cellStyle name="Normal 5 5 3 16" xfId="36396"/>
    <cellStyle name="Normal 5 5 3 17" xfId="36397"/>
    <cellStyle name="Normal 5 5 3 18" xfId="36398"/>
    <cellStyle name="Normal 5 5 3 2" xfId="36399"/>
    <cellStyle name="Normal 5 5 3 2 10" xfId="36400"/>
    <cellStyle name="Normal 5 5 3 2 11" xfId="36401"/>
    <cellStyle name="Normal 5 5 3 2 12" xfId="36402"/>
    <cellStyle name="Normal 5 5 3 2 13" xfId="36403"/>
    <cellStyle name="Normal 5 5 3 2 2" xfId="36404"/>
    <cellStyle name="Normal 5 5 3 2 2 2" xfId="36405"/>
    <cellStyle name="Normal 5 5 3 2 2 2 2" xfId="36406"/>
    <cellStyle name="Normal 5 5 3 2 2 3" xfId="36407"/>
    <cellStyle name="Normal 5 5 3 2 2 4" xfId="36408"/>
    <cellStyle name="Normal 5 5 3 2 2 5" xfId="36409"/>
    <cellStyle name="Normal 5 5 3 2 3" xfId="36410"/>
    <cellStyle name="Normal 5 5 3 2 3 2" xfId="36411"/>
    <cellStyle name="Normal 5 5 3 2 4" xfId="36412"/>
    <cellStyle name="Normal 5 5 3 2 4 2" xfId="36413"/>
    <cellStyle name="Normal 5 5 3 2 5" xfId="36414"/>
    <cellStyle name="Normal 5 5 3 2 5 2" xfId="36415"/>
    <cellStyle name="Normal 5 5 3 2 6" xfId="36416"/>
    <cellStyle name="Normal 5 5 3 2 6 2" xfId="36417"/>
    <cellStyle name="Normal 5 5 3 2 7" xfId="36418"/>
    <cellStyle name="Normal 5 5 3 2 8" xfId="36419"/>
    <cellStyle name="Normal 5 5 3 2 9" xfId="36420"/>
    <cellStyle name="Normal 5 5 3 3" xfId="36421"/>
    <cellStyle name="Normal 5 5 3 3 2" xfId="36422"/>
    <cellStyle name="Normal 5 5 3 3 2 2" xfId="36423"/>
    <cellStyle name="Normal 5 5 3 3 3" xfId="36424"/>
    <cellStyle name="Normal 5 5 3 3 4" xfId="36425"/>
    <cellStyle name="Normal 5 5 3 3 5" xfId="36426"/>
    <cellStyle name="Normal 5 5 3 4" xfId="36427"/>
    <cellStyle name="Normal 5 5 3 4 2" xfId="36428"/>
    <cellStyle name="Normal 5 5 3 5" xfId="36429"/>
    <cellStyle name="Normal 5 5 3 5 2" xfId="36430"/>
    <cellStyle name="Normal 5 5 3 6" xfId="36431"/>
    <cellStyle name="Normal 5 5 3 6 2" xfId="36432"/>
    <cellStyle name="Normal 5 5 3 7" xfId="36433"/>
    <cellStyle name="Normal 5 5 3 7 2" xfId="36434"/>
    <cellStyle name="Normal 5 5 3 8" xfId="36435"/>
    <cellStyle name="Normal 5 5 3 9" xfId="36436"/>
    <cellStyle name="Normal 5 5 4" xfId="36437"/>
    <cellStyle name="Normal 5 5 4 10" xfId="36438"/>
    <cellStyle name="Normal 5 5 4 11" xfId="36439"/>
    <cellStyle name="Normal 5 5 4 12" xfId="36440"/>
    <cellStyle name="Normal 5 5 4 13" xfId="36441"/>
    <cellStyle name="Normal 5 5 4 14" xfId="36442"/>
    <cellStyle name="Normal 5 5 4 15" xfId="36443"/>
    <cellStyle name="Normal 5 5 4 16" xfId="36444"/>
    <cellStyle name="Normal 5 5 4 17" xfId="36445"/>
    <cellStyle name="Normal 5 5 4 18" xfId="36446"/>
    <cellStyle name="Normal 5 5 4 2" xfId="36447"/>
    <cellStyle name="Normal 5 5 4 2 10" xfId="36448"/>
    <cellStyle name="Normal 5 5 4 2 11" xfId="36449"/>
    <cellStyle name="Normal 5 5 4 2 12" xfId="36450"/>
    <cellStyle name="Normal 5 5 4 2 13" xfId="36451"/>
    <cellStyle name="Normal 5 5 4 2 2" xfId="36452"/>
    <cellStyle name="Normal 5 5 4 2 2 2" xfId="36453"/>
    <cellStyle name="Normal 5 5 4 2 2 2 2" xfId="36454"/>
    <cellStyle name="Normal 5 5 4 2 2 3" xfId="36455"/>
    <cellStyle name="Normal 5 5 4 2 2 4" xfId="36456"/>
    <cellStyle name="Normal 5 5 4 2 2 5" xfId="36457"/>
    <cellStyle name="Normal 5 5 4 2 3" xfId="36458"/>
    <cellStyle name="Normal 5 5 4 2 3 2" xfId="36459"/>
    <cellStyle name="Normal 5 5 4 2 4" xfId="36460"/>
    <cellStyle name="Normal 5 5 4 2 4 2" xfId="36461"/>
    <cellStyle name="Normal 5 5 4 2 5" xfId="36462"/>
    <cellStyle name="Normal 5 5 4 2 5 2" xfId="36463"/>
    <cellStyle name="Normal 5 5 4 2 6" xfId="36464"/>
    <cellStyle name="Normal 5 5 4 2 6 2" xfId="36465"/>
    <cellStyle name="Normal 5 5 4 2 7" xfId="36466"/>
    <cellStyle name="Normal 5 5 4 2 8" xfId="36467"/>
    <cellStyle name="Normal 5 5 4 2 9" xfId="36468"/>
    <cellStyle name="Normal 5 5 4 3" xfId="36469"/>
    <cellStyle name="Normal 5 5 4 3 2" xfId="36470"/>
    <cellStyle name="Normal 5 5 4 3 2 2" xfId="36471"/>
    <cellStyle name="Normal 5 5 4 3 3" xfId="36472"/>
    <cellStyle name="Normal 5 5 4 3 4" xfId="36473"/>
    <cellStyle name="Normal 5 5 4 3 5" xfId="36474"/>
    <cellStyle name="Normal 5 5 4 4" xfId="36475"/>
    <cellStyle name="Normal 5 5 4 4 2" xfId="36476"/>
    <cellStyle name="Normal 5 5 4 5" xfId="36477"/>
    <cellStyle name="Normal 5 5 4 5 2" xfId="36478"/>
    <cellStyle name="Normal 5 5 4 6" xfId="36479"/>
    <cellStyle name="Normal 5 5 4 6 2" xfId="36480"/>
    <cellStyle name="Normal 5 5 4 7" xfId="36481"/>
    <cellStyle name="Normal 5 5 4 7 2" xfId="36482"/>
    <cellStyle name="Normal 5 5 4 8" xfId="36483"/>
    <cellStyle name="Normal 5 5 4 9" xfId="36484"/>
    <cellStyle name="Normal 5 5 5" xfId="36485"/>
    <cellStyle name="Normal 5 5 5 10" xfId="36486"/>
    <cellStyle name="Normal 5 5 5 11" xfId="36487"/>
    <cellStyle name="Normal 5 5 5 12" xfId="36488"/>
    <cellStyle name="Normal 5 5 5 13" xfId="36489"/>
    <cellStyle name="Normal 5 5 5 14" xfId="36490"/>
    <cellStyle name="Normal 5 5 5 15" xfId="36491"/>
    <cellStyle name="Normal 5 5 5 16" xfId="36492"/>
    <cellStyle name="Normal 5 5 5 17" xfId="36493"/>
    <cellStyle name="Normal 5 5 5 18" xfId="36494"/>
    <cellStyle name="Normal 5 5 5 2" xfId="36495"/>
    <cellStyle name="Normal 5 5 5 2 10" xfId="36496"/>
    <cellStyle name="Normal 5 5 5 2 11" xfId="36497"/>
    <cellStyle name="Normal 5 5 5 2 12" xfId="36498"/>
    <cellStyle name="Normal 5 5 5 2 13" xfId="36499"/>
    <cellStyle name="Normal 5 5 5 2 2" xfId="36500"/>
    <cellStyle name="Normal 5 5 5 2 2 2" xfId="36501"/>
    <cellStyle name="Normal 5 5 5 2 2 2 2" xfId="36502"/>
    <cellStyle name="Normal 5 5 5 2 2 3" xfId="36503"/>
    <cellStyle name="Normal 5 5 5 2 2 4" xfId="36504"/>
    <cellStyle name="Normal 5 5 5 2 2 5" xfId="36505"/>
    <cellStyle name="Normal 5 5 5 2 3" xfId="36506"/>
    <cellStyle name="Normal 5 5 5 2 3 2" xfId="36507"/>
    <cellStyle name="Normal 5 5 5 2 4" xfId="36508"/>
    <cellStyle name="Normal 5 5 5 2 4 2" xfId="36509"/>
    <cellStyle name="Normal 5 5 5 2 5" xfId="36510"/>
    <cellStyle name="Normal 5 5 5 2 5 2" xfId="36511"/>
    <cellStyle name="Normal 5 5 5 2 6" xfId="36512"/>
    <cellStyle name="Normal 5 5 5 2 6 2" xfId="36513"/>
    <cellStyle name="Normal 5 5 5 2 7" xfId="36514"/>
    <cellStyle name="Normal 5 5 5 2 8" xfId="36515"/>
    <cellStyle name="Normal 5 5 5 2 9" xfId="36516"/>
    <cellStyle name="Normal 5 5 5 3" xfId="36517"/>
    <cellStyle name="Normal 5 5 5 3 2" xfId="36518"/>
    <cellStyle name="Normal 5 5 5 3 2 2" xfId="36519"/>
    <cellStyle name="Normal 5 5 5 3 3" xfId="36520"/>
    <cellStyle name="Normal 5 5 5 3 4" xfId="36521"/>
    <cellStyle name="Normal 5 5 5 3 5" xfId="36522"/>
    <cellStyle name="Normal 5 5 5 4" xfId="36523"/>
    <cellStyle name="Normal 5 5 5 4 2" xfId="36524"/>
    <cellStyle name="Normal 5 5 5 5" xfId="36525"/>
    <cellStyle name="Normal 5 5 5 5 2" xfId="36526"/>
    <cellStyle name="Normal 5 5 5 6" xfId="36527"/>
    <cellStyle name="Normal 5 5 5 6 2" xfId="36528"/>
    <cellStyle name="Normal 5 5 5 7" xfId="36529"/>
    <cellStyle name="Normal 5 5 5 7 2" xfId="36530"/>
    <cellStyle name="Normal 5 5 5 8" xfId="36531"/>
    <cellStyle name="Normal 5 5 5 9" xfId="36532"/>
    <cellStyle name="Normal 5 5 6" xfId="36533"/>
    <cellStyle name="Normal 5 5 6 10" xfId="36534"/>
    <cellStyle name="Normal 5 5 6 11" xfId="36535"/>
    <cellStyle name="Normal 5 5 6 12" xfId="36536"/>
    <cellStyle name="Normal 5 5 6 13" xfId="36537"/>
    <cellStyle name="Normal 5 5 6 14" xfId="36538"/>
    <cellStyle name="Normal 5 5 6 15" xfId="36539"/>
    <cellStyle name="Normal 5 5 6 16" xfId="36540"/>
    <cellStyle name="Normal 5 5 6 17" xfId="36541"/>
    <cellStyle name="Normal 5 5 6 18" xfId="36542"/>
    <cellStyle name="Normal 5 5 6 2" xfId="36543"/>
    <cellStyle name="Normal 5 5 6 2 10" xfId="36544"/>
    <cellStyle name="Normal 5 5 6 2 11" xfId="36545"/>
    <cellStyle name="Normal 5 5 6 2 12" xfId="36546"/>
    <cellStyle name="Normal 5 5 6 2 13" xfId="36547"/>
    <cellStyle name="Normal 5 5 6 2 2" xfId="36548"/>
    <cellStyle name="Normal 5 5 6 2 2 2" xfId="36549"/>
    <cellStyle name="Normal 5 5 6 2 2 2 2" xfId="36550"/>
    <cellStyle name="Normal 5 5 6 2 2 3" xfId="36551"/>
    <cellStyle name="Normal 5 5 6 2 2 4" xfId="36552"/>
    <cellStyle name="Normal 5 5 6 2 2 5" xfId="36553"/>
    <cellStyle name="Normal 5 5 6 2 3" xfId="36554"/>
    <cellStyle name="Normal 5 5 6 2 3 2" xfId="36555"/>
    <cellStyle name="Normal 5 5 6 2 4" xfId="36556"/>
    <cellStyle name="Normal 5 5 6 2 4 2" xfId="36557"/>
    <cellStyle name="Normal 5 5 6 2 5" xfId="36558"/>
    <cellStyle name="Normal 5 5 6 2 5 2" xfId="36559"/>
    <cellStyle name="Normal 5 5 6 2 6" xfId="36560"/>
    <cellStyle name="Normal 5 5 6 2 6 2" xfId="36561"/>
    <cellStyle name="Normal 5 5 6 2 7" xfId="36562"/>
    <cellStyle name="Normal 5 5 6 2 8" xfId="36563"/>
    <cellStyle name="Normal 5 5 6 2 9" xfId="36564"/>
    <cellStyle name="Normal 5 5 6 3" xfId="36565"/>
    <cellStyle name="Normal 5 5 6 3 2" xfId="36566"/>
    <cellStyle name="Normal 5 5 6 3 2 2" xfId="36567"/>
    <cellStyle name="Normal 5 5 6 3 3" xfId="36568"/>
    <cellStyle name="Normal 5 5 6 3 4" xfId="36569"/>
    <cellStyle name="Normal 5 5 6 3 5" xfId="36570"/>
    <cellStyle name="Normal 5 5 6 4" xfId="36571"/>
    <cellStyle name="Normal 5 5 6 4 2" xfId="36572"/>
    <cellStyle name="Normal 5 5 6 5" xfId="36573"/>
    <cellStyle name="Normal 5 5 6 5 2" xfId="36574"/>
    <cellStyle name="Normal 5 5 6 6" xfId="36575"/>
    <cellStyle name="Normal 5 5 6 6 2" xfId="36576"/>
    <cellStyle name="Normal 5 5 6 7" xfId="36577"/>
    <cellStyle name="Normal 5 5 6 7 2" xfId="36578"/>
    <cellStyle name="Normal 5 5 6 8" xfId="36579"/>
    <cellStyle name="Normal 5 5 6 9" xfId="36580"/>
    <cellStyle name="Normal 5 5 7" xfId="36581"/>
    <cellStyle name="Normal 5 5 7 10" xfId="36582"/>
    <cellStyle name="Normal 5 5 7 11" xfId="36583"/>
    <cellStyle name="Normal 5 5 7 12" xfId="36584"/>
    <cellStyle name="Normal 5 5 7 13" xfId="36585"/>
    <cellStyle name="Normal 5 5 7 14" xfId="36586"/>
    <cellStyle name="Normal 5 5 7 15" xfId="36587"/>
    <cellStyle name="Normal 5 5 7 16" xfId="36588"/>
    <cellStyle name="Normal 5 5 7 17" xfId="36589"/>
    <cellStyle name="Normal 5 5 7 2" xfId="36590"/>
    <cellStyle name="Normal 5 5 7 2 10" xfId="36591"/>
    <cellStyle name="Normal 5 5 7 2 11" xfId="36592"/>
    <cellStyle name="Normal 5 5 7 2 12" xfId="36593"/>
    <cellStyle name="Normal 5 5 7 2 13" xfId="36594"/>
    <cellStyle name="Normal 5 5 7 2 2" xfId="36595"/>
    <cellStyle name="Normal 5 5 7 2 2 2" xfId="36596"/>
    <cellStyle name="Normal 5 5 7 2 2 2 2" xfId="36597"/>
    <cellStyle name="Normal 5 5 7 2 2 3" xfId="36598"/>
    <cellStyle name="Normal 5 5 7 2 2 4" xfId="36599"/>
    <cellStyle name="Normal 5 5 7 2 2 5" xfId="36600"/>
    <cellStyle name="Normal 5 5 7 2 3" xfId="36601"/>
    <cellStyle name="Normal 5 5 7 2 3 2" xfId="36602"/>
    <cellStyle name="Normal 5 5 7 2 4" xfId="36603"/>
    <cellStyle name="Normal 5 5 7 2 4 2" xfId="36604"/>
    <cellStyle name="Normal 5 5 7 2 5" xfId="36605"/>
    <cellStyle name="Normal 5 5 7 2 5 2" xfId="36606"/>
    <cellStyle name="Normal 5 5 7 2 6" xfId="36607"/>
    <cellStyle name="Normal 5 5 7 2 6 2" xfId="36608"/>
    <cellStyle name="Normal 5 5 7 2 7" xfId="36609"/>
    <cellStyle name="Normal 5 5 7 2 8" xfId="36610"/>
    <cellStyle name="Normal 5 5 7 2 9" xfId="36611"/>
    <cellStyle name="Normal 5 5 7 3" xfId="36612"/>
    <cellStyle name="Normal 5 5 7 3 2" xfId="36613"/>
    <cellStyle name="Normal 5 5 7 3 2 2" xfId="36614"/>
    <cellStyle name="Normal 5 5 7 3 3" xfId="36615"/>
    <cellStyle name="Normal 5 5 7 3 4" xfId="36616"/>
    <cellStyle name="Normal 5 5 7 3 5" xfId="36617"/>
    <cellStyle name="Normal 5 5 7 4" xfId="36618"/>
    <cellStyle name="Normal 5 5 7 4 2" xfId="36619"/>
    <cellStyle name="Normal 5 5 7 5" xfId="36620"/>
    <cellStyle name="Normal 5 5 7 5 2" xfId="36621"/>
    <cellStyle name="Normal 5 5 7 6" xfId="36622"/>
    <cellStyle name="Normal 5 5 7 6 2" xfId="36623"/>
    <cellStyle name="Normal 5 5 7 7" xfId="36624"/>
    <cellStyle name="Normal 5 5 7 7 2" xfId="36625"/>
    <cellStyle name="Normal 5 5 7 8" xfId="36626"/>
    <cellStyle name="Normal 5 5 7 9" xfId="36627"/>
    <cellStyle name="Normal 5 5 8" xfId="36628"/>
    <cellStyle name="Normal 5 5 8 10" xfId="36629"/>
    <cellStyle name="Normal 5 5 8 11" xfId="36630"/>
    <cellStyle name="Normal 5 5 8 12" xfId="36631"/>
    <cellStyle name="Normal 5 5 8 13" xfId="36632"/>
    <cellStyle name="Normal 5 5 8 14" xfId="36633"/>
    <cellStyle name="Normal 5 5 8 15" xfId="36634"/>
    <cellStyle name="Normal 5 5 8 2" xfId="36635"/>
    <cellStyle name="Normal 5 5 8 2 2" xfId="36636"/>
    <cellStyle name="Normal 5 5 8 2 2 2" xfId="36637"/>
    <cellStyle name="Normal 5 5 8 2 3" xfId="36638"/>
    <cellStyle name="Normal 5 5 8 2 3 2" xfId="36639"/>
    <cellStyle name="Normal 5 5 8 2 4" xfId="36640"/>
    <cellStyle name="Normal 5 5 8 2 4 2" xfId="36641"/>
    <cellStyle name="Normal 5 5 8 2 5" xfId="36642"/>
    <cellStyle name="Normal 5 5 8 2 5 2" xfId="36643"/>
    <cellStyle name="Normal 5 5 8 2 6" xfId="36644"/>
    <cellStyle name="Normal 5 5 8 2 7" xfId="36645"/>
    <cellStyle name="Normal 5 5 8 2 8" xfId="36646"/>
    <cellStyle name="Normal 5 5 8 2 9" xfId="36647"/>
    <cellStyle name="Normal 5 5 8 3" xfId="36648"/>
    <cellStyle name="Normal 5 5 8 3 2" xfId="36649"/>
    <cellStyle name="Normal 5 5 8 3 2 2" xfId="36650"/>
    <cellStyle name="Normal 5 5 8 3 3" xfId="36651"/>
    <cellStyle name="Normal 5 5 8 3 4" xfId="36652"/>
    <cellStyle name="Normal 5 5 8 3 5" xfId="36653"/>
    <cellStyle name="Normal 5 5 8 4" xfId="36654"/>
    <cellStyle name="Normal 5 5 8 4 2" xfId="36655"/>
    <cellStyle name="Normal 5 5 8 5" xfId="36656"/>
    <cellStyle name="Normal 5 5 8 5 2" xfId="36657"/>
    <cellStyle name="Normal 5 5 8 6" xfId="36658"/>
    <cellStyle name="Normal 5 5 8 6 2" xfId="36659"/>
    <cellStyle name="Normal 5 5 8 7" xfId="36660"/>
    <cellStyle name="Normal 5 5 8 7 2" xfId="36661"/>
    <cellStyle name="Normal 5 5 8 8" xfId="36662"/>
    <cellStyle name="Normal 5 5 8 9" xfId="36663"/>
    <cellStyle name="Normal 5 5 9" xfId="36664"/>
    <cellStyle name="Normal 5 5 9 10" xfId="36665"/>
    <cellStyle name="Normal 5 5 9 11" xfId="36666"/>
    <cellStyle name="Normal 5 5 9 12" xfId="36667"/>
    <cellStyle name="Normal 5 5 9 13" xfId="36668"/>
    <cellStyle name="Normal 5 5 9 14" xfId="36669"/>
    <cellStyle name="Normal 5 5 9 15" xfId="36670"/>
    <cellStyle name="Normal 5 5 9 2" xfId="36671"/>
    <cellStyle name="Normal 5 5 9 2 2" xfId="36672"/>
    <cellStyle name="Normal 5 5 9 2 2 2" xfId="36673"/>
    <cellStyle name="Normal 5 5 9 2 3" xfId="36674"/>
    <cellStyle name="Normal 5 5 9 2 3 2" xfId="36675"/>
    <cellStyle name="Normal 5 5 9 2 4" xfId="36676"/>
    <cellStyle name="Normal 5 5 9 2 4 2" xfId="36677"/>
    <cellStyle name="Normal 5 5 9 2 5" xfId="36678"/>
    <cellStyle name="Normal 5 5 9 2 5 2" xfId="36679"/>
    <cellStyle name="Normal 5 5 9 2 6" xfId="36680"/>
    <cellStyle name="Normal 5 5 9 2 7" xfId="36681"/>
    <cellStyle name="Normal 5 5 9 2 8" xfId="36682"/>
    <cellStyle name="Normal 5 5 9 2 9" xfId="36683"/>
    <cellStyle name="Normal 5 5 9 3" xfId="36684"/>
    <cellStyle name="Normal 5 5 9 3 2" xfId="36685"/>
    <cellStyle name="Normal 5 5 9 3 2 2" xfId="36686"/>
    <cellStyle name="Normal 5 5 9 3 3" xfId="36687"/>
    <cellStyle name="Normal 5 5 9 3 4" xfId="36688"/>
    <cellStyle name="Normal 5 5 9 3 5" xfId="36689"/>
    <cellStyle name="Normal 5 5 9 4" xfId="36690"/>
    <cellStyle name="Normal 5 5 9 4 2" xfId="36691"/>
    <cellStyle name="Normal 5 5 9 5" xfId="36692"/>
    <cellStyle name="Normal 5 5 9 5 2" xfId="36693"/>
    <cellStyle name="Normal 5 5 9 6" xfId="36694"/>
    <cellStyle name="Normal 5 5 9 6 2" xfId="36695"/>
    <cellStyle name="Normal 5 5 9 7" xfId="36696"/>
    <cellStyle name="Normal 5 5 9 7 2" xfId="36697"/>
    <cellStyle name="Normal 5 5 9 8" xfId="36698"/>
    <cellStyle name="Normal 5 5 9 9" xfId="36699"/>
    <cellStyle name="Normal 5 6" xfId="36700"/>
    <cellStyle name="Normal 5 6 10" xfId="36701"/>
    <cellStyle name="Normal 5 6 10 10" xfId="36702"/>
    <cellStyle name="Normal 5 6 10 11" xfId="36703"/>
    <cellStyle name="Normal 5 6 10 12" xfId="36704"/>
    <cellStyle name="Normal 5 6 10 13" xfId="36705"/>
    <cellStyle name="Normal 5 6 10 14" xfId="36706"/>
    <cellStyle name="Normal 5 6 10 2" xfId="36707"/>
    <cellStyle name="Normal 5 6 10 2 2" xfId="36708"/>
    <cellStyle name="Normal 5 6 10 2 2 2" xfId="36709"/>
    <cellStyle name="Normal 5 6 10 2 3" xfId="36710"/>
    <cellStyle name="Normal 5 6 10 2 3 2" xfId="36711"/>
    <cellStyle name="Normal 5 6 10 2 4" xfId="36712"/>
    <cellStyle name="Normal 5 6 10 2 4 2" xfId="36713"/>
    <cellStyle name="Normal 5 6 10 2 5" xfId="36714"/>
    <cellStyle name="Normal 5 6 10 2 5 2" xfId="36715"/>
    <cellStyle name="Normal 5 6 10 2 6" xfId="36716"/>
    <cellStyle name="Normal 5 6 10 2 7" xfId="36717"/>
    <cellStyle name="Normal 5 6 10 2 8" xfId="36718"/>
    <cellStyle name="Normal 5 6 10 2 9" xfId="36719"/>
    <cellStyle name="Normal 5 6 10 3" xfId="36720"/>
    <cellStyle name="Normal 5 6 10 3 2" xfId="36721"/>
    <cellStyle name="Normal 5 6 10 3 2 2" xfId="36722"/>
    <cellStyle name="Normal 5 6 10 3 3" xfId="36723"/>
    <cellStyle name="Normal 5 6 10 3 4" xfId="36724"/>
    <cellStyle name="Normal 5 6 10 3 5" xfId="36725"/>
    <cellStyle name="Normal 5 6 10 4" xfId="36726"/>
    <cellStyle name="Normal 5 6 10 4 2" xfId="36727"/>
    <cellStyle name="Normal 5 6 10 5" xfId="36728"/>
    <cellStyle name="Normal 5 6 10 5 2" xfId="36729"/>
    <cellStyle name="Normal 5 6 10 6" xfId="36730"/>
    <cellStyle name="Normal 5 6 10 6 2" xfId="36731"/>
    <cellStyle name="Normal 5 6 10 7" xfId="36732"/>
    <cellStyle name="Normal 5 6 10 7 2" xfId="36733"/>
    <cellStyle name="Normal 5 6 10 8" xfId="36734"/>
    <cellStyle name="Normal 5 6 10 9" xfId="36735"/>
    <cellStyle name="Normal 5 6 11" xfId="36736"/>
    <cellStyle name="Normal 5 6 11 2" xfId="36737"/>
    <cellStyle name="Normal 5 6 11 2 2" xfId="36738"/>
    <cellStyle name="Normal 5 6 11 3" xfId="36739"/>
    <cellStyle name="Normal 5 6 11 3 2" xfId="36740"/>
    <cellStyle name="Normal 5 6 11 4" xfId="36741"/>
    <cellStyle name="Normal 5 6 11 4 2" xfId="36742"/>
    <cellStyle name="Normal 5 6 11 5" xfId="36743"/>
    <cellStyle name="Normal 5 6 11 5 2" xfId="36744"/>
    <cellStyle name="Normal 5 6 11 6" xfId="36745"/>
    <cellStyle name="Normal 5 6 11 7" xfId="36746"/>
    <cellStyle name="Normal 5 6 11 8" xfId="36747"/>
    <cellStyle name="Normal 5 6 11 9" xfId="36748"/>
    <cellStyle name="Normal 5 6 12" xfId="36749"/>
    <cellStyle name="Normal 5 6 12 2" xfId="36750"/>
    <cellStyle name="Normal 5 6 12 2 2" xfId="36751"/>
    <cellStyle name="Normal 5 6 12 3" xfId="36752"/>
    <cellStyle name="Normal 5 6 12 4" xfId="36753"/>
    <cellStyle name="Normal 5 6 12 5" xfId="36754"/>
    <cellStyle name="Normal 5 6 13" xfId="36755"/>
    <cellStyle name="Normal 5 6 13 2" xfId="36756"/>
    <cellStyle name="Normal 5 6 14" xfId="36757"/>
    <cellStyle name="Normal 5 6 14 2" xfId="36758"/>
    <cellStyle name="Normal 5 6 15" xfId="36759"/>
    <cellStyle name="Normal 5 6 15 2" xfId="36760"/>
    <cellStyle name="Normal 5 6 16" xfId="36761"/>
    <cellStyle name="Normal 5 6 16 2" xfId="36762"/>
    <cellStyle name="Normal 5 6 17" xfId="36763"/>
    <cellStyle name="Normal 5 6 18" xfId="36764"/>
    <cellStyle name="Normal 5 6 19" xfId="36765"/>
    <cellStyle name="Normal 5 6 2" xfId="36766"/>
    <cellStyle name="Normal 5 6 2 10" xfId="36767"/>
    <cellStyle name="Normal 5 6 2 11" xfId="36768"/>
    <cellStyle name="Normal 5 6 2 12" xfId="36769"/>
    <cellStyle name="Normal 5 6 2 13" xfId="36770"/>
    <cellStyle name="Normal 5 6 2 14" xfId="36771"/>
    <cellStyle name="Normal 5 6 2 15" xfId="36772"/>
    <cellStyle name="Normal 5 6 2 16" xfId="36773"/>
    <cellStyle name="Normal 5 6 2 17" xfId="36774"/>
    <cellStyle name="Normal 5 6 2 18" xfId="36775"/>
    <cellStyle name="Normal 5 6 2 2" xfId="36776"/>
    <cellStyle name="Normal 5 6 2 2 10" xfId="36777"/>
    <cellStyle name="Normal 5 6 2 2 11" xfId="36778"/>
    <cellStyle name="Normal 5 6 2 2 12" xfId="36779"/>
    <cellStyle name="Normal 5 6 2 2 13" xfId="36780"/>
    <cellStyle name="Normal 5 6 2 2 2" xfId="36781"/>
    <cellStyle name="Normal 5 6 2 2 2 2" xfId="36782"/>
    <cellStyle name="Normal 5 6 2 2 2 2 2" xfId="36783"/>
    <cellStyle name="Normal 5 6 2 2 2 3" xfId="36784"/>
    <cellStyle name="Normal 5 6 2 2 2 4" xfId="36785"/>
    <cellStyle name="Normal 5 6 2 2 2 5" xfId="36786"/>
    <cellStyle name="Normal 5 6 2 2 3" xfId="36787"/>
    <cellStyle name="Normal 5 6 2 2 3 2" xfId="36788"/>
    <cellStyle name="Normal 5 6 2 2 4" xfId="36789"/>
    <cellStyle name="Normal 5 6 2 2 4 2" xfId="36790"/>
    <cellStyle name="Normal 5 6 2 2 5" xfId="36791"/>
    <cellStyle name="Normal 5 6 2 2 5 2" xfId="36792"/>
    <cellStyle name="Normal 5 6 2 2 6" xfId="36793"/>
    <cellStyle name="Normal 5 6 2 2 6 2" xfId="36794"/>
    <cellStyle name="Normal 5 6 2 2 7" xfId="36795"/>
    <cellStyle name="Normal 5 6 2 2 8" xfId="36796"/>
    <cellStyle name="Normal 5 6 2 2 9" xfId="36797"/>
    <cellStyle name="Normal 5 6 2 3" xfId="36798"/>
    <cellStyle name="Normal 5 6 2 3 2" xfId="36799"/>
    <cellStyle name="Normal 5 6 2 3 2 2" xfId="36800"/>
    <cellStyle name="Normal 5 6 2 3 3" xfId="36801"/>
    <cellStyle name="Normal 5 6 2 3 4" xfId="36802"/>
    <cellStyle name="Normal 5 6 2 3 5" xfId="36803"/>
    <cellStyle name="Normal 5 6 2 4" xfId="36804"/>
    <cellStyle name="Normal 5 6 2 4 2" xfId="36805"/>
    <cellStyle name="Normal 5 6 2 5" xfId="36806"/>
    <cellStyle name="Normal 5 6 2 5 2" xfId="36807"/>
    <cellStyle name="Normal 5 6 2 6" xfId="36808"/>
    <cellStyle name="Normal 5 6 2 6 2" xfId="36809"/>
    <cellStyle name="Normal 5 6 2 7" xfId="36810"/>
    <cellStyle name="Normal 5 6 2 7 2" xfId="36811"/>
    <cellStyle name="Normal 5 6 2 8" xfId="36812"/>
    <cellStyle name="Normal 5 6 2 9" xfId="36813"/>
    <cellStyle name="Normal 5 6 20" xfId="36814"/>
    <cellStyle name="Normal 5 6 21" xfId="36815"/>
    <cellStyle name="Normal 5 6 22" xfId="36816"/>
    <cellStyle name="Normal 5 6 23" xfId="36817"/>
    <cellStyle name="Normal 5 6 24" xfId="36818"/>
    <cellStyle name="Normal 5 6 25" xfId="36819"/>
    <cellStyle name="Normal 5 6 3" xfId="36820"/>
    <cellStyle name="Normal 5 6 3 10" xfId="36821"/>
    <cellStyle name="Normal 5 6 3 11" xfId="36822"/>
    <cellStyle name="Normal 5 6 3 12" xfId="36823"/>
    <cellStyle name="Normal 5 6 3 13" xfId="36824"/>
    <cellStyle name="Normal 5 6 3 14" xfId="36825"/>
    <cellStyle name="Normal 5 6 3 15" xfId="36826"/>
    <cellStyle name="Normal 5 6 3 16" xfId="36827"/>
    <cellStyle name="Normal 5 6 3 17" xfId="36828"/>
    <cellStyle name="Normal 5 6 3 18" xfId="36829"/>
    <cellStyle name="Normal 5 6 3 2" xfId="36830"/>
    <cellStyle name="Normal 5 6 3 2 10" xfId="36831"/>
    <cellStyle name="Normal 5 6 3 2 11" xfId="36832"/>
    <cellStyle name="Normal 5 6 3 2 12" xfId="36833"/>
    <cellStyle name="Normal 5 6 3 2 13" xfId="36834"/>
    <cellStyle name="Normal 5 6 3 2 2" xfId="36835"/>
    <cellStyle name="Normal 5 6 3 2 2 2" xfId="36836"/>
    <cellStyle name="Normal 5 6 3 2 2 2 2" xfId="36837"/>
    <cellStyle name="Normal 5 6 3 2 2 3" xfId="36838"/>
    <cellStyle name="Normal 5 6 3 2 2 4" xfId="36839"/>
    <cellStyle name="Normal 5 6 3 2 2 5" xfId="36840"/>
    <cellStyle name="Normal 5 6 3 2 3" xfId="36841"/>
    <cellStyle name="Normal 5 6 3 2 3 2" xfId="36842"/>
    <cellStyle name="Normal 5 6 3 2 4" xfId="36843"/>
    <cellStyle name="Normal 5 6 3 2 4 2" xfId="36844"/>
    <cellStyle name="Normal 5 6 3 2 5" xfId="36845"/>
    <cellStyle name="Normal 5 6 3 2 5 2" xfId="36846"/>
    <cellStyle name="Normal 5 6 3 2 6" xfId="36847"/>
    <cellStyle name="Normal 5 6 3 2 6 2" xfId="36848"/>
    <cellStyle name="Normal 5 6 3 2 7" xfId="36849"/>
    <cellStyle name="Normal 5 6 3 2 8" xfId="36850"/>
    <cellStyle name="Normal 5 6 3 2 9" xfId="36851"/>
    <cellStyle name="Normal 5 6 3 3" xfId="36852"/>
    <cellStyle name="Normal 5 6 3 3 2" xfId="36853"/>
    <cellStyle name="Normal 5 6 3 3 2 2" xfId="36854"/>
    <cellStyle name="Normal 5 6 3 3 3" xfId="36855"/>
    <cellStyle name="Normal 5 6 3 3 4" xfId="36856"/>
    <cellStyle name="Normal 5 6 3 3 5" xfId="36857"/>
    <cellStyle name="Normal 5 6 3 4" xfId="36858"/>
    <cellStyle name="Normal 5 6 3 4 2" xfId="36859"/>
    <cellStyle name="Normal 5 6 3 5" xfId="36860"/>
    <cellStyle name="Normal 5 6 3 5 2" xfId="36861"/>
    <cellStyle name="Normal 5 6 3 6" xfId="36862"/>
    <cellStyle name="Normal 5 6 3 6 2" xfId="36863"/>
    <cellStyle name="Normal 5 6 3 7" xfId="36864"/>
    <cellStyle name="Normal 5 6 3 7 2" xfId="36865"/>
    <cellStyle name="Normal 5 6 3 8" xfId="36866"/>
    <cellStyle name="Normal 5 6 3 9" xfId="36867"/>
    <cellStyle name="Normal 5 6 4" xfId="36868"/>
    <cellStyle name="Normal 5 6 4 10" xfId="36869"/>
    <cellStyle name="Normal 5 6 4 11" xfId="36870"/>
    <cellStyle name="Normal 5 6 4 12" xfId="36871"/>
    <cellStyle name="Normal 5 6 4 13" xfId="36872"/>
    <cellStyle name="Normal 5 6 4 14" xfId="36873"/>
    <cellStyle name="Normal 5 6 4 15" xfId="36874"/>
    <cellStyle name="Normal 5 6 4 16" xfId="36875"/>
    <cellStyle name="Normal 5 6 4 17" xfId="36876"/>
    <cellStyle name="Normal 5 6 4 18" xfId="36877"/>
    <cellStyle name="Normal 5 6 4 2" xfId="36878"/>
    <cellStyle name="Normal 5 6 4 2 10" xfId="36879"/>
    <cellStyle name="Normal 5 6 4 2 11" xfId="36880"/>
    <cellStyle name="Normal 5 6 4 2 12" xfId="36881"/>
    <cellStyle name="Normal 5 6 4 2 13" xfId="36882"/>
    <cellStyle name="Normal 5 6 4 2 2" xfId="36883"/>
    <cellStyle name="Normal 5 6 4 2 2 2" xfId="36884"/>
    <cellStyle name="Normal 5 6 4 2 2 2 2" xfId="36885"/>
    <cellStyle name="Normal 5 6 4 2 2 3" xfId="36886"/>
    <cellStyle name="Normal 5 6 4 2 2 4" xfId="36887"/>
    <cellStyle name="Normal 5 6 4 2 2 5" xfId="36888"/>
    <cellStyle name="Normal 5 6 4 2 3" xfId="36889"/>
    <cellStyle name="Normal 5 6 4 2 3 2" xfId="36890"/>
    <cellStyle name="Normal 5 6 4 2 4" xfId="36891"/>
    <cellStyle name="Normal 5 6 4 2 4 2" xfId="36892"/>
    <cellStyle name="Normal 5 6 4 2 5" xfId="36893"/>
    <cellStyle name="Normal 5 6 4 2 5 2" xfId="36894"/>
    <cellStyle name="Normal 5 6 4 2 6" xfId="36895"/>
    <cellStyle name="Normal 5 6 4 2 6 2" xfId="36896"/>
    <cellStyle name="Normal 5 6 4 2 7" xfId="36897"/>
    <cellStyle name="Normal 5 6 4 2 8" xfId="36898"/>
    <cellStyle name="Normal 5 6 4 2 9" xfId="36899"/>
    <cellStyle name="Normal 5 6 4 3" xfId="36900"/>
    <cellStyle name="Normal 5 6 4 3 2" xfId="36901"/>
    <cellStyle name="Normal 5 6 4 3 2 2" xfId="36902"/>
    <cellStyle name="Normal 5 6 4 3 3" xfId="36903"/>
    <cellStyle name="Normal 5 6 4 3 4" xfId="36904"/>
    <cellStyle name="Normal 5 6 4 3 5" xfId="36905"/>
    <cellStyle name="Normal 5 6 4 4" xfId="36906"/>
    <cellStyle name="Normal 5 6 4 4 2" xfId="36907"/>
    <cellStyle name="Normal 5 6 4 5" xfId="36908"/>
    <cellStyle name="Normal 5 6 4 5 2" xfId="36909"/>
    <cellStyle name="Normal 5 6 4 6" xfId="36910"/>
    <cellStyle name="Normal 5 6 4 6 2" xfId="36911"/>
    <cellStyle name="Normal 5 6 4 7" xfId="36912"/>
    <cellStyle name="Normal 5 6 4 7 2" xfId="36913"/>
    <cellStyle name="Normal 5 6 4 8" xfId="36914"/>
    <cellStyle name="Normal 5 6 4 9" xfId="36915"/>
    <cellStyle name="Normal 5 6 5" xfId="36916"/>
    <cellStyle name="Normal 5 6 5 10" xfId="36917"/>
    <cellStyle name="Normal 5 6 5 11" xfId="36918"/>
    <cellStyle name="Normal 5 6 5 12" xfId="36919"/>
    <cellStyle name="Normal 5 6 5 13" xfId="36920"/>
    <cellStyle name="Normal 5 6 5 14" xfId="36921"/>
    <cellStyle name="Normal 5 6 5 15" xfId="36922"/>
    <cellStyle name="Normal 5 6 5 16" xfId="36923"/>
    <cellStyle name="Normal 5 6 5 17" xfId="36924"/>
    <cellStyle name="Normal 5 6 5 2" xfId="36925"/>
    <cellStyle name="Normal 5 6 5 2 10" xfId="36926"/>
    <cellStyle name="Normal 5 6 5 2 11" xfId="36927"/>
    <cellStyle name="Normal 5 6 5 2 12" xfId="36928"/>
    <cellStyle name="Normal 5 6 5 2 13" xfId="36929"/>
    <cellStyle name="Normal 5 6 5 2 2" xfId="36930"/>
    <cellStyle name="Normal 5 6 5 2 2 2" xfId="36931"/>
    <cellStyle name="Normal 5 6 5 2 2 2 2" xfId="36932"/>
    <cellStyle name="Normal 5 6 5 2 2 3" xfId="36933"/>
    <cellStyle name="Normal 5 6 5 2 2 4" xfId="36934"/>
    <cellStyle name="Normal 5 6 5 2 2 5" xfId="36935"/>
    <cellStyle name="Normal 5 6 5 2 3" xfId="36936"/>
    <cellStyle name="Normal 5 6 5 2 3 2" xfId="36937"/>
    <cellStyle name="Normal 5 6 5 2 4" xfId="36938"/>
    <cellStyle name="Normal 5 6 5 2 4 2" xfId="36939"/>
    <cellStyle name="Normal 5 6 5 2 5" xfId="36940"/>
    <cellStyle name="Normal 5 6 5 2 5 2" xfId="36941"/>
    <cellStyle name="Normal 5 6 5 2 6" xfId="36942"/>
    <cellStyle name="Normal 5 6 5 2 6 2" xfId="36943"/>
    <cellStyle name="Normal 5 6 5 2 7" xfId="36944"/>
    <cellStyle name="Normal 5 6 5 2 8" xfId="36945"/>
    <cellStyle name="Normal 5 6 5 2 9" xfId="36946"/>
    <cellStyle name="Normal 5 6 5 3" xfId="36947"/>
    <cellStyle name="Normal 5 6 5 3 2" xfId="36948"/>
    <cellStyle name="Normal 5 6 5 3 2 2" xfId="36949"/>
    <cellStyle name="Normal 5 6 5 3 3" xfId="36950"/>
    <cellStyle name="Normal 5 6 5 3 4" xfId="36951"/>
    <cellStyle name="Normal 5 6 5 3 5" xfId="36952"/>
    <cellStyle name="Normal 5 6 5 4" xfId="36953"/>
    <cellStyle name="Normal 5 6 5 4 2" xfId="36954"/>
    <cellStyle name="Normal 5 6 5 5" xfId="36955"/>
    <cellStyle name="Normal 5 6 5 5 2" xfId="36956"/>
    <cellStyle name="Normal 5 6 5 6" xfId="36957"/>
    <cellStyle name="Normal 5 6 5 6 2" xfId="36958"/>
    <cellStyle name="Normal 5 6 5 7" xfId="36959"/>
    <cellStyle name="Normal 5 6 5 7 2" xfId="36960"/>
    <cellStyle name="Normal 5 6 5 8" xfId="36961"/>
    <cellStyle name="Normal 5 6 5 9" xfId="36962"/>
    <cellStyle name="Normal 5 6 6" xfId="36963"/>
    <cellStyle name="Normal 5 6 6 10" xfId="36964"/>
    <cellStyle name="Normal 5 6 6 11" xfId="36965"/>
    <cellStyle name="Normal 5 6 6 12" xfId="36966"/>
    <cellStyle name="Normal 5 6 6 13" xfId="36967"/>
    <cellStyle name="Normal 5 6 6 14" xfId="36968"/>
    <cellStyle name="Normal 5 6 6 15" xfId="36969"/>
    <cellStyle name="Normal 5 6 6 16" xfId="36970"/>
    <cellStyle name="Normal 5 6 6 17" xfId="36971"/>
    <cellStyle name="Normal 5 6 6 2" xfId="36972"/>
    <cellStyle name="Normal 5 6 6 2 10" xfId="36973"/>
    <cellStyle name="Normal 5 6 6 2 11" xfId="36974"/>
    <cellStyle name="Normal 5 6 6 2 12" xfId="36975"/>
    <cellStyle name="Normal 5 6 6 2 13" xfId="36976"/>
    <cellStyle name="Normal 5 6 6 2 2" xfId="36977"/>
    <cellStyle name="Normal 5 6 6 2 2 2" xfId="36978"/>
    <cellStyle name="Normal 5 6 6 2 2 2 2" xfId="36979"/>
    <cellStyle name="Normal 5 6 6 2 2 3" xfId="36980"/>
    <cellStyle name="Normal 5 6 6 2 2 4" xfId="36981"/>
    <cellStyle name="Normal 5 6 6 2 2 5" xfId="36982"/>
    <cellStyle name="Normal 5 6 6 2 3" xfId="36983"/>
    <cellStyle name="Normal 5 6 6 2 3 2" xfId="36984"/>
    <cellStyle name="Normal 5 6 6 2 4" xfId="36985"/>
    <cellStyle name="Normal 5 6 6 2 4 2" xfId="36986"/>
    <cellStyle name="Normal 5 6 6 2 5" xfId="36987"/>
    <cellStyle name="Normal 5 6 6 2 5 2" xfId="36988"/>
    <cellStyle name="Normal 5 6 6 2 6" xfId="36989"/>
    <cellStyle name="Normal 5 6 6 2 6 2" xfId="36990"/>
    <cellStyle name="Normal 5 6 6 2 7" xfId="36991"/>
    <cellStyle name="Normal 5 6 6 2 8" xfId="36992"/>
    <cellStyle name="Normal 5 6 6 2 9" xfId="36993"/>
    <cellStyle name="Normal 5 6 6 3" xfId="36994"/>
    <cellStyle name="Normal 5 6 6 3 2" xfId="36995"/>
    <cellStyle name="Normal 5 6 6 3 2 2" xfId="36996"/>
    <cellStyle name="Normal 5 6 6 3 3" xfId="36997"/>
    <cellStyle name="Normal 5 6 6 3 4" xfId="36998"/>
    <cellStyle name="Normal 5 6 6 3 5" xfId="36999"/>
    <cellStyle name="Normal 5 6 6 4" xfId="37000"/>
    <cellStyle name="Normal 5 6 6 4 2" xfId="37001"/>
    <cellStyle name="Normal 5 6 6 5" xfId="37002"/>
    <cellStyle name="Normal 5 6 6 5 2" xfId="37003"/>
    <cellStyle name="Normal 5 6 6 6" xfId="37004"/>
    <cellStyle name="Normal 5 6 6 6 2" xfId="37005"/>
    <cellStyle name="Normal 5 6 6 7" xfId="37006"/>
    <cellStyle name="Normal 5 6 6 7 2" xfId="37007"/>
    <cellStyle name="Normal 5 6 6 8" xfId="37008"/>
    <cellStyle name="Normal 5 6 6 9" xfId="37009"/>
    <cellStyle name="Normal 5 6 7" xfId="37010"/>
    <cellStyle name="Normal 5 6 7 10" xfId="37011"/>
    <cellStyle name="Normal 5 6 7 11" xfId="37012"/>
    <cellStyle name="Normal 5 6 7 12" xfId="37013"/>
    <cellStyle name="Normal 5 6 7 13" xfId="37014"/>
    <cellStyle name="Normal 5 6 7 14" xfId="37015"/>
    <cellStyle name="Normal 5 6 7 15" xfId="37016"/>
    <cellStyle name="Normal 5 6 7 16" xfId="37017"/>
    <cellStyle name="Normal 5 6 7 17" xfId="37018"/>
    <cellStyle name="Normal 5 6 7 2" xfId="37019"/>
    <cellStyle name="Normal 5 6 7 2 10" xfId="37020"/>
    <cellStyle name="Normal 5 6 7 2 11" xfId="37021"/>
    <cellStyle name="Normal 5 6 7 2 12" xfId="37022"/>
    <cellStyle name="Normal 5 6 7 2 13" xfId="37023"/>
    <cellStyle name="Normal 5 6 7 2 2" xfId="37024"/>
    <cellStyle name="Normal 5 6 7 2 2 2" xfId="37025"/>
    <cellStyle name="Normal 5 6 7 2 2 2 2" xfId="37026"/>
    <cellStyle name="Normal 5 6 7 2 2 3" xfId="37027"/>
    <cellStyle name="Normal 5 6 7 2 2 4" xfId="37028"/>
    <cellStyle name="Normal 5 6 7 2 2 5" xfId="37029"/>
    <cellStyle name="Normal 5 6 7 2 3" xfId="37030"/>
    <cellStyle name="Normal 5 6 7 2 3 2" xfId="37031"/>
    <cellStyle name="Normal 5 6 7 2 4" xfId="37032"/>
    <cellStyle name="Normal 5 6 7 2 4 2" xfId="37033"/>
    <cellStyle name="Normal 5 6 7 2 5" xfId="37034"/>
    <cellStyle name="Normal 5 6 7 2 5 2" xfId="37035"/>
    <cellStyle name="Normal 5 6 7 2 6" xfId="37036"/>
    <cellStyle name="Normal 5 6 7 2 6 2" xfId="37037"/>
    <cellStyle name="Normal 5 6 7 2 7" xfId="37038"/>
    <cellStyle name="Normal 5 6 7 2 8" xfId="37039"/>
    <cellStyle name="Normal 5 6 7 2 9" xfId="37040"/>
    <cellStyle name="Normal 5 6 7 3" xfId="37041"/>
    <cellStyle name="Normal 5 6 7 3 2" xfId="37042"/>
    <cellStyle name="Normal 5 6 7 3 2 2" xfId="37043"/>
    <cellStyle name="Normal 5 6 7 3 3" xfId="37044"/>
    <cellStyle name="Normal 5 6 7 3 4" xfId="37045"/>
    <cellStyle name="Normal 5 6 7 3 5" xfId="37046"/>
    <cellStyle name="Normal 5 6 7 4" xfId="37047"/>
    <cellStyle name="Normal 5 6 7 4 2" xfId="37048"/>
    <cellStyle name="Normal 5 6 7 5" xfId="37049"/>
    <cellStyle name="Normal 5 6 7 5 2" xfId="37050"/>
    <cellStyle name="Normal 5 6 7 6" xfId="37051"/>
    <cellStyle name="Normal 5 6 7 6 2" xfId="37052"/>
    <cellStyle name="Normal 5 6 7 7" xfId="37053"/>
    <cellStyle name="Normal 5 6 7 7 2" xfId="37054"/>
    <cellStyle name="Normal 5 6 7 8" xfId="37055"/>
    <cellStyle name="Normal 5 6 7 9" xfId="37056"/>
    <cellStyle name="Normal 5 6 8" xfId="37057"/>
    <cellStyle name="Normal 5 6 8 10" xfId="37058"/>
    <cellStyle name="Normal 5 6 8 11" xfId="37059"/>
    <cellStyle name="Normal 5 6 8 12" xfId="37060"/>
    <cellStyle name="Normal 5 6 8 13" xfId="37061"/>
    <cellStyle name="Normal 5 6 8 14" xfId="37062"/>
    <cellStyle name="Normal 5 6 8 15" xfId="37063"/>
    <cellStyle name="Normal 5 6 8 2" xfId="37064"/>
    <cellStyle name="Normal 5 6 8 2 2" xfId="37065"/>
    <cellStyle name="Normal 5 6 8 2 2 2" xfId="37066"/>
    <cellStyle name="Normal 5 6 8 2 3" xfId="37067"/>
    <cellStyle name="Normal 5 6 8 2 3 2" xfId="37068"/>
    <cellStyle name="Normal 5 6 8 2 4" xfId="37069"/>
    <cellStyle name="Normal 5 6 8 2 4 2" xfId="37070"/>
    <cellStyle name="Normal 5 6 8 2 5" xfId="37071"/>
    <cellStyle name="Normal 5 6 8 2 5 2" xfId="37072"/>
    <cellStyle name="Normal 5 6 8 2 6" xfId="37073"/>
    <cellStyle name="Normal 5 6 8 2 7" xfId="37074"/>
    <cellStyle name="Normal 5 6 8 2 8" xfId="37075"/>
    <cellStyle name="Normal 5 6 8 2 9" xfId="37076"/>
    <cellStyle name="Normal 5 6 8 3" xfId="37077"/>
    <cellStyle name="Normal 5 6 8 3 2" xfId="37078"/>
    <cellStyle name="Normal 5 6 8 3 2 2" xfId="37079"/>
    <cellStyle name="Normal 5 6 8 3 3" xfId="37080"/>
    <cellStyle name="Normal 5 6 8 3 4" xfId="37081"/>
    <cellStyle name="Normal 5 6 8 3 5" xfId="37082"/>
    <cellStyle name="Normal 5 6 8 4" xfId="37083"/>
    <cellStyle name="Normal 5 6 8 4 2" xfId="37084"/>
    <cellStyle name="Normal 5 6 8 5" xfId="37085"/>
    <cellStyle name="Normal 5 6 8 5 2" xfId="37086"/>
    <cellStyle name="Normal 5 6 8 6" xfId="37087"/>
    <cellStyle name="Normal 5 6 8 6 2" xfId="37088"/>
    <cellStyle name="Normal 5 6 8 7" xfId="37089"/>
    <cellStyle name="Normal 5 6 8 7 2" xfId="37090"/>
    <cellStyle name="Normal 5 6 8 8" xfId="37091"/>
    <cellStyle name="Normal 5 6 8 9" xfId="37092"/>
    <cellStyle name="Normal 5 6 9" xfId="37093"/>
    <cellStyle name="Normal 5 6 9 10" xfId="37094"/>
    <cellStyle name="Normal 5 6 9 11" xfId="37095"/>
    <cellStyle name="Normal 5 6 9 12" xfId="37096"/>
    <cellStyle name="Normal 5 6 9 13" xfId="37097"/>
    <cellStyle name="Normal 5 6 9 14" xfId="37098"/>
    <cellStyle name="Normal 5 6 9 15" xfId="37099"/>
    <cellStyle name="Normal 5 6 9 2" xfId="37100"/>
    <cellStyle name="Normal 5 6 9 2 2" xfId="37101"/>
    <cellStyle name="Normal 5 6 9 2 2 2" xfId="37102"/>
    <cellStyle name="Normal 5 6 9 2 3" xfId="37103"/>
    <cellStyle name="Normal 5 6 9 2 3 2" xfId="37104"/>
    <cellStyle name="Normal 5 6 9 2 4" xfId="37105"/>
    <cellStyle name="Normal 5 6 9 2 4 2" xfId="37106"/>
    <cellStyle name="Normal 5 6 9 2 5" xfId="37107"/>
    <cellStyle name="Normal 5 6 9 2 5 2" xfId="37108"/>
    <cellStyle name="Normal 5 6 9 2 6" xfId="37109"/>
    <cellStyle name="Normal 5 6 9 2 7" xfId="37110"/>
    <cellStyle name="Normal 5 6 9 2 8" xfId="37111"/>
    <cellStyle name="Normal 5 6 9 2 9" xfId="37112"/>
    <cellStyle name="Normal 5 6 9 3" xfId="37113"/>
    <cellStyle name="Normal 5 6 9 3 2" xfId="37114"/>
    <cellStyle name="Normal 5 6 9 3 2 2" xfId="37115"/>
    <cellStyle name="Normal 5 6 9 3 3" xfId="37116"/>
    <cellStyle name="Normal 5 6 9 3 4" xfId="37117"/>
    <cellStyle name="Normal 5 6 9 3 5" xfId="37118"/>
    <cellStyle name="Normal 5 6 9 4" xfId="37119"/>
    <cellStyle name="Normal 5 6 9 4 2" xfId="37120"/>
    <cellStyle name="Normal 5 6 9 5" xfId="37121"/>
    <cellStyle name="Normal 5 6 9 5 2" xfId="37122"/>
    <cellStyle name="Normal 5 6 9 6" xfId="37123"/>
    <cellStyle name="Normal 5 6 9 6 2" xfId="37124"/>
    <cellStyle name="Normal 5 6 9 7" xfId="37125"/>
    <cellStyle name="Normal 5 6 9 7 2" xfId="37126"/>
    <cellStyle name="Normal 5 6 9 8" xfId="37127"/>
    <cellStyle name="Normal 5 6 9 9" xfId="37128"/>
    <cellStyle name="Normal 5 7" xfId="37129"/>
    <cellStyle name="Normal 5 7 10" xfId="37130"/>
    <cellStyle name="Normal 5 7 10 10" xfId="37131"/>
    <cellStyle name="Normal 5 7 10 11" xfId="37132"/>
    <cellStyle name="Normal 5 7 10 12" xfId="37133"/>
    <cellStyle name="Normal 5 7 10 13" xfId="37134"/>
    <cellStyle name="Normal 5 7 10 14" xfId="37135"/>
    <cellStyle name="Normal 5 7 10 2" xfId="37136"/>
    <cellStyle name="Normal 5 7 10 2 2" xfId="37137"/>
    <cellStyle name="Normal 5 7 10 2 2 2" xfId="37138"/>
    <cellStyle name="Normal 5 7 10 2 3" xfId="37139"/>
    <cellStyle name="Normal 5 7 10 2 3 2" xfId="37140"/>
    <cellStyle name="Normal 5 7 10 2 4" xfId="37141"/>
    <cellStyle name="Normal 5 7 10 2 4 2" xfId="37142"/>
    <cellStyle name="Normal 5 7 10 2 5" xfId="37143"/>
    <cellStyle name="Normal 5 7 10 2 5 2" xfId="37144"/>
    <cellStyle name="Normal 5 7 10 2 6" xfId="37145"/>
    <cellStyle name="Normal 5 7 10 2 7" xfId="37146"/>
    <cellStyle name="Normal 5 7 10 2 8" xfId="37147"/>
    <cellStyle name="Normal 5 7 10 2 9" xfId="37148"/>
    <cellStyle name="Normal 5 7 10 3" xfId="37149"/>
    <cellStyle name="Normal 5 7 10 3 2" xfId="37150"/>
    <cellStyle name="Normal 5 7 10 3 2 2" xfId="37151"/>
    <cellStyle name="Normal 5 7 10 3 3" xfId="37152"/>
    <cellStyle name="Normal 5 7 10 3 4" xfId="37153"/>
    <cellStyle name="Normal 5 7 10 3 5" xfId="37154"/>
    <cellStyle name="Normal 5 7 10 4" xfId="37155"/>
    <cellStyle name="Normal 5 7 10 4 2" xfId="37156"/>
    <cellStyle name="Normal 5 7 10 5" xfId="37157"/>
    <cellStyle name="Normal 5 7 10 5 2" xfId="37158"/>
    <cellStyle name="Normal 5 7 10 6" xfId="37159"/>
    <cellStyle name="Normal 5 7 10 6 2" xfId="37160"/>
    <cellStyle name="Normal 5 7 10 7" xfId="37161"/>
    <cellStyle name="Normal 5 7 10 7 2" xfId="37162"/>
    <cellStyle name="Normal 5 7 10 8" xfId="37163"/>
    <cellStyle name="Normal 5 7 10 9" xfId="37164"/>
    <cellStyle name="Normal 5 7 11" xfId="37165"/>
    <cellStyle name="Normal 5 7 11 2" xfId="37166"/>
    <cellStyle name="Normal 5 7 11 2 2" xfId="37167"/>
    <cellStyle name="Normal 5 7 11 3" xfId="37168"/>
    <cellStyle name="Normal 5 7 11 3 2" xfId="37169"/>
    <cellStyle name="Normal 5 7 11 4" xfId="37170"/>
    <cellStyle name="Normal 5 7 11 4 2" xfId="37171"/>
    <cellStyle name="Normal 5 7 11 5" xfId="37172"/>
    <cellStyle name="Normal 5 7 11 5 2" xfId="37173"/>
    <cellStyle name="Normal 5 7 11 6" xfId="37174"/>
    <cellStyle name="Normal 5 7 11 7" xfId="37175"/>
    <cellStyle name="Normal 5 7 11 8" xfId="37176"/>
    <cellStyle name="Normal 5 7 11 9" xfId="37177"/>
    <cellStyle name="Normal 5 7 12" xfId="37178"/>
    <cellStyle name="Normal 5 7 12 2" xfId="37179"/>
    <cellStyle name="Normal 5 7 12 2 2" xfId="37180"/>
    <cellStyle name="Normal 5 7 12 3" xfId="37181"/>
    <cellStyle name="Normal 5 7 12 4" xfId="37182"/>
    <cellStyle name="Normal 5 7 12 5" xfId="37183"/>
    <cellStyle name="Normal 5 7 13" xfId="37184"/>
    <cellStyle name="Normal 5 7 13 2" xfId="37185"/>
    <cellStyle name="Normal 5 7 14" xfId="37186"/>
    <cellStyle name="Normal 5 7 14 2" xfId="37187"/>
    <cellStyle name="Normal 5 7 15" xfId="37188"/>
    <cellStyle name="Normal 5 7 15 2" xfId="37189"/>
    <cellStyle name="Normal 5 7 16" xfId="37190"/>
    <cellStyle name="Normal 5 7 16 2" xfId="37191"/>
    <cellStyle name="Normal 5 7 17" xfId="37192"/>
    <cellStyle name="Normal 5 7 18" xfId="37193"/>
    <cellStyle name="Normal 5 7 19" xfId="37194"/>
    <cellStyle name="Normal 5 7 2" xfId="37195"/>
    <cellStyle name="Normal 5 7 2 10" xfId="37196"/>
    <cellStyle name="Normal 5 7 2 11" xfId="37197"/>
    <cellStyle name="Normal 5 7 2 12" xfId="37198"/>
    <cellStyle name="Normal 5 7 2 13" xfId="37199"/>
    <cellStyle name="Normal 5 7 2 14" xfId="37200"/>
    <cellStyle name="Normal 5 7 2 15" xfId="37201"/>
    <cellStyle name="Normal 5 7 2 16" xfId="37202"/>
    <cellStyle name="Normal 5 7 2 17" xfId="37203"/>
    <cellStyle name="Normal 5 7 2 18" xfId="37204"/>
    <cellStyle name="Normal 5 7 2 2" xfId="37205"/>
    <cellStyle name="Normal 5 7 2 2 10" xfId="37206"/>
    <cellStyle name="Normal 5 7 2 2 11" xfId="37207"/>
    <cellStyle name="Normal 5 7 2 2 12" xfId="37208"/>
    <cellStyle name="Normal 5 7 2 2 13" xfId="37209"/>
    <cellStyle name="Normal 5 7 2 2 2" xfId="37210"/>
    <cellStyle name="Normal 5 7 2 2 2 2" xfId="37211"/>
    <cellStyle name="Normal 5 7 2 2 2 2 2" xfId="37212"/>
    <cellStyle name="Normal 5 7 2 2 2 3" xfId="37213"/>
    <cellStyle name="Normal 5 7 2 2 2 4" xfId="37214"/>
    <cellStyle name="Normal 5 7 2 2 2 5" xfId="37215"/>
    <cellStyle name="Normal 5 7 2 2 3" xfId="37216"/>
    <cellStyle name="Normal 5 7 2 2 3 2" xfId="37217"/>
    <cellStyle name="Normal 5 7 2 2 4" xfId="37218"/>
    <cellStyle name="Normal 5 7 2 2 4 2" xfId="37219"/>
    <cellStyle name="Normal 5 7 2 2 5" xfId="37220"/>
    <cellStyle name="Normal 5 7 2 2 5 2" xfId="37221"/>
    <cellStyle name="Normal 5 7 2 2 6" xfId="37222"/>
    <cellStyle name="Normal 5 7 2 2 6 2" xfId="37223"/>
    <cellStyle name="Normal 5 7 2 2 7" xfId="37224"/>
    <cellStyle name="Normal 5 7 2 2 8" xfId="37225"/>
    <cellStyle name="Normal 5 7 2 2 9" xfId="37226"/>
    <cellStyle name="Normal 5 7 2 3" xfId="37227"/>
    <cellStyle name="Normal 5 7 2 3 2" xfId="37228"/>
    <cellStyle name="Normal 5 7 2 3 2 2" xfId="37229"/>
    <cellStyle name="Normal 5 7 2 3 3" xfId="37230"/>
    <cellStyle name="Normal 5 7 2 3 4" xfId="37231"/>
    <cellStyle name="Normal 5 7 2 3 5" xfId="37232"/>
    <cellStyle name="Normal 5 7 2 4" xfId="37233"/>
    <cellStyle name="Normal 5 7 2 4 2" xfId="37234"/>
    <cellStyle name="Normal 5 7 2 5" xfId="37235"/>
    <cellStyle name="Normal 5 7 2 5 2" xfId="37236"/>
    <cellStyle name="Normal 5 7 2 6" xfId="37237"/>
    <cellStyle name="Normal 5 7 2 6 2" xfId="37238"/>
    <cellStyle name="Normal 5 7 2 7" xfId="37239"/>
    <cellStyle name="Normal 5 7 2 7 2" xfId="37240"/>
    <cellStyle name="Normal 5 7 2 8" xfId="37241"/>
    <cellStyle name="Normal 5 7 2 9" xfId="37242"/>
    <cellStyle name="Normal 5 7 20" xfId="37243"/>
    <cellStyle name="Normal 5 7 21" xfId="37244"/>
    <cellStyle name="Normal 5 7 22" xfId="37245"/>
    <cellStyle name="Normal 5 7 23" xfId="37246"/>
    <cellStyle name="Normal 5 7 24" xfId="37247"/>
    <cellStyle name="Normal 5 7 25" xfId="37248"/>
    <cellStyle name="Normal 5 7 3" xfId="37249"/>
    <cellStyle name="Normal 5 7 3 10" xfId="37250"/>
    <cellStyle name="Normal 5 7 3 11" xfId="37251"/>
    <cellStyle name="Normal 5 7 3 12" xfId="37252"/>
    <cellStyle name="Normal 5 7 3 13" xfId="37253"/>
    <cellStyle name="Normal 5 7 3 14" xfId="37254"/>
    <cellStyle name="Normal 5 7 3 15" xfId="37255"/>
    <cellStyle name="Normal 5 7 3 16" xfId="37256"/>
    <cellStyle name="Normal 5 7 3 17" xfId="37257"/>
    <cellStyle name="Normal 5 7 3 18" xfId="37258"/>
    <cellStyle name="Normal 5 7 3 2" xfId="37259"/>
    <cellStyle name="Normal 5 7 3 2 10" xfId="37260"/>
    <cellStyle name="Normal 5 7 3 2 11" xfId="37261"/>
    <cellStyle name="Normal 5 7 3 2 12" xfId="37262"/>
    <cellStyle name="Normal 5 7 3 2 13" xfId="37263"/>
    <cellStyle name="Normal 5 7 3 2 2" xfId="37264"/>
    <cellStyle name="Normal 5 7 3 2 2 2" xfId="37265"/>
    <cellStyle name="Normal 5 7 3 2 2 2 2" xfId="37266"/>
    <cellStyle name="Normal 5 7 3 2 2 3" xfId="37267"/>
    <cellStyle name="Normal 5 7 3 2 2 4" xfId="37268"/>
    <cellStyle name="Normal 5 7 3 2 2 5" xfId="37269"/>
    <cellStyle name="Normal 5 7 3 2 3" xfId="37270"/>
    <cellStyle name="Normal 5 7 3 2 3 2" xfId="37271"/>
    <cellStyle name="Normal 5 7 3 2 4" xfId="37272"/>
    <cellStyle name="Normal 5 7 3 2 4 2" xfId="37273"/>
    <cellStyle name="Normal 5 7 3 2 5" xfId="37274"/>
    <cellStyle name="Normal 5 7 3 2 5 2" xfId="37275"/>
    <cellStyle name="Normal 5 7 3 2 6" xfId="37276"/>
    <cellStyle name="Normal 5 7 3 2 6 2" xfId="37277"/>
    <cellStyle name="Normal 5 7 3 2 7" xfId="37278"/>
    <cellStyle name="Normal 5 7 3 2 8" xfId="37279"/>
    <cellStyle name="Normal 5 7 3 2 9" xfId="37280"/>
    <cellStyle name="Normal 5 7 3 3" xfId="37281"/>
    <cellStyle name="Normal 5 7 3 3 2" xfId="37282"/>
    <cellStyle name="Normal 5 7 3 3 2 2" xfId="37283"/>
    <cellStyle name="Normal 5 7 3 3 3" xfId="37284"/>
    <cellStyle name="Normal 5 7 3 3 4" xfId="37285"/>
    <cellStyle name="Normal 5 7 3 3 5" xfId="37286"/>
    <cellStyle name="Normal 5 7 3 4" xfId="37287"/>
    <cellStyle name="Normal 5 7 3 4 2" xfId="37288"/>
    <cellStyle name="Normal 5 7 3 5" xfId="37289"/>
    <cellStyle name="Normal 5 7 3 5 2" xfId="37290"/>
    <cellStyle name="Normal 5 7 3 6" xfId="37291"/>
    <cellStyle name="Normal 5 7 3 6 2" xfId="37292"/>
    <cellStyle name="Normal 5 7 3 7" xfId="37293"/>
    <cellStyle name="Normal 5 7 3 7 2" xfId="37294"/>
    <cellStyle name="Normal 5 7 3 8" xfId="37295"/>
    <cellStyle name="Normal 5 7 3 9" xfId="37296"/>
    <cellStyle name="Normal 5 7 4" xfId="37297"/>
    <cellStyle name="Normal 5 7 4 10" xfId="37298"/>
    <cellStyle name="Normal 5 7 4 11" xfId="37299"/>
    <cellStyle name="Normal 5 7 4 12" xfId="37300"/>
    <cellStyle name="Normal 5 7 4 13" xfId="37301"/>
    <cellStyle name="Normal 5 7 4 14" xfId="37302"/>
    <cellStyle name="Normal 5 7 4 15" xfId="37303"/>
    <cellStyle name="Normal 5 7 4 16" xfId="37304"/>
    <cellStyle name="Normal 5 7 4 17" xfId="37305"/>
    <cellStyle name="Normal 5 7 4 18" xfId="37306"/>
    <cellStyle name="Normal 5 7 4 2" xfId="37307"/>
    <cellStyle name="Normal 5 7 4 2 10" xfId="37308"/>
    <cellStyle name="Normal 5 7 4 2 11" xfId="37309"/>
    <cellStyle name="Normal 5 7 4 2 12" xfId="37310"/>
    <cellStyle name="Normal 5 7 4 2 13" xfId="37311"/>
    <cellStyle name="Normal 5 7 4 2 2" xfId="37312"/>
    <cellStyle name="Normal 5 7 4 2 2 2" xfId="37313"/>
    <cellStyle name="Normal 5 7 4 2 2 2 2" xfId="37314"/>
    <cellStyle name="Normal 5 7 4 2 2 3" xfId="37315"/>
    <cellStyle name="Normal 5 7 4 2 2 4" xfId="37316"/>
    <cellStyle name="Normal 5 7 4 2 2 5" xfId="37317"/>
    <cellStyle name="Normal 5 7 4 2 3" xfId="37318"/>
    <cellStyle name="Normal 5 7 4 2 3 2" xfId="37319"/>
    <cellStyle name="Normal 5 7 4 2 4" xfId="37320"/>
    <cellStyle name="Normal 5 7 4 2 4 2" xfId="37321"/>
    <cellStyle name="Normal 5 7 4 2 5" xfId="37322"/>
    <cellStyle name="Normal 5 7 4 2 5 2" xfId="37323"/>
    <cellStyle name="Normal 5 7 4 2 6" xfId="37324"/>
    <cellStyle name="Normal 5 7 4 2 6 2" xfId="37325"/>
    <cellStyle name="Normal 5 7 4 2 7" xfId="37326"/>
    <cellStyle name="Normal 5 7 4 2 8" xfId="37327"/>
    <cellStyle name="Normal 5 7 4 2 9" xfId="37328"/>
    <cellStyle name="Normal 5 7 4 3" xfId="37329"/>
    <cellStyle name="Normal 5 7 4 3 2" xfId="37330"/>
    <cellStyle name="Normal 5 7 4 3 2 2" xfId="37331"/>
    <cellStyle name="Normal 5 7 4 3 3" xfId="37332"/>
    <cellStyle name="Normal 5 7 4 3 4" xfId="37333"/>
    <cellStyle name="Normal 5 7 4 3 5" xfId="37334"/>
    <cellStyle name="Normal 5 7 4 4" xfId="37335"/>
    <cellStyle name="Normal 5 7 4 4 2" xfId="37336"/>
    <cellStyle name="Normal 5 7 4 5" xfId="37337"/>
    <cellStyle name="Normal 5 7 4 5 2" xfId="37338"/>
    <cellStyle name="Normal 5 7 4 6" xfId="37339"/>
    <cellStyle name="Normal 5 7 4 6 2" xfId="37340"/>
    <cellStyle name="Normal 5 7 4 7" xfId="37341"/>
    <cellStyle name="Normal 5 7 4 7 2" xfId="37342"/>
    <cellStyle name="Normal 5 7 4 8" xfId="37343"/>
    <cellStyle name="Normal 5 7 4 9" xfId="37344"/>
    <cellStyle name="Normal 5 7 5" xfId="37345"/>
    <cellStyle name="Normal 5 7 5 10" xfId="37346"/>
    <cellStyle name="Normal 5 7 5 11" xfId="37347"/>
    <cellStyle name="Normal 5 7 5 12" xfId="37348"/>
    <cellStyle name="Normal 5 7 5 13" xfId="37349"/>
    <cellStyle name="Normal 5 7 5 14" xfId="37350"/>
    <cellStyle name="Normal 5 7 5 15" xfId="37351"/>
    <cellStyle name="Normal 5 7 5 16" xfId="37352"/>
    <cellStyle name="Normal 5 7 5 17" xfId="37353"/>
    <cellStyle name="Normal 5 7 5 2" xfId="37354"/>
    <cellStyle name="Normal 5 7 5 2 10" xfId="37355"/>
    <cellStyle name="Normal 5 7 5 2 11" xfId="37356"/>
    <cellStyle name="Normal 5 7 5 2 12" xfId="37357"/>
    <cellStyle name="Normal 5 7 5 2 13" xfId="37358"/>
    <cellStyle name="Normal 5 7 5 2 2" xfId="37359"/>
    <cellStyle name="Normal 5 7 5 2 2 2" xfId="37360"/>
    <cellStyle name="Normal 5 7 5 2 2 2 2" xfId="37361"/>
    <cellStyle name="Normal 5 7 5 2 2 3" xfId="37362"/>
    <cellStyle name="Normal 5 7 5 2 2 4" xfId="37363"/>
    <cellStyle name="Normal 5 7 5 2 2 5" xfId="37364"/>
    <cellStyle name="Normal 5 7 5 2 3" xfId="37365"/>
    <cellStyle name="Normal 5 7 5 2 3 2" xfId="37366"/>
    <cellStyle name="Normal 5 7 5 2 4" xfId="37367"/>
    <cellStyle name="Normal 5 7 5 2 4 2" xfId="37368"/>
    <cellStyle name="Normal 5 7 5 2 5" xfId="37369"/>
    <cellStyle name="Normal 5 7 5 2 5 2" xfId="37370"/>
    <cellStyle name="Normal 5 7 5 2 6" xfId="37371"/>
    <cellStyle name="Normal 5 7 5 2 6 2" xfId="37372"/>
    <cellStyle name="Normal 5 7 5 2 7" xfId="37373"/>
    <cellStyle name="Normal 5 7 5 2 8" xfId="37374"/>
    <cellStyle name="Normal 5 7 5 2 9" xfId="37375"/>
    <cellStyle name="Normal 5 7 5 3" xfId="37376"/>
    <cellStyle name="Normal 5 7 5 3 2" xfId="37377"/>
    <cellStyle name="Normal 5 7 5 3 2 2" xfId="37378"/>
    <cellStyle name="Normal 5 7 5 3 3" xfId="37379"/>
    <cellStyle name="Normal 5 7 5 3 4" xfId="37380"/>
    <cellStyle name="Normal 5 7 5 3 5" xfId="37381"/>
    <cellStyle name="Normal 5 7 5 4" xfId="37382"/>
    <cellStyle name="Normal 5 7 5 4 2" xfId="37383"/>
    <cellStyle name="Normal 5 7 5 5" xfId="37384"/>
    <cellStyle name="Normal 5 7 5 5 2" xfId="37385"/>
    <cellStyle name="Normal 5 7 5 6" xfId="37386"/>
    <cellStyle name="Normal 5 7 5 6 2" xfId="37387"/>
    <cellStyle name="Normal 5 7 5 7" xfId="37388"/>
    <cellStyle name="Normal 5 7 5 7 2" xfId="37389"/>
    <cellStyle name="Normal 5 7 5 8" xfId="37390"/>
    <cellStyle name="Normal 5 7 5 9" xfId="37391"/>
    <cellStyle name="Normal 5 7 6" xfId="37392"/>
    <cellStyle name="Normal 5 7 6 10" xfId="37393"/>
    <cellStyle name="Normal 5 7 6 11" xfId="37394"/>
    <cellStyle name="Normal 5 7 6 12" xfId="37395"/>
    <cellStyle name="Normal 5 7 6 13" xfId="37396"/>
    <cellStyle name="Normal 5 7 6 14" xfId="37397"/>
    <cellStyle name="Normal 5 7 6 15" xfId="37398"/>
    <cellStyle name="Normal 5 7 6 16" xfId="37399"/>
    <cellStyle name="Normal 5 7 6 17" xfId="37400"/>
    <cellStyle name="Normal 5 7 6 2" xfId="37401"/>
    <cellStyle name="Normal 5 7 6 2 10" xfId="37402"/>
    <cellStyle name="Normal 5 7 6 2 11" xfId="37403"/>
    <cellStyle name="Normal 5 7 6 2 12" xfId="37404"/>
    <cellStyle name="Normal 5 7 6 2 13" xfId="37405"/>
    <cellStyle name="Normal 5 7 6 2 2" xfId="37406"/>
    <cellStyle name="Normal 5 7 6 2 2 2" xfId="37407"/>
    <cellStyle name="Normal 5 7 6 2 2 2 2" xfId="37408"/>
    <cellStyle name="Normal 5 7 6 2 2 3" xfId="37409"/>
    <cellStyle name="Normal 5 7 6 2 2 4" xfId="37410"/>
    <cellStyle name="Normal 5 7 6 2 2 5" xfId="37411"/>
    <cellStyle name="Normal 5 7 6 2 3" xfId="37412"/>
    <cellStyle name="Normal 5 7 6 2 3 2" xfId="37413"/>
    <cellStyle name="Normal 5 7 6 2 4" xfId="37414"/>
    <cellStyle name="Normal 5 7 6 2 4 2" xfId="37415"/>
    <cellStyle name="Normal 5 7 6 2 5" xfId="37416"/>
    <cellStyle name="Normal 5 7 6 2 5 2" xfId="37417"/>
    <cellStyle name="Normal 5 7 6 2 6" xfId="37418"/>
    <cellStyle name="Normal 5 7 6 2 6 2" xfId="37419"/>
    <cellStyle name="Normal 5 7 6 2 7" xfId="37420"/>
    <cellStyle name="Normal 5 7 6 2 8" xfId="37421"/>
    <cellStyle name="Normal 5 7 6 2 9" xfId="37422"/>
    <cellStyle name="Normal 5 7 6 3" xfId="37423"/>
    <cellStyle name="Normal 5 7 6 3 2" xfId="37424"/>
    <cellStyle name="Normal 5 7 6 3 2 2" xfId="37425"/>
    <cellStyle name="Normal 5 7 6 3 3" xfId="37426"/>
    <cellStyle name="Normal 5 7 6 3 4" xfId="37427"/>
    <cellStyle name="Normal 5 7 6 3 5" xfId="37428"/>
    <cellStyle name="Normal 5 7 6 4" xfId="37429"/>
    <cellStyle name="Normal 5 7 6 4 2" xfId="37430"/>
    <cellStyle name="Normal 5 7 6 5" xfId="37431"/>
    <cellStyle name="Normal 5 7 6 5 2" xfId="37432"/>
    <cellStyle name="Normal 5 7 6 6" xfId="37433"/>
    <cellStyle name="Normal 5 7 6 6 2" xfId="37434"/>
    <cellStyle name="Normal 5 7 6 7" xfId="37435"/>
    <cellStyle name="Normal 5 7 6 7 2" xfId="37436"/>
    <cellStyle name="Normal 5 7 6 8" xfId="37437"/>
    <cellStyle name="Normal 5 7 6 9" xfId="37438"/>
    <cellStyle name="Normal 5 7 7" xfId="37439"/>
    <cellStyle name="Normal 5 7 7 10" xfId="37440"/>
    <cellStyle name="Normal 5 7 7 11" xfId="37441"/>
    <cellStyle name="Normal 5 7 7 12" xfId="37442"/>
    <cellStyle name="Normal 5 7 7 13" xfId="37443"/>
    <cellStyle name="Normal 5 7 7 14" xfId="37444"/>
    <cellStyle name="Normal 5 7 7 15" xfId="37445"/>
    <cellStyle name="Normal 5 7 7 16" xfId="37446"/>
    <cellStyle name="Normal 5 7 7 17" xfId="37447"/>
    <cellStyle name="Normal 5 7 7 2" xfId="37448"/>
    <cellStyle name="Normal 5 7 7 2 10" xfId="37449"/>
    <cellStyle name="Normal 5 7 7 2 11" xfId="37450"/>
    <cellStyle name="Normal 5 7 7 2 12" xfId="37451"/>
    <cellStyle name="Normal 5 7 7 2 13" xfId="37452"/>
    <cellStyle name="Normal 5 7 7 2 2" xfId="37453"/>
    <cellStyle name="Normal 5 7 7 2 2 2" xfId="37454"/>
    <cellStyle name="Normal 5 7 7 2 2 2 2" xfId="37455"/>
    <cellStyle name="Normal 5 7 7 2 2 3" xfId="37456"/>
    <cellStyle name="Normal 5 7 7 2 2 4" xfId="37457"/>
    <cellStyle name="Normal 5 7 7 2 2 5" xfId="37458"/>
    <cellStyle name="Normal 5 7 7 2 3" xfId="37459"/>
    <cellStyle name="Normal 5 7 7 2 3 2" xfId="37460"/>
    <cellStyle name="Normal 5 7 7 2 4" xfId="37461"/>
    <cellStyle name="Normal 5 7 7 2 4 2" xfId="37462"/>
    <cellStyle name="Normal 5 7 7 2 5" xfId="37463"/>
    <cellStyle name="Normal 5 7 7 2 5 2" xfId="37464"/>
    <cellStyle name="Normal 5 7 7 2 6" xfId="37465"/>
    <cellStyle name="Normal 5 7 7 2 6 2" xfId="37466"/>
    <cellStyle name="Normal 5 7 7 2 7" xfId="37467"/>
    <cellStyle name="Normal 5 7 7 2 8" xfId="37468"/>
    <cellStyle name="Normal 5 7 7 2 9" xfId="37469"/>
    <cellStyle name="Normal 5 7 7 3" xfId="37470"/>
    <cellStyle name="Normal 5 7 7 3 2" xfId="37471"/>
    <cellStyle name="Normal 5 7 7 3 2 2" xfId="37472"/>
    <cellStyle name="Normal 5 7 7 3 3" xfId="37473"/>
    <cellStyle name="Normal 5 7 7 3 4" xfId="37474"/>
    <cellStyle name="Normal 5 7 7 3 5" xfId="37475"/>
    <cellStyle name="Normal 5 7 7 4" xfId="37476"/>
    <cellStyle name="Normal 5 7 7 4 2" xfId="37477"/>
    <cellStyle name="Normal 5 7 7 5" xfId="37478"/>
    <cellStyle name="Normal 5 7 7 5 2" xfId="37479"/>
    <cellStyle name="Normal 5 7 7 6" xfId="37480"/>
    <cellStyle name="Normal 5 7 7 6 2" xfId="37481"/>
    <cellStyle name="Normal 5 7 7 7" xfId="37482"/>
    <cellStyle name="Normal 5 7 7 7 2" xfId="37483"/>
    <cellStyle name="Normal 5 7 7 8" xfId="37484"/>
    <cellStyle name="Normal 5 7 7 9" xfId="37485"/>
    <cellStyle name="Normal 5 7 8" xfId="37486"/>
    <cellStyle name="Normal 5 7 8 10" xfId="37487"/>
    <cellStyle name="Normal 5 7 8 11" xfId="37488"/>
    <cellStyle name="Normal 5 7 8 12" xfId="37489"/>
    <cellStyle name="Normal 5 7 8 13" xfId="37490"/>
    <cellStyle name="Normal 5 7 8 14" xfId="37491"/>
    <cellStyle name="Normal 5 7 8 15" xfId="37492"/>
    <cellStyle name="Normal 5 7 8 2" xfId="37493"/>
    <cellStyle name="Normal 5 7 8 2 2" xfId="37494"/>
    <cellStyle name="Normal 5 7 8 2 2 2" xfId="37495"/>
    <cellStyle name="Normal 5 7 8 2 3" xfId="37496"/>
    <cellStyle name="Normal 5 7 8 2 3 2" xfId="37497"/>
    <cellStyle name="Normal 5 7 8 2 4" xfId="37498"/>
    <cellStyle name="Normal 5 7 8 2 4 2" xfId="37499"/>
    <cellStyle name="Normal 5 7 8 2 5" xfId="37500"/>
    <cellStyle name="Normal 5 7 8 2 5 2" xfId="37501"/>
    <cellStyle name="Normal 5 7 8 2 6" xfId="37502"/>
    <cellStyle name="Normal 5 7 8 2 7" xfId="37503"/>
    <cellStyle name="Normal 5 7 8 2 8" xfId="37504"/>
    <cellStyle name="Normal 5 7 8 2 9" xfId="37505"/>
    <cellStyle name="Normal 5 7 8 3" xfId="37506"/>
    <cellStyle name="Normal 5 7 8 3 2" xfId="37507"/>
    <cellStyle name="Normal 5 7 8 3 2 2" xfId="37508"/>
    <cellStyle name="Normal 5 7 8 3 3" xfId="37509"/>
    <cellStyle name="Normal 5 7 8 3 4" xfId="37510"/>
    <cellStyle name="Normal 5 7 8 3 5" xfId="37511"/>
    <cellStyle name="Normal 5 7 8 4" xfId="37512"/>
    <cellStyle name="Normal 5 7 8 4 2" xfId="37513"/>
    <cellStyle name="Normal 5 7 8 5" xfId="37514"/>
    <cellStyle name="Normal 5 7 8 5 2" xfId="37515"/>
    <cellStyle name="Normal 5 7 8 6" xfId="37516"/>
    <cellStyle name="Normal 5 7 8 6 2" xfId="37517"/>
    <cellStyle name="Normal 5 7 8 7" xfId="37518"/>
    <cellStyle name="Normal 5 7 8 7 2" xfId="37519"/>
    <cellStyle name="Normal 5 7 8 8" xfId="37520"/>
    <cellStyle name="Normal 5 7 8 9" xfId="37521"/>
    <cellStyle name="Normal 5 7 9" xfId="37522"/>
    <cellStyle name="Normal 5 7 9 10" xfId="37523"/>
    <cellStyle name="Normal 5 7 9 11" xfId="37524"/>
    <cellStyle name="Normal 5 7 9 12" xfId="37525"/>
    <cellStyle name="Normal 5 7 9 13" xfId="37526"/>
    <cellStyle name="Normal 5 7 9 14" xfId="37527"/>
    <cellStyle name="Normal 5 7 9 15" xfId="37528"/>
    <cellStyle name="Normal 5 7 9 2" xfId="37529"/>
    <cellStyle name="Normal 5 7 9 2 2" xfId="37530"/>
    <cellStyle name="Normal 5 7 9 2 2 2" xfId="37531"/>
    <cellStyle name="Normal 5 7 9 2 3" xfId="37532"/>
    <cellStyle name="Normal 5 7 9 2 3 2" xfId="37533"/>
    <cellStyle name="Normal 5 7 9 2 4" xfId="37534"/>
    <cellStyle name="Normal 5 7 9 2 4 2" xfId="37535"/>
    <cellStyle name="Normal 5 7 9 2 5" xfId="37536"/>
    <cellStyle name="Normal 5 7 9 2 5 2" xfId="37537"/>
    <cellStyle name="Normal 5 7 9 2 6" xfId="37538"/>
    <cellStyle name="Normal 5 7 9 2 7" xfId="37539"/>
    <cellStyle name="Normal 5 7 9 2 8" xfId="37540"/>
    <cellStyle name="Normal 5 7 9 2 9" xfId="37541"/>
    <cellStyle name="Normal 5 7 9 3" xfId="37542"/>
    <cellStyle name="Normal 5 7 9 3 2" xfId="37543"/>
    <cellStyle name="Normal 5 7 9 3 2 2" xfId="37544"/>
    <cellStyle name="Normal 5 7 9 3 3" xfId="37545"/>
    <cellStyle name="Normal 5 7 9 3 4" xfId="37546"/>
    <cellStyle name="Normal 5 7 9 3 5" xfId="37547"/>
    <cellStyle name="Normal 5 7 9 4" xfId="37548"/>
    <cellStyle name="Normal 5 7 9 4 2" xfId="37549"/>
    <cellStyle name="Normal 5 7 9 5" xfId="37550"/>
    <cellStyle name="Normal 5 7 9 5 2" xfId="37551"/>
    <cellStyle name="Normal 5 7 9 6" xfId="37552"/>
    <cellStyle name="Normal 5 7 9 6 2" xfId="37553"/>
    <cellStyle name="Normal 5 7 9 7" xfId="37554"/>
    <cellStyle name="Normal 5 7 9 7 2" xfId="37555"/>
    <cellStyle name="Normal 5 7 9 8" xfId="37556"/>
    <cellStyle name="Normal 5 7 9 9" xfId="37557"/>
    <cellStyle name="Normal 5 8" xfId="37558"/>
    <cellStyle name="Normal 5 8 10" xfId="37559"/>
    <cellStyle name="Normal 5 8 10 10" xfId="37560"/>
    <cellStyle name="Normal 5 8 10 11" xfId="37561"/>
    <cellStyle name="Normal 5 8 10 12" xfId="37562"/>
    <cellStyle name="Normal 5 8 10 13" xfId="37563"/>
    <cellStyle name="Normal 5 8 10 14" xfId="37564"/>
    <cellStyle name="Normal 5 8 10 2" xfId="37565"/>
    <cellStyle name="Normal 5 8 10 2 2" xfId="37566"/>
    <cellStyle name="Normal 5 8 10 2 2 2" xfId="37567"/>
    <cellStyle name="Normal 5 8 10 2 3" xfId="37568"/>
    <cellStyle name="Normal 5 8 10 2 3 2" xfId="37569"/>
    <cellStyle name="Normal 5 8 10 2 4" xfId="37570"/>
    <cellStyle name="Normal 5 8 10 2 4 2" xfId="37571"/>
    <cellStyle name="Normal 5 8 10 2 5" xfId="37572"/>
    <cellStyle name="Normal 5 8 10 2 5 2" xfId="37573"/>
    <cellStyle name="Normal 5 8 10 2 6" xfId="37574"/>
    <cellStyle name="Normal 5 8 10 2 7" xfId="37575"/>
    <cellStyle name="Normal 5 8 10 2 8" xfId="37576"/>
    <cellStyle name="Normal 5 8 10 2 9" xfId="37577"/>
    <cellStyle name="Normal 5 8 10 3" xfId="37578"/>
    <cellStyle name="Normal 5 8 10 3 2" xfId="37579"/>
    <cellStyle name="Normal 5 8 10 3 2 2" xfId="37580"/>
    <cellStyle name="Normal 5 8 10 3 3" xfId="37581"/>
    <cellStyle name="Normal 5 8 10 3 4" xfId="37582"/>
    <cellStyle name="Normal 5 8 10 3 5" xfId="37583"/>
    <cellStyle name="Normal 5 8 10 4" xfId="37584"/>
    <cellStyle name="Normal 5 8 10 4 2" xfId="37585"/>
    <cellStyle name="Normal 5 8 10 5" xfId="37586"/>
    <cellStyle name="Normal 5 8 10 5 2" xfId="37587"/>
    <cellStyle name="Normal 5 8 10 6" xfId="37588"/>
    <cellStyle name="Normal 5 8 10 6 2" xfId="37589"/>
    <cellStyle name="Normal 5 8 10 7" xfId="37590"/>
    <cellStyle name="Normal 5 8 10 7 2" xfId="37591"/>
    <cellStyle name="Normal 5 8 10 8" xfId="37592"/>
    <cellStyle name="Normal 5 8 10 9" xfId="37593"/>
    <cellStyle name="Normal 5 8 11" xfId="37594"/>
    <cellStyle name="Normal 5 8 11 2" xfId="37595"/>
    <cellStyle name="Normal 5 8 11 2 2" xfId="37596"/>
    <cellStyle name="Normal 5 8 11 3" xfId="37597"/>
    <cellStyle name="Normal 5 8 11 3 2" xfId="37598"/>
    <cellStyle name="Normal 5 8 11 4" xfId="37599"/>
    <cellStyle name="Normal 5 8 11 4 2" xfId="37600"/>
    <cellStyle name="Normal 5 8 11 5" xfId="37601"/>
    <cellStyle name="Normal 5 8 11 5 2" xfId="37602"/>
    <cellStyle name="Normal 5 8 11 6" xfId="37603"/>
    <cellStyle name="Normal 5 8 11 7" xfId="37604"/>
    <cellStyle name="Normal 5 8 11 8" xfId="37605"/>
    <cellStyle name="Normal 5 8 11 9" xfId="37606"/>
    <cellStyle name="Normal 5 8 12" xfId="37607"/>
    <cellStyle name="Normal 5 8 12 2" xfId="37608"/>
    <cellStyle name="Normal 5 8 12 2 2" xfId="37609"/>
    <cellStyle name="Normal 5 8 12 3" xfId="37610"/>
    <cellStyle name="Normal 5 8 12 4" xfId="37611"/>
    <cellStyle name="Normal 5 8 12 5" xfId="37612"/>
    <cellStyle name="Normal 5 8 13" xfId="37613"/>
    <cellStyle name="Normal 5 8 13 2" xfId="37614"/>
    <cellStyle name="Normal 5 8 14" xfId="37615"/>
    <cellStyle name="Normal 5 8 14 2" xfId="37616"/>
    <cellStyle name="Normal 5 8 15" xfId="37617"/>
    <cellStyle name="Normal 5 8 15 2" xfId="37618"/>
    <cellStyle name="Normal 5 8 16" xfId="37619"/>
    <cellStyle name="Normal 5 8 16 2" xfId="37620"/>
    <cellStyle name="Normal 5 8 17" xfId="37621"/>
    <cellStyle name="Normal 5 8 18" xfId="37622"/>
    <cellStyle name="Normal 5 8 19" xfId="37623"/>
    <cellStyle name="Normal 5 8 2" xfId="37624"/>
    <cellStyle name="Normal 5 8 2 10" xfId="37625"/>
    <cellStyle name="Normal 5 8 2 11" xfId="37626"/>
    <cellStyle name="Normal 5 8 2 12" xfId="37627"/>
    <cellStyle name="Normal 5 8 2 13" xfId="37628"/>
    <cellStyle name="Normal 5 8 2 14" xfId="37629"/>
    <cellStyle name="Normal 5 8 2 15" xfId="37630"/>
    <cellStyle name="Normal 5 8 2 16" xfId="37631"/>
    <cellStyle name="Normal 5 8 2 17" xfId="37632"/>
    <cellStyle name="Normal 5 8 2 18" xfId="37633"/>
    <cellStyle name="Normal 5 8 2 2" xfId="37634"/>
    <cellStyle name="Normal 5 8 2 2 10" xfId="37635"/>
    <cellStyle name="Normal 5 8 2 2 11" xfId="37636"/>
    <cellStyle name="Normal 5 8 2 2 12" xfId="37637"/>
    <cellStyle name="Normal 5 8 2 2 13" xfId="37638"/>
    <cellStyle name="Normal 5 8 2 2 2" xfId="37639"/>
    <cellStyle name="Normal 5 8 2 2 2 2" xfId="37640"/>
    <cellStyle name="Normal 5 8 2 2 2 2 2" xfId="37641"/>
    <cellStyle name="Normal 5 8 2 2 2 3" xfId="37642"/>
    <cellStyle name="Normal 5 8 2 2 2 4" xfId="37643"/>
    <cellStyle name="Normal 5 8 2 2 2 5" xfId="37644"/>
    <cellStyle name="Normal 5 8 2 2 3" xfId="37645"/>
    <cellStyle name="Normal 5 8 2 2 3 2" xfId="37646"/>
    <cellStyle name="Normal 5 8 2 2 4" xfId="37647"/>
    <cellStyle name="Normal 5 8 2 2 4 2" xfId="37648"/>
    <cellStyle name="Normal 5 8 2 2 5" xfId="37649"/>
    <cellStyle name="Normal 5 8 2 2 5 2" xfId="37650"/>
    <cellStyle name="Normal 5 8 2 2 6" xfId="37651"/>
    <cellStyle name="Normal 5 8 2 2 6 2" xfId="37652"/>
    <cellStyle name="Normal 5 8 2 2 7" xfId="37653"/>
    <cellStyle name="Normal 5 8 2 2 8" xfId="37654"/>
    <cellStyle name="Normal 5 8 2 2 9" xfId="37655"/>
    <cellStyle name="Normal 5 8 2 3" xfId="37656"/>
    <cellStyle name="Normal 5 8 2 3 2" xfId="37657"/>
    <cellStyle name="Normal 5 8 2 3 2 2" xfId="37658"/>
    <cellStyle name="Normal 5 8 2 3 3" xfId="37659"/>
    <cellStyle name="Normal 5 8 2 3 4" xfId="37660"/>
    <cellStyle name="Normal 5 8 2 3 5" xfId="37661"/>
    <cellStyle name="Normal 5 8 2 4" xfId="37662"/>
    <cellStyle name="Normal 5 8 2 4 2" xfId="37663"/>
    <cellStyle name="Normal 5 8 2 5" xfId="37664"/>
    <cellStyle name="Normal 5 8 2 5 2" xfId="37665"/>
    <cellStyle name="Normal 5 8 2 6" xfId="37666"/>
    <cellStyle name="Normal 5 8 2 6 2" xfId="37667"/>
    <cellStyle name="Normal 5 8 2 7" xfId="37668"/>
    <cellStyle name="Normal 5 8 2 7 2" xfId="37669"/>
    <cellStyle name="Normal 5 8 2 8" xfId="37670"/>
    <cellStyle name="Normal 5 8 2 9" xfId="37671"/>
    <cellStyle name="Normal 5 8 20" xfId="37672"/>
    <cellStyle name="Normal 5 8 21" xfId="37673"/>
    <cellStyle name="Normal 5 8 22" xfId="37674"/>
    <cellStyle name="Normal 5 8 23" xfId="37675"/>
    <cellStyle name="Normal 5 8 24" xfId="37676"/>
    <cellStyle name="Normal 5 8 25" xfId="37677"/>
    <cellStyle name="Normal 5 8 3" xfId="37678"/>
    <cellStyle name="Normal 5 8 3 10" xfId="37679"/>
    <cellStyle name="Normal 5 8 3 11" xfId="37680"/>
    <cellStyle name="Normal 5 8 3 12" xfId="37681"/>
    <cellStyle name="Normal 5 8 3 13" xfId="37682"/>
    <cellStyle name="Normal 5 8 3 14" xfId="37683"/>
    <cellStyle name="Normal 5 8 3 15" xfId="37684"/>
    <cellStyle name="Normal 5 8 3 16" xfId="37685"/>
    <cellStyle name="Normal 5 8 3 17" xfId="37686"/>
    <cellStyle name="Normal 5 8 3 18" xfId="37687"/>
    <cellStyle name="Normal 5 8 3 2" xfId="37688"/>
    <cellStyle name="Normal 5 8 3 2 10" xfId="37689"/>
    <cellStyle name="Normal 5 8 3 2 11" xfId="37690"/>
    <cellStyle name="Normal 5 8 3 2 12" xfId="37691"/>
    <cellStyle name="Normal 5 8 3 2 13" xfId="37692"/>
    <cellStyle name="Normal 5 8 3 2 2" xfId="37693"/>
    <cellStyle name="Normal 5 8 3 2 2 2" xfId="37694"/>
    <cellStyle name="Normal 5 8 3 2 2 2 2" xfId="37695"/>
    <cellStyle name="Normal 5 8 3 2 2 3" xfId="37696"/>
    <cellStyle name="Normal 5 8 3 2 2 4" xfId="37697"/>
    <cellStyle name="Normal 5 8 3 2 2 5" xfId="37698"/>
    <cellStyle name="Normal 5 8 3 2 3" xfId="37699"/>
    <cellStyle name="Normal 5 8 3 2 3 2" xfId="37700"/>
    <cellStyle name="Normal 5 8 3 2 4" xfId="37701"/>
    <cellStyle name="Normal 5 8 3 2 4 2" xfId="37702"/>
    <cellStyle name="Normal 5 8 3 2 5" xfId="37703"/>
    <cellStyle name="Normal 5 8 3 2 5 2" xfId="37704"/>
    <cellStyle name="Normal 5 8 3 2 6" xfId="37705"/>
    <cellStyle name="Normal 5 8 3 2 6 2" xfId="37706"/>
    <cellStyle name="Normal 5 8 3 2 7" xfId="37707"/>
    <cellStyle name="Normal 5 8 3 2 8" xfId="37708"/>
    <cellStyle name="Normal 5 8 3 2 9" xfId="37709"/>
    <cellStyle name="Normal 5 8 3 3" xfId="37710"/>
    <cellStyle name="Normal 5 8 3 3 2" xfId="37711"/>
    <cellStyle name="Normal 5 8 3 3 2 2" xfId="37712"/>
    <cellStyle name="Normal 5 8 3 3 3" xfId="37713"/>
    <cellStyle name="Normal 5 8 3 3 4" xfId="37714"/>
    <cellStyle name="Normal 5 8 3 3 5" xfId="37715"/>
    <cellStyle name="Normal 5 8 3 4" xfId="37716"/>
    <cellStyle name="Normal 5 8 3 4 2" xfId="37717"/>
    <cellStyle name="Normal 5 8 3 5" xfId="37718"/>
    <cellStyle name="Normal 5 8 3 5 2" xfId="37719"/>
    <cellStyle name="Normal 5 8 3 6" xfId="37720"/>
    <cellStyle name="Normal 5 8 3 6 2" xfId="37721"/>
    <cellStyle name="Normal 5 8 3 7" xfId="37722"/>
    <cellStyle name="Normal 5 8 3 7 2" xfId="37723"/>
    <cellStyle name="Normal 5 8 3 8" xfId="37724"/>
    <cellStyle name="Normal 5 8 3 9" xfId="37725"/>
    <cellStyle name="Normal 5 8 4" xfId="37726"/>
    <cellStyle name="Normal 5 8 4 10" xfId="37727"/>
    <cellStyle name="Normal 5 8 4 11" xfId="37728"/>
    <cellStyle name="Normal 5 8 4 12" xfId="37729"/>
    <cellStyle name="Normal 5 8 4 13" xfId="37730"/>
    <cellStyle name="Normal 5 8 4 14" xfId="37731"/>
    <cellStyle name="Normal 5 8 4 15" xfId="37732"/>
    <cellStyle name="Normal 5 8 4 16" xfId="37733"/>
    <cellStyle name="Normal 5 8 4 17" xfId="37734"/>
    <cellStyle name="Normal 5 8 4 18" xfId="37735"/>
    <cellStyle name="Normal 5 8 4 2" xfId="37736"/>
    <cellStyle name="Normal 5 8 4 2 10" xfId="37737"/>
    <cellStyle name="Normal 5 8 4 2 11" xfId="37738"/>
    <cellStyle name="Normal 5 8 4 2 12" xfId="37739"/>
    <cellStyle name="Normal 5 8 4 2 13" xfId="37740"/>
    <cellStyle name="Normal 5 8 4 2 2" xfId="37741"/>
    <cellStyle name="Normal 5 8 4 2 2 2" xfId="37742"/>
    <cellStyle name="Normal 5 8 4 2 2 2 2" xfId="37743"/>
    <cellStyle name="Normal 5 8 4 2 2 3" xfId="37744"/>
    <cellStyle name="Normal 5 8 4 2 2 4" xfId="37745"/>
    <cellStyle name="Normal 5 8 4 2 2 5" xfId="37746"/>
    <cellStyle name="Normal 5 8 4 2 3" xfId="37747"/>
    <cellStyle name="Normal 5 8 4 2 3 2" xfId="37748"/>
    <cellStyle name="Normal 5 8 4 2 4" xfId="37749"/>
    <cellStyle name="Normal 5 8 4 2 4 2" xfId="37750"/>
    <cellStyle name="Normal 5 8 4 2 5" xfId="37751"/>
    <cellStyle name="Normal 5 8 4 2 5 2" xfId="37752"/>
    <cellStyle name="Normal 5 8 4 2 6" xfId="37753"/>
    <cellStyle name="Normal 5 8 4 2 6 2" xfId="37754"/>
    <cellStyle name="Normal 5 8 4 2 7" xfId="37755"/>
    <cellStyle name="Normal 5 8 4 2 8" xfId="37756"/>
    <cellStyle name="Normal 5 8 4 2 9" xfId="37757"/>
    <cellStyle name="Normal 5 8 4 3" xfId="37758"/>
    <cellStyle name="Normal 5 8 4 3 2" xfId="37759"/>
    <cellStyle name="Normal 5 8 4 3 2 2" xfId="37760"/>
    <cellStyle name="Normal 5 8 4 3 3" xfId="37761"/>
    <cellStyle name="Normal 5 8 4 3 4" xfId="37762"/>
    <cellStyle name="Normal 5 8 4 3 5" xfId="37763"/>
    <cellStyle name="Normal 5 8 4 4" xfId="37764"/>
    <cellStyle name="Normal 5 8 4 4 2" xfId="37765"/>
    <cellStyle name="Normal 5 8 4 5" xfId="37766"/>
    <cellStyle name="Normal 5 8 4 5 2" xfId="37767"/>
    <cellStyle name="Normal 5 8 4 6" xfId="37768"/>
    <cellStyle name="Normal 5 8 4 6 2" xfId="37769"/>
    <cellStyle name="Normal 5 8 4 7" xfId="37770"/>
    <cellStyle name="Normal 5 8 4 7 2" xfId="37771"/>
    <cellStyle name="Normal 5 8 4 8" xfId="37772"/>
    <cellStyle name="Normal 5 8 4 9" xfId="37773"/>
    <cellStyle name="Normal 5 8 5" xfId="37774"/>
    <cellStyle name="Normal 5 8 5 10" xfId="37775"/>
    <cellStyle name="Normal 5 8 5 11" xfId="37776"/>
    <cellStyle name="Normal 5 8 5 12" xfId="37777"/>
    <cellStyle name="Normal 5 8 5 13" xfId="37778"/>
    <cellStyle name="Normal 5 8 5 14" xfId="37779"/>
    <cellStyle name="Normal 5 8 5 15" xfId="37780"/>
    <cellStyle name="Normal 5 8 5 16" xfId="37781"/>
    <cellStyle name="Normal 5 8 5 17" xfId="37782"/>
    <cellStyle name="Normal 5 8 5 2" xfId="37783"/>
    <cellStyle name="Normal 5 8 5 2 10" xfId="37784"/>
    <cellStyle name="Normal 5 8 5 2 11" xfId="37785"/>
    <cellStyle name="Normal 5 8 5 2 12" xfId="37786"/>
    <cellStyle name="Normal 5 8 5 2 13" xfId="37787"/>
    <cellStyle name="Normal 5 8 5 2 2" xfId="37788"/>
    <cellStyle name="Normal 5 8 5 2 2 2" xfId="37789"/>
    <cellStyle name="Normal 5 8 5 2 2 2 2" xfId="37790"/>
    <cellStyle name="Normal 5 8 5 2 2 3" xfId="37791"/>
    <cellStyle name="Normal 5 8 5 2 2 4" xfId="37792"/>
    <cellStyle name="Normal 5 8 5 2 2 5" xfId="37793"/>
    <cellStyle name="Normal 5 8 5 2 3" xfId="37794"/>
    <cellStyle name="Normal 5 8 5 2 3 2" xfId="37795"/>
    <cellStyle name="Normal 5 8 5 2 4" xfId="37796"/>
    <cellStyle name="Normal 5 8 5 2 4 2" xfId="37797"/>
    <cellStyle name="Normal 5 8 5 2 5" xfId="37798"/>
    <cellStyle name="Normal 5 8 5 2 5 2" xfId="37799"/>
    <cellStyle name="Normal 5 8 5 2 6" xfId="37800"/>
    <cellStyle name="Normal 5 8 5 2 6 2" xfId="37801"/>
    <cellStyle name="Normal 5 8 5 2 7" xfId="37802"/>
    <cellStyle name="Normal 5 8 5 2 8" xfId="37803"/>
    <cellStyle name="Normal 5 8 5 2 9" xfId="37804"/>
    <cellStyle name="Normal 5 8 5 3" xfId="37805"/>
    <cellStyle name="Normal 5 8 5 3 2" xfId="37806"/>
    <cellStyle name="Normal 5 8 5 3 2 2" xfId="37807"/>
    <cellStyle name="Normal 5 8 5 3 3" xfId="37808"/>
    <cellStyle name="Normal 5 8 5 3 4" xfId="37809"/>
    <cellStyle name="Normal 5 8 5 3 5" xfId="37810"/>
    <cellStyle name="Normal 5 8 5 4" xfId="37811"/>
    <cellStyle name="Normal 5 8 5 4 2" xfId="37812"/>
    <cellStyle name="Normal 5 8 5 5" xfId="37813"/>
    <cellStyle name="Normal 5 8 5 5 2" xfId="37814"/>
    <cellStyle name="Normal 5 8 5 6" xfId="37815"/>
    <cellStyle name="Normal 5 8 5 6 2" xfId="37816"/>
    <cellStyle name="Normal 5 8 5 7" xfId="37817"/>
    <cellStyle name="Normal 5 8 5 7 2" xfId="37818"/>
    <cellStyle name="Normal 5 8 5 8" xfId="37819"/>
    <cellStyle name="Normal 5 8 5 9" xfId="37820"/>
    <cellStyle name="Normal 5 8 6" xfId="37821"/>
    <cellStyle name="Normal 5 8 6 10" xfId="37822"/>
    <cellStyle name="Normal 5 8 6 11" xfId="37823"/>
    <cellStyle name="Normal 5 8 6 12" xfId="37824"/>
    <cellStyle name="Normal 5 8 6 13" xfId="37825"/>
    <cellStyle name="Normal 5 8 6 14" xfId="37826"/>
    <cellStyle name="Normal 5 8 6 15" xfId="37827"/>
    <cellStyle name="Normal 5 8 6 16" xfId="37828"/>
    <cellStyle name="Normal 5 8 6 17" xfId="37829"/>
    <cellStyle name="Normal 5 8 6 2" xfId="37830"/>
    <cellStyle name="Normal 5 8 6 2 10" xfId="37831"/>
    <cellStyle name="Normal 5 8 6 2 11" xfId="37832"/>
    <cellStyle name="Normal 5 8 6 2 12" xfId="37833"/>
    <cellStyle name="Normal 5 8 6 2 13" xfId="37834"/>
    <cellStyle name="Normal 5 8 6 2 2" xfId="37835"/>
    <cellStyle name="Normal 5 8 6 2 2 2" xfId="37836"/>
    <cellStyle name="Normal 5 8 6 2 2 2 2" xfId="37837"/>
    <cellStyle name="Normal 5 8 6 2 2 3" xfId="37838"/>
    <cellStyle name="Normal 5 8 6 2 2 4" xfId="37839"/>
    <cellStyle name="Normal 5 8 6 2 2 5" xfId="37840"/>
    <cellStyle name="Normal 5 8 6 2 3" xfId="37841"/>
    <cellStyle name="Normal 5 8 6 2 3 2" xfId="37842"/>
    <cellStyle name="Normal 5 8 6 2 4" xfId="37843"/>
    <cellStyle name="Normal 5 8 6 2 4 2" xfId="37844"/>
    <cellStyle name="Normal 5 8 6 2 5" xfId="37845"/>
    <cellStyle name="Normal 5 8 6 2 5 2" xfId="37846"/>
    <cellStyle name="Normal 5 8 6 2 6" xfId="37847"/>
    <cellStyle name="Normal 5 8 6 2 6 2" xfId="37848"/>
    <cellStyle name="Normal 5 8 6 2 7" xfId="37849"/>
    <cellStyle name="Normal 5 8 6 2 8" xfId="37850"/>
    <cellStyle name="Normal 5 8 6 2 9" xfId="37851"/>
    <cellStyle name="Normal 5 8 6 3" xfId="37852"/>
    <cellStyle name="Normal 5 8 6 3 2" xfId="37853"/>
    <cellStyle name="Normal 5 8 6 3 2 2" xfId="37854"/>
    <cellStyle name="Normal 5 8 6 3 3" xfId="37855"/>
    <cellStyle name="Normal 5 8 6 3 4" xfId="37856"/>
    <cellStyle name="Normal 5 8 6 3 5" xfId="37857"/>
    <cellStyle name="Normal 5 8 6 4" xfId="37858"/>
    <cellStyle name="Normal 5 8 6 4 2" xfId="37859"/>
    <cellStyle name="Normal 5 8 6 5" xfId="37860"/>
    <cellStyle name="Normal 5 8 6 5 2" xfId="37861"/>
    <cellStyle name="Normal 5 8 6 6" xfId="37862"/>
    <cellStyle name="Normal 5 8 6 6 2" xfId="37863"/>
    <cellStyle name="Normal 5 8 6 7" xfId="37864"/>
    <cellStyle name="Normal 5 8 6 7 2" xfId="37865"/>
    <cellStyle name="Normal 5 8 6 8" xfId="37866"/>
    <cellStyle name="Normal 5 8 6 9" xfId="37867"/>
    <cellStyle name="Normal 5 8 7" xfId="37868"/>
    <cellStyle name="Normal 5 8 7 10" xfId="37869"/>
    <cellStyle name="Normal 5 8 7 11" xfId="37870"/>
    <cellStyle name="Normal 5 8 7 12" xfId="37871"/>
    <cellStyle name="Normal 5 8 7 13" xfId="37872"/>
    <cellStyle name="Normal 5 8 7 14" xfId="37873"/>
    <cellStyle name="Normal 5 8 7 15" xfId="37874"/>
    <cellStyle name="Normal 5 8 7 16" xfId="37875"/>
    <cellStyle name="Normal 5 8 7 17" xfId="37876"/>
    <cellStyle name="Normal 5 8 7 2" xfId="37877"/>
    <cellStyle name="Normal 5 8 7 2 10" xfId="37878"/>
    <cellStyle name="Normal 5 8 7 2 11" xfId="37879"/>
    <cellStyle name="Normal 5 8 7 2 12" xfId="37880"/>
    <cellStyle name="Normal 5 8 7 2 13" xfId="37881"/>
    <cellStyle name="Normal 5 8 7 2 2" xfId="37882"/>
    <cellStyle name="Normal 5 8 7 2 2 2" xfId="37883"/>
    <cellStyle name="Normal 5 8 7 2 2 2 2" xfId="37884"/>
    <cellStyle name="Normal 5 8 7 2 2 3" xfId="37885"/>
    <cellStyle name="Normal 5 8 7 2 2 4" xfId="37886"/>
    <cellStyle name="Normal 5 8 7 2 2 5" xfId="37887"/>
    <cellStyle name="Normal 5 8 7 2 3" xfId="37888"/>
    <cellStyle name="Normal 5 8 7 2 3 2" xfId="37889"/>
    <cellStyle name="Normal 5 8 7 2 4" xfId="37890"/>
    <cellStyle name="Normal 5 8 7 2 4 2" xfId="37891"/>
    <cellStyle name="Normal 5 8 7 2 5" xfId="37892"/>
    <cellStyle name="Normal 5 8 7 2 5 2" xfId="37893"/>
    <cellStyle name="Normal 5 8 7 2 6" xfId="37894"/>
    <cellStyle name="Normal 5 8 7 2 6 2" xfId="37895"/>
    <cellStyle name="Normal 5 8 7 2 7" xfId="37896"/>
    <cellStyle name="Normal 5 8 7 2 8" xfId="37897"/>
    <cellStyle name="Normal 5 8 7 2 9" xfId="37898"/>
    <cellStyle name="Normal 5 8 7 3" xfId="37899"/>
    <cellStyle name="Normal 5 8 7 3 2" xfId="37900"/>
    <cellStyle name="Normal 5 8 7 3 2 2" xfId="37901"/>
    <cellStyle name="Normal 5 8 7 3 3" xfId="37902"/>
    <cellStyle name="Normal 5 8 7 3 4" xfId="37903"/>
    <cellStyle name="Normal 5 8 7 3 5" xfId="37904"/>
    <cellStyle name="Normal 5 8 7 4" xfId="37905"/>
    <cellStyle name="Normal 5 8 7 4 2" xfId="37906"/>
    <cellStyle name="Normal 5 8 7 5" xfId="37907"/>
    <cellStyle name="Normal 5 8 7 5 2" xfId="37908"/>
    <cellStyle name="Normal 5 8 7 6" xfId="37909"/>
    <cellStyle name="Normal 5 8 7 6 2" xfId="37910"/>
    <cellStyle name="Normal 5 8 7 7" xfId="37911"/>
    <cellStyle name="Normal 5 8 7 7 2" xfId="37912"/>
    <cellStyle name="Normal 5 8 7 8" xfId="37913"/>
    <cellStyle name="Normal 5 8 7 9" xfId="37914"/>
    <cellStyle name="Normal 5 8 8" xfId="37915"/>
    <cellStyle name="Normal 5 8 8 10" xfId="37916"/>
    <cellStyle name="Normal 5 8 8 11" xfId="37917"/>
    <cellStyle name="Normal 5 8 8 12" xfId="37918"/>
    <cellStyle name="Normal 5 8 8 13" xfId="37919"/>
    <cellStyle name="Normal 5 8 8 14" xfId="37920"/>
    <cellStyle name="Normal 5 8 8 15" xfId="37921"/>
    <cellStyle name="Normal 5 8 8 2" xfId="37922"/>
    <cellStyle name="Normal 5 8 8 2 2" xfId="37923"/>
    <cellStyle name="Normal 5 8 8 2 2 2" xfId="37924"/>
    <cellStyle name="Normal 5 8 8 2 3" xfId="37925"/>
    <cellStyle name="Normal 5 8 8 2 3 2" xfId="37926"/>
    <cellStyle name="Normal 5 8 8 2 4" xfId="37927"/>
    <cellStyle name="Normal 5 8 8 2 4 2" xfId="37928"/>
    <cellStyle name="Normal 5 8 8 2 5" xfId="37929"/>
    <cellStyle name="Normal 5 8 8 2 5 2" xfId="37930"/>
    <cellStyle name="Normal 5 8 8 2 6" xfId="37931"/>
    <cellStyle name="Normal 5 8 8 2 7" xfId="37932"/>
    <cellStyle name="Normal 5 8 8 2 8" xfId="37933"/>
    <cellStyle name="Normal 5 8 8 2 9" xfId="37934"/>
    <cellStyle name="Normal 5 8 8 3" xfId="37935"/>
    <cellStyle name="Normal 5 8 8 3 2" xfId="37936"/>
    <cellStyle name="Normal 5 8 8 3 2 2" xfId="37937"/>
    <cellStyle name="Normal 5 8 8 3 3" xfId="37938"/>
    <cellStyle name="Normal 5 8 8 3 4" xfId="37939"/>
    <cellStyle name="Normal 5 8 8 3 5" xfId="37940"/>
    <cellStyle name="Normal 5 8 8 4" xfId="37941"/>
    <cellStyle name="Normal 5 8 8 4 2" xfId="37942"/>
    <cellStyle name="Normal 5 8 8 5" xfId="37943"/>
    <cellStyle name="Normal 5 8 8 5 2" xfId="37944"/>
    <cellStyle name="Normal 5 8 8 6" xfId="37945"/>
    <cellStyle name="Normal 5 8 8 6 2" xfId="37946"/>
    <cellStyle name="Normal 5 8 8 7" xfId="37947"/>
    <cellStyle name="Normal 5 8 8 7 2" xfId="37948"/>
    <cellStyle name="Normal 5 8 8 8" xfId="37949"/>
    <cellStyle name="Normal 5 8 8 9" xfId="37950"/>
    <cellStyle name="Normal 5 8 9" xfId="37951"/>
    <cellStyle name="Normal 5 8 9 10" xfId="37952"/>
    <cellStyle name="Normal 5 8 9 11" xfId="37953"/>
    <cellStyle name="Normal 5 8 9 12" xfId="37954"/>
    <cellStyle name="Normal 5 8 9 13" xfId="37955"/>
    <cellStyle name="Normal 5 8 9 14" xfId="37956"/>
    <cellStyle name="Normal 5 8 9 15" xfId="37957"/>
    <cellStyle name="Normal 5 8 9 2" xfId="37958"/>
    <cellStyle name="Normal 5 8 9 2 2" xfId="37959"/>
    <cellStyle name="Normal 5 8 9 2 2 2" xfId="37960"/>
    <cellStyle name="Normal 5 8 9 2 3" xfId="37961"/>
    <cellStyle name="Normal 5 8 9 2 3 2" xfId="37962"/>
    <cellStyle name="Normal 5 8 9 2 4" xfId="37963"/>
    <cellStyle name="Normal 5 8 9 2 4 2" xfId="37964"/>
    <cellStyle name="Normal 5 8 9 2 5" xfId="37965"/>
    <cellStyle name="Normal 5 8 9 2 5 2" xfId="37966"/>
    <cellStyle name="Normal 5 8 9 2 6" xfId="37967"/>
    <cellStyle name="Normal 5 8 9 2 7" xfId="37968"/>
    <cellStyle name="Normal 5 8 9 2 8" xfId="37969"/>
    <cellStyle name="Normal 5 8 9 2 9" xfId="37970"/>
    <cellStyle name="Normal 5 8 9 3" xfId="37971"/>
    <cellStyle name="Normal 5 8 9 3 2" xfId="37972"/>
    <cellStyle name="Normal 5 8 9 3 2 2" xfId="37973"/>
    <cellStyle name="Normal 5 8 9 3 3" xfId="37974"/>
    <cellStyle name="Normal 5 8 9 3 4" xfId="37975"/>
    <cellStyle name="Normal 5 8 9 3 5" xfId="37976"/>
    <cellStyle name="Normal 5 8 9 4" xfId="37977"/>
    <cellStyle name="Normal 5 8 9 4 2" xfId="37978"/>
    <cellStyle name="Normal 5 8 9 5" xfId="37979"/>
    <cellStyle name="Normal 5 8 9 5 2" xfId="37980"/>
    <cellStyle name="Normal 5 8 9 6" xfId="37981"/>
    <cellStyle name="Normal 5 8 9 6 2" xfId="37982"/>
    <cellStyle name="Normal 5 8 9 7" xfId="37983"/>
    <cellStyle name="Normal 5 8 9 7 2" xfId="37984"/>
    <cellStyle name="Normal 5 8 9 8" xfId="37985"/>
    <cellStyle name="Normal 5 8 9 9" xfId="37986"/>
    <cellStyle name="Normal 5 9" xfId="37987"/>
    <cellStyle name="Normal 5 9 10" xfId="37988"/>
    <cellStyle name="Normal 5 9 10 10" xfId="37989"/>
    <cellStyle name="Normal 5 9 10 11" xfId="37990"/>
    <cellStyle name="Normal 5 9 10 12" xfId="37991"/>
    <cellStyle name="Normal 5 9 10 13" xfId="37992"/>
    <cellStyle name="Normal 5 9 10 14" xfId="37993"/>
    <cellStyle name="Normal 5 9 10 2" xfId="37994"/>
    <cellStyle name="Normal 5 9 10 2 2" xfId="37995"/>
    <cellStyle name="Normal 5 9 10 2 2 2" xfId="37996"/>
    <cellStyle name="Normal 5 9 10 2 3" xfId="37997"/>
    <cellStyle name="Normal 5 9 10 2 3 2" xfId="37998"/>
    <cellStyle name="Normal 5 9 10 2 4" xfId="37999"/>
    <cellStyle name="Normal 5 9 10 2 4 2" xfId="38000"/>
    <cellStyle name="Normal 5 9 10 2 5" xfId="38001"/>
    <cellStyle name="Normal 5 9 10 2 5 2" xfId="38002"/>
    <cellStyle name="Normal 5 9 10 2 6" xfId="38003"/>
    <cellStyle name="Normal 5 9 10 2 7" xfId="38004"/>
    <cellStyle name="Normal 5 9 10 2 8" xfId="38005"/>
    <cellStyle name="Normal 5 9 10 2 9" xfId="38006"/>
    <cellStyle name="Normal 5 9 10 3" xfId="38007"/>
    <cellStyle name="Normal 5 9 10 3 2" xfId="38008"/>
    <cellStyle name="Normal 5 9 10 3 2 2" xfId="38009"/>
    <cellStyle name="Normal 5 9 10 3 3" xfId="38010"/>
    <cellStyle name="Normal 5 9 10 3 4" xfId="38011"/>
    <cellStyle name="Normal 5 9 10 3 5" xfId="38012"/>
    <cellStyle name="Normal 5 9 10 4" xfId="38013"/>
    <cellStyle name="Normal 5 9 10 4 2" xfId="38014"/>
    <cellStyle name="Normal 5 9 10 5" xfId="38015"/>
    <cellStyle name="Normal 5 9 10 5 2" xfId="38016"/>
    <cellStyle name="Normal 5 9 10 6" xfId="38017"/>
    <cellStyle name="Normal 5 9 10 6 2" xfId="38018"/>
    <cellStyle name="Normal 5 9 10 7" xfId="38019"/>
    <cellStyle name="Normal 5 9 10 7 2" xfId="38020"/>
    <cellStyle name="Normal 5 9 10 8" xfId="38021"/>
    <cellStyle name="Normal 5 9 10 9" xfId="38022"/>
    <cellStyle name="Normal 5 9 11" xfId="38023"/>
    <cellStyle name="Normal 5 9 11 2" xfId="38024"/>
    <cellStyle name="Normal 5 9 11 2 2" xfId="38025"/>
    <cellStyle name="Normal 5 9 11 3" xfId="38026"/>
    <cellStyle name="Normal 5 9 11 3 2" xfId="38027"/>
    <cellStyle name="Normal 5 9 11 4" xfId="38028"/>
    <cellStyle name="Normal 5 9 11 4 2" xfId="38029"/>
    <cellStyle name="Normal 5 9 11 5" xfId="38030"/>
    <cellStyle name="Normal 5 9 11 5 2" xfId="38031"/>
    <cellStyle name="Normal 5 9 11 6" xfId="38032"/>
    <cellStyle name="Normal 5 9 11 7" xfId="38033"/>
    <cellStyle name="Normal 5 9 11 8" xfId="38034"/>
    <cellStyle name="Normal 5 9 11 9" xfId="38035"/>
    <cellStyle name="Normal 5 9 12" xfId="38036"/>
    <cellStyle name="Normal 5 9 12 2" xfId="38037"/>
    <cellStyle name="Normal 5 9 12 2 2" xfId="38038"/>
    <cellStyle name="Normal 5 9 12 3" xfId="38039"/>
    <cellStyle name="Normal 5 9 12 4" xfId="38040"/>
    <cellStyle name="Normal 5 9 12 5" xfId="38041"/>
    <cellStyle name="Normal 5 9 13" xfId="38042"/>
    <cellStyle name="Normal 5 9 13 2" xfId="38043"/>
    <cellStyle name="Normal 5 9 14" xfId="38044"/>
    <cellStyle name="Normal 5 9 14 2" xfId="38045"/>
    <cellStyle name="Normal 5 9 15" xfId="38046"/>
    <cellStyle name="Normal 5 9 15 2" xfId="38047"/>
    <cellStyle name="Normal 5 9 16" xfId="38048"/>
    <cellStyle name="Normal 5 9 16 2" xfId="38049"/>
    <cellStyle name="Normal 5 9 17" xfId="38050"/>
    <cellStyle name="Normal 5 9 18" xfId="38051"/>
    <cellStyle name="Normal 5 9 19" xfId="38052"/>
    <cellStyle name="Normal 5 9 2" xfId="38053"/>
    <cellStyle name="Normal 5 9 2 10" xfId="38054"/>
    <cellStyle name="Normal 5 9 2 11" xfId="38055"/>
    <cellStyle name="Normal 5 9 2 12" xfId="38056"/>
    <cellStyle name="Normal 5 9 2 13" xfId="38057"/>
    <cellStyle name="Normal 5 9 2 14" xfId="38058"/>
    <cellStyle name="Normal 5 9 2 15" xfId="38059"/>
    <cellStyle name="Normal 5 9 2 16" xfId="38060"/>
    <cellStyle name="Normal 5 9 2 17" xfId="38061"/>
    <cellStyle name="Normal 5 9 2 18" xfId="38062"/>
    <cellStyle name="Normal 5 9 2 2" xfId="38063"/>
    <cellStyle name="Normal 5 9 2 2 10" xfId="38064"/>
    <cellStyle name="Normal 5 9 2 2 11" xfId="38065"/>
    <cellStyle name="Normal 5 9 2 2 12" xfId="38066"/>
    <cellStyle name="Normal 5 9 2 2 13" xfId="38067"/>
    <cellStyle name="Normal 5 9 2 2 2" xfId="38068"/>
    <cellStyle name="Normal 5 9 2 2 2 2" xfId="38069"/>
    <cellStyle name="Normal 5 9 2 2 2 2 2" xfId="38070"/>
    <cellStyle name="Normal 5 9 2 2 2 3" xfId="38071"/>
    <cellStyle name="Normal 5 9 2 2 2 4" xfId="38072"/>
    <cellStyle name="Normal 5 9 2 2 2 5" xfId="38073"/>
    <cellStyle name="Normal 5 9 2 2 3" xfId="38074"/>
    <cellStyle name="Normal 5 9 2 2 3 2" xfId="38075"/>
    <cellStyle name="Normal 5 9 2 2 4" xfId="38076"/>
    <cellStyle name="Normal 5 9 2 2 4 2" xfId="38077"/>
    <cellStyle name="Normal 5 9 2 2 5" xfId="38078"/>
    <cellStyle name="Normal 5 9 2 2 5 2" xfId="38079"/>
    <cellStyle name="Normal 5 9 2 2 6" xfId="38080"/>
    <cellStyle name="Normal 5 9 2 2 6 2" xfId="38081"/>
    <cellStyle name="Normal 5 9 2 2 7" xfId="38082"/>
    <cellStyle name="Normal 5 9 2 2 8" xfId="38083"/>
    <cellStyle name="Normal 5 9 2 2 9" xfId="38084"/>
    <cellStyle name="Normal 5 9 2 3" xfId="38085"/>
    <cellStyle name="Normal 5 9 2 3 2" xfId="38086"/>
    <cellStyle name="Normal 5 9 2 3 2 2" xfId="38087"/>
    <cellStyle name="Normal 5 9 2 3 3" xfId="38088"/>
    <cellStyle name="Normal 5 9 2 3 4" xfId="38089"/>
    <cellStyle name="Normal 5 9 2 3 5" xfId="38090"/>
    <cellStyle name="Normal 5 9 2 4" xfId="38091"/>
    <cellStyle name="Normal 5 9 2 4 2" xfId="38092"/>
    <cellStyle name="Normal 5 9 2 5" xfId="38093"/>
    <cellStyle name="Normal 5 9 2 5 2" xfId="38094"/>
    <cellStyle name="Normal 5 9 2 6" xfId="38095"/>
    <cellStyle name="Normal 5 9 2 6 2" xfId="38096"/>
    <cellStyle name="Normal 5 9 2 7" xfId="38097"/>
    <cellStyle name="Normal 5 9 2 7 2" xfId="38098"/>
    <cellStyle name="Normal 5 9 2 8" xfId="38099"/>
    <cellStyle name="Normal 5 9 2 9" xfId="38100"/>
    <cellStyle name="Normal 5 9 20" xfId="38101"/>
    <cellStyle name="Normal 5 9 21" xfId="38102"/>
    <cellStyle name="Normal 5 9 22" xfId="38103"/>
    <cellStyle name="Normal 5 9 23" xfId="38104"/>
    <cellStyle name="Normal 5 9 24" xfId="38105"/>
    <cellStyle name="Normal 5 9 25" xfId="38106"/>
    <cellStyle name="Normal 5 9 3" xfId="38107"/>
    <cellStyle name="Normal 5 9 3 10" xfId="38108"/>
    <cellStyle name="Normal 5 9 3 11" xfId="38109"/>
    <cellStyle name="Normal 5 9 3 12" xfId="38110"/>
    <cellStyle name="Normal 5 9 3 13" xfId="38111"/>
    <cellStyle name="Normal 5 9 3 14" xfId="38112"/>
    <cellStyle name="Normal 5 9 3 15" xfId="38113"/>
    <cellStyle name="Normal 5 9 3 16" xfId="38114"/>
    <cellStyle name="Normal 5 9 3 17" xfId="38115"/>
    <cellStyle name="Normal 5 9 3 18" xfId="38116"/>
    <cellStyle name="Normal 5 9 3 2" xfId="38117"/>
    <cellStyle name="Normal 5 9 3 2 10" xfId="38118"/>
    <cellStyle name="Normal 5 9 3 2 11" xfId="38119"/>
    <cellStyle name="Normal 5 9 3 2 12" xfId="38120"/>
    <cellStyle name="Normal 5 9 3 2 13" xfId="38121"/>
    <cellStyle name="Normal 5 9 3 2 2" xfId="38122"/>
    <cellStyle name="Normal 5 9 3 2 2 2" xfId="38123"/>
    <cellStyle name="Normal 5 9 3 2 2 2 2" xfId="38124"/>
    <cellStyle name="Normal 5 9 3 2 2 3" xfId="38125"/>
    <cellStyle name="Normal 5 9 3 2 2 4" xfId="38126"/>
    <cellStyle name="Normal 5 9 3 2 2 5" xfId="38127"/>
    <cellStyle name="Normal 5 9 3 2 3" xfId="38128"/>
    <cellStyle name="Normal 5 9 3 2 3 2" xfId="38129"/>
    <cellStyle name="Normal 5 9 3 2 4" xfId="38130"/>
    <cellStyle name="Normal 5 9 3 2 4 2" xfId="38131"/>
    <cellStyle name="Normal 5 9 3 2 5" xfId="38132"/>
    <cellStyle name="Normal 5 9 3 2 5 2" xfId="38133"/>
    <cellStyle name="Normal 5 9 3 2 6" xfId="38134"/>
    <cellStyle name="Normal 5 9 3 2 6 2" xfId="38135"/>
    <cellStyle name="Normal 5 9 3 2 7" xfId="38136"/>
    <cellStyle name="Normal 5 9 3 2 8" xfId="38137"/>
    <cellStyle name="Normal 5 9 3 2 9" xfId="38138"/>
    <cellStyle name="Normal 5 9 3 3" xfId="38139"/>
    <cellStyle name="Normal 5 9 3 3 2" xfId="38140"/>
    <cellStyle name="Normal 5 9 3 3 2 2" xfId="38141"/>
    <cellStyle name="Normal 5 9 3 3 3" xfId="38142"/>
    <cellStyle name="Normal 5 9 3 3 4" xfId="38143"/>
    <cellStyle name="Normal 5 9 3 3 5" xfId="38144"/>
    <cellStyle name="Normal 5 9 3 4" xfId="38145"/>
    <cellStyle name="Normal 5 9 3 4 2" xfId="38146"/>
    <cellStyle name="Normal 5 9 3 5" xfId="38147"/>
    <cellStyle name="Normal 5 9 3 5 2" xfId="38148"/>
    <cellStyle name="Normal 5 9 3 6" xfId="38149"/>
    <cellStyle name="Normal 5 9 3 6 2" xfId="38150"/>
    <cellStyle name="Normal 5 9 3 7" xfId="38151"/>
    <cellStyle name="Normal 5 9 3 7 2" xfId="38152"/>
    <cellStyle name="Normal 5 9 3 8" xfId="38153"/>
    <cellStyle name="Normal 5 9 3 9" xfId="38154"/>
    <cellStyle name="Normal 5 9 4" xfId="38155"/>
    <cellStyle name="Normal 5 9 4 10" xfId="38156"/>
    <cellStyle name="Normal 5 9 4 11" xfId="38157"/>
    <cellStyle name="Normal 5 9 4 12" xfId="38158"/>
    <cellStyle name="Normal 5 9 4 13" xfId="38159"/>
    <cellStyle name="Normal 5 9 4 14" xfId="38160"/>
    <cellStyle name="Normal 5 9 4 15" xfId="38161"/>
    <cellStyle name="Normal 5 9 4 16" xfId="38162"/>
    <cellStyle name="Normal 5 9 4 17" xfId="38163"/>
    <cellStyle name="Normal 5 9 4 18" xfId="38164"/>
    <cellStyle name="Normal 5 9 4 2" xfId="38165"/>
    <cellStyle name="Normal 5 9 4 2 10" xfId="38166"/>
    <cellStyle name="Normal 5 9 4 2 11" xfId="38167"/>
    <cellStyle name="Normal 5 9 4 2 12" xfId="38168"/>
    <cellStyle name="Normal 5 9 4 2 13" xfId="38169"/>
    <cellStyle name="Normal 5 9 4 2 2" xfId="38170"/>
    <cellStyle name="Normal 5 9 4 2 2 2" xfId="38171"/>
    <cellStyle name="Normal 5 9 4 2 2 2 2" xfId="38172"/>
    <cellStyle name="Normal 5 9 4 2 2 3" xfId="38173"/>
    <cellStyle name="Normal 5 9 4 2 2 4" xfId="38174"/>
    <cellStyle name="Normal 5 9 4 2 2 5" xfId="38175"/>
    <cellStyle name="Normal 5 9 4 2 3" xfId="38176"/>
    <cellStyle name="Normal 5 9 4 2 3 2" xfId="38177"/>
    <cellStyle name="Normal 5 9 4 2 4" xfId="38178"/>
    <cellStyle name="Normal 5 9 4 2 4 2" xfId="38179"/>
    <cellStyle name="Normal 5 9 4 2 5" xfId="38180"/>
    <cellStyle name="Normal 5 9 4 2 5 2" xfId="38181"/>
    <cellStyle name="Normal 5 9 4 2 6" xfId="38182"/>
    <cellStyle name="Normal 5 9 4 2 6 2" xfId="38183"/>
    <cellStyle name="Normal 5 9 4 2 7" xfId="38184"/>
    <cellStyle name="Normal 5 9 4 2 8" xfId="38185"/>
    <cellStyle name="Normal 5 9 4 2 9" xfId="38186"/>
    <cellStyle name="Normal 5 9 4 3" xfId="38187"/>
    <cellStyle name="Normal 5 9 4 3 2" xfId="38188"/>
    <cellStyle name="Normal 5 9 4 3 2 2" xfId="38189"/>
    <cellStyle name="Normal 5 9 4 3 3" xfId="38190"/>
    <cellStyle name="Normal 5 9 4 3 4" xfId="38191"/>
    <cellStyle name="Normal 5 9 4 3 5" xfId="38192"/>
    <cellStyle name="Normal 5 9 4 4" xfId="38193"/>
    <cellStyle name="Normal 5 9 4 4 2" xfId="38194"/>
    <cellStyle name="Normal 5 9 4 5" xfId="38195"/>
    <cellStyle name="Normal 5 9 4 5 2" xfId="38196"/>
    <cellStyle name="Normal 5 9 4 6" xfId="38197"/>
    <cellStyle name="Normal 5 9 4 6 2" xfId="38198"/>
    <cellStyle name="Normal 5 9 4 7" xfId="38199"/>
    <cellStyle name="Normal 5 9 4 7 2" xfId="38200"/>
    <cellStyle name="Normal 5 9 4 8" xfId="38201"/>
    <cellStyle name="Normal 5 9 4 9" xfId="38202"/>
    <cellStyle name="Normal 5 9 5" xfId="38203"/>
    <cellStyle name="Normal 5 9 5 10" xfId="38204"/>
    <cellStyle name="Normal 5 9 5 11" xfId="38205"/>
    <cellStyle name="Normal 5 9 5 12" xfId="38206"/>
    <cellStyle name="Normal 5 9 5 13" xfId="38207"/>
    <cellStyle name="Normal 5 9 5 14" xfId="38208"/>
    <cellStyle name="Normal 5 9 5 15" xfId="38209"/>
    <cellStyle name="Normal 5 9 5 16" xfId="38210"/>
    <cellStyle name="Normal 5 9 5 17" xfId="38211"/>
    <cellStyle name="Normal 5 9 5 2" xfId="38212"/>
    <cellStyle name="Normal 5 9 5 2 10" xfId="38213"/>
    <cellStyle name="Normal 5 9 5 2 11" xfId="38214"/>
    <cellStyle name="Normal 5 9 5 2 12" xfId="38215"/>
    <cellStyle name="Normal 5 9 5 2 13" xfId="38216"/>
    <cellStyle name="Normal 5 9 5 2 2" xfId="38217"/>
    <cellStyle name="Normal 5 9 5 2 2 2" xfId="38218"/>
    <cellStyle name="Normal 5 9 5 2 2 2 2" xfId="38219"/>
    <cellStyle name="Normal 5 9 5 2 2 3" xfId="38220"/>
    <cellStyle name="Normal 5 9 5 2 2 4" xfId="38221"/>
    <cellStyle name="Normal 5 9 5 2 2 5" xfId="38222"/>
    <cellStyle name="Normal 5 9 5 2 3" xfId="38223"/>
    <cellStyle name="Normal 5 9 5 2 3 2" xfId="38224"/>
    <cellStyle name="Normal 5 9 5 2 4" xfId="38225"/>
    <cellStyle name="Normal 5 9 5 2 4 2" xfId="38226"/>
    <cellStyle name="Normal 5 9 5 2 5" xfId="38227"/>
    <cellStyle name="Normal 5 9 5 2 5 2" xfId="38228"/>
    <cellStyle name="Normal 5 9 5 2 6" xfId="38229"/>
    <cellStyle name="Normal 5 9 5 2 6 2" xfId="38230"/>
    <cellStyle name="Normal 5 9 5 2 7" xfId="38231"/>
    <cellStyle name="Normal 5 9 5 2 8" xfId="38232"/>
    <cellStyle name="Normal 5 9 5 2 9" xfId="38233"/>
    <cellStyle name="Normal 5 9 5 3" xfId="38234"/>
    <cellStyle name="Normal 5 9 5 3 2" xfId="38235"/>
    <cellStyle name="Normal 5 9 5 3 2 2" xfId="38236"/>
    <cellStyle name="Normal 5 9 5 3 3" xfId="38237"/>
    <cellStyle name="Normal 5 9 5 3 4" xfId="38238"/>
    <cellStyle name="Normal 5 9 5 3 5" xfId="38239"/>
    <cellStyle name="Normal 5 9 5 4" xfId="38240"/>
    <cellStyle name="Normal 5 9 5 4 2" xfId="38241"/>
    <cellStyle name="Normal 5 9 5 5" xfId="38242"/>
    <cellStyle name="Normal 5 9 5 5 2" xfId="38243"/>
    <cellStyle name="Normal 5 9 5 6" xfId="38244"/>
    <cellStyle name="Normal 5 9 5 6 2" xfId="38245"/>
    <cellStyle name="Normal 5 9 5 7" xfId="38246"/>
    <cellStyle name="Normal 5 9 5 7 2" xfId="38247"/>
    <cellStyle name="Normal 5 9 5 8" xfId="38248"/>
    <cellStyle name="Normal 5 9 5 9" xfId="38249"/>
    <cellStyle name="Normal 5 9 6" xfId="38250"/>
    <cellStyle name="Normal 5 9 6 10" xfId="38251"/>
    <cellStyle name="Normal 5 9 6 11" xfId="38252"/>
    <cellStyle name="Normal 5 9 6 12" xfId="38253"/>
    <cellStyle name="Normal 5 9 6 13" xfId="38254"/>
    <cellStyle name="Normal 5 9 6 14" xfId="38255"/>
    <cellStyle name="Normal 5 9 6 15" xfId="38256"/>
    <cellStyle name="Normal 5 9 6 16" xfId="38257"/>
    <cellStyle name="Normal 5 9 6 17" xfId="38258"/>
    <cellStyle name="Normal 5 9 6 2" xfId="38259"/>
    <cellStyle name="Normal 5 9 6 2 10" xfId="38260"/>
    <cellStyle name="Normal 5 9 6 2 11" xfId="38261"/>
    <cellStyle name="Normal 5 9 6 2 12" xfId="38262"/>
    <cellStyle name="Normal 5 9 6 2 13" xfId="38263"/>
    <cellStyle name="Normal 5 9 6 2 2" xfId="38264"/>
    <cellStyle name="Normal 5 9 6 2 2 2" xfId="38265"/>
    <cellStyle name="Normal 5 9 6 2 2 2 2" xfId="38266"/>
    <cellStyle name="Normal 5 9 6 2 2 3" xfId="38267"/>
    <cellStyle name="Normal 5 9 6 2 2 4" xfId="38268"/>
    <cellStyle name="Normal 5 9 6 2 2 5" xfId="38269"/>
    <cellStyle name="Normal 5 9 6 2 3" xfId="38270"/>
    <cellStyle name="Normal 5 9 6 2 3 2" xfId="38271"/>
    <cellStyle name="Normal 5 9 6 2 4" xfId="38272"/>
    <cellStyle name="Normal 5 9 6 2 4 2" xfId="38273"/>
    <cellStyle name="Normal 5 9 6 2 5" xfId="38274"/>
    <cellStyle name="Normal 5 9 6 2 5 2" xfId="38275"/>
    <cellStyle name="Normal 5 9 6 2 6" xfId="38276"/>
    <cellStyle name="Normal 5 9 6 2 6 2" xfId="38277"/>
    <cellStyle name="Normal 5 9 6 2 7" xfId="38278"/>
    <cellStyle name="Normal 5 9 6 2 8" xfId="38279"/>
    <cellStyle name="Normal 5 9 6 2 9" xfId="38280"/>
    <cellStyle name="Normal 5 9 6 3" xfId="38281"/>
    <cellStyle name="Normal 5 9 6 3 2" xfId="38282"/>
    <cellStyle name="Normal 5 9 6 3 2 2" xfId="38283"/>
    <cellStyle name="Normal 5 9 6 3 3" xfId="38284"/>
    <cellStyle name="Normal 5 9 6 3 4" xfId="38285"/>
    <cellStyle name="Normal 5 9 6 3 5" xfId="38286"/>
    <cellStyle name="Normal 5 9 6 4" xfId="38287"/>
    <cellStyle name="Normal 5 9 6 4 2" xfId="38288"/>
    <cellStyle name="Normal 5 9 6 5" xfId="38289"/>
    <cellStyle name="Normal 5 9 6 5 2" xfId="38290"/>
    <cellStyle name="Normal 5 9 6 6" xfId="38291"/>
    <cellStyle name="Normal 5 9 6 6 2" xfId="38292"/>
    <cellStyle name="Normal 5 9 6 7" xfId="38293"/>
    <cellStyle name="Normal 5 9 6 7 2" xfId="38294"/>
    <cellStyle name="Normal 5 9 6 8" xfId="38295"/>
    <cellStyle name="Normal 5 9 6 9" xfId="38296"/>
    <cellStyle name="Normal 5 9 7" xfId="38297"/>
    <cellStyle name="Normal 5 9 7 10" xfId="38298"/>
    <cellStyle name="Normal 5 9 7 11" xfId="38299"/>
    <cellStyle name="Normal 5 9 7 12" xfId="38300"/>
    <cellStyle name="Normal 5 9 7 13" xfId="38301"/>
    <cellStyle name="Normal 5 9 7 14" xfId="38302"/>
    <cellStyle name="Normal 5 9 7 15" xfId="38303"/>
    <cellStyle name="Normal 5 9 7 16" xfId="38304"/>
    <cellStyle name="Normal 5 9 7 17" xfId="38305"/>
    <cellStyle name="Normal 5 9 7 2" xfId="38306"/>
    <cellStyle name="Normal 5 9 7 2 10" xfId="38307"/>
    <cellStyle name="Normal 5 9 7 2 11" xfId="38308"/>
    <cellStyle name="Normal 5 9 7 2 12" xfId="38309"/>
    <cellStyle name="Normal 5 9 7 2 13" xfId="38310"/>
    <cellStyle name="Normal 5 9 7 2 2" xfId="38311"/>
    <cellStyle name="Normal 5 9 7 2 2 2" xfId="38312"/>
    <cellStyle name="Normal 5 9 7 2 2 2 2" xfId="38313"/>
    <cellStyle name="Normal 5 9 7 2 2 3" xfId="38314"/>
    <cellStyle name="Normal 5 9 7 2 2 4" xfId="38315"/>
    <cellStyle name="Normal 5 9 7 2 2 5" xfId="38316"/>
    <cellStyle name="Normal 5 9 7 2 3" xfId="38317"/>
    <cellStyle name="Normal 5 9 7 2 3 2" xfId="38318"/>
    <cellStyle name="Normal 5 9 7 2 4" xfId="38319"/>
    <cellStyle name="Normal 5 9 7 2 4 2" xfId="38320"/>
    <cellStyle name="Normal 5 9 7 2 5" xfId="38321"/>
    <cellStyle name="Normal 5 9 7 2 5 2" xfId="38322"/>
    <cellStyle name="Normal 5 9 7 2 6" xfId="38323"/>
    <cellStyle name="Normal 5 9 7 2 6 2" xfId="38324"/>
    <cellStyle name="Normal 5 9 7 2 7" xfId="38325"/>
    <cellStyle name="Normal 5 9 7 2 8" xfId="38326"/>
    <cellStyle name="Normal 5 9 7 2 9" xfId="38327"/>
    <cellStyle name="Normal 5 9 7 3" xfId="38328"/>
    <cellStyle name="Normal 5 9 7 3 2" xfId="38329"/>
    <cellStyle name="Normal 5 9 7 3 2 2" xfId="38330"/>
    <cellStyle name="Normal 5 9 7 3 3" xfId="38331"/>
    <cellStyle name="Normal 5 9 7 3 4" xfId="38332"/>
    <cellStyle name="Normal 5 9 7 3 5" xfId="38333"/>
    <cellStyle name="Normal 5 9 7 4" xfId="38334"/>
    <cellStyle name="Normal 5 9 7 4 2" xfId="38335"/>
    <cellStyle name="Normal 5 9 7 5" xfId="38336"/>
    <cellStyle name="Normal 5 9 7 5 2" xfId="38337"/>
    <cellStyle name="Normal 5 9 7 6" xfId="38338"/>
    <cellStyle name="Normal 5 9 7 6 2" xfId="38339"/>
    <cellStyle name="Normal 5 9 7 7" xfId="38340"/>
    <cellStyle name="Normal 5 9 7 7 2" xfId="38341"/>
    <cellStyle name="Normal 5 9 7 8" xfId="38342"/>
    <cellStyle name="Normal 5 9 7 9" xfId="38343"/>
    <cellStyle name="Normal 5 9 8" xfId="38344"/>
    <cellStyle name="Normal 5 9 8 10" xfId="38345"/>
    <cellStyle name="Normal 5 9 8 11" xfId="38346"/>
    <cellStyle name="Normal 5 9 8 12" xfId="38347"/>
    <cellStyle name="Normal 5 9 8 13" xfId="38348"/>
    <cellStyle name="Normal 5 9 8 14" xfId="38349"/>
    <cellStyle name="Normal 5 9 8 15" xfId="38350"/>
    <cellStyle name="Normal 5 9 8 2" xfId="38351"/>
    <cellStyle name="Normal 5 9 8 2 2" xfId="38352"/>
    <cellStyle name="Normal 5 9 8 2 2 2" xfId="38353"/>
    <cellStyle name="Normal 5 9 8 2 3" xfId="38354"/>
    <cellStyle name="Normal 5 9 8 2 3 2" xfId="38355"/>
    <cellStyle name="Normal 5 9 8 2 4" xfId="38356"/>
    <cellStyle name="Normal 5 9 8 2 4 2" xfId="38357"/>
    <cellStyle name="Normal 5 9 8 2 5" xfId="38358"/>
    <cellStyle name="Normal 5 9 8 2 5 2" xfId="38359"/>
    <cellStyle name="Normal 5 9 8 2 6" xfId="38360"/>
    <cellStyle name="Normal 5 9 8 2 7" xfId="38361"/>
    <cellStyle name="Normal 5 9 8 2 8" xfId="38362"/>
    <cellStyle name="Normal 5 9 8 2 9" xfId="38363"/>
    <cellStyle name="Normal 5 9 8 3" xfId="38364"/>
    <cellStyle name="Normal 5 9 8 3 2" xfId="38365"/>
    <cellStyle name="Normal 5 9 8 3 2 2" xfId="38366"/>
    <cellStyle name="Normal 5 9 8 3 3" xfId="38367"/>
    <cellStyle name="Normal 5 9 8 3 4" xfId="38368"/>
    <cellStyle name="Normal 5 9 8 3 5" xfId="38369"/>
    <cellStyle name="Normal 5 9 8 4" xfId="38370"/>
    <cellStyle name="Normal 5 9 8 4 2" xfId="38371"/>
    <cellStyle name="Normal 5 9 8 5" xfId="38372"/>
    <cellStyle name="Normal 5 9 8 5 2" xfId="38373"/>
    <cellStyle name="Normal 5 9 8 6" xfId="38374"/>
    <cellStyle name="Normal 5 9 8 6 2" xfId="38375"/>
    <cellStyle name="Normal 5 9 8 7" xfId="38376"/>
    <cellStyle name="Normal 5 9 8 7 2" xfId="38377"/>
    <cellStyle name="Normal 5 9 8 8" xfId="38378"/>
    <cellStyle name="Normal 5 9 8 9" xfId="38379"/>
    <cellStyle name="Normal 5 9 9" xfId="38380"/>
    <cellStyle name="Normal 5 9 9 10" xfId="38381"/>
    <cellStyle name="Normal 5 9 9 11" xfId="38382"/>
    <cellStyle name="Normal 5 9 9 12" xfId="38383"/>
    <cellStyle name="Normal 5 9 9 13" xfId="38384"/>
    <cellStyle name="Normal 5 9 9 14" xfId="38385"/>
    <cellStyle name="Normal 5 9 9 15" xfId="38386"/>
    <cellStyle name="Normal 5 9 9 2" xfId="38387"/>
    <cellStyle name="Normal 5 9 9 2 2" xfId="38388"/>
    <cellStyle name="Normal 5 9 9 2 2 2" xfId="38389"/>
    <cellStyle name="Normal 5 9 9 2 3" xfId="38390"/>
    <cellStyle name="Normal 5 9 9 2 3 2" xfId="38391"/>
    <cellStyle name="Normal 5 9 9 2 4" xfId="38392"/>
    <cellStyle name="Normal 5 9 9 2 4 2" xfId="38393"/>
    <cellStyle name="Normal 5 9 9 2 5" xfId="38394"/>
    <cellStyle name="Normal 5 9 9 2 5 2" xfId="38395"/>
    <cellStyle name="Normal 5 9 9 2 6" xfId="38396"/>
    <cellStyle name="Normal 5 9 9 2 7" xfId="38397"/>
    <cellStyle name="Normal 5 9 9 2 8" xfId="38398"/>
    <cellStyle name="Normal 5 9 9 2 9" xfId="38399"/>
    <cellStyle name="Normal 5 9 9 3" xfId="38400"/>
    <cellStyle name="Normal 5 9 9 3 2" xfId="38401"/>
    <cellStyle name="Normal 5 9 9 3 2 2" xfId="38402"/>
    <cellStyle name="Normal 5 9 9 3 3" xfId="38403"/>
    <cellStyle name="Normal 5 9 9 3 4" xfId="38404"/>
    <cellStyle name="Normal 5 9 9 3 5" xfId="38405"/>
    <cellStyle name="Normal 5 9 9 4" xfId="38406"/>
    <cellStyle name="Normal 5 9 9 4 2" xfId="38407"/>
    <cellStyle name="Normal 5 9 9 5" xfId="38408"/>
    <cellStyle name="Normal 5 9 9 5 2" xfId="38409"/>
    <cellStyle name="Normal 5 9 9 6" xfId="38410"/>
    <cellStyle name="Normal 5 9 9 6 2" xfId="38411"/>
    <cellStyle name="Normal 5 9 9 7" xfId="38412"/>
    <cellStyle name="Normal 5 9 9 7 2" xfId="38413"/>
    <cellStyle name="Normal 5 9 9 8" xfId="38414"/>
    <cellStyle name="Normal 5 9 9 9" xfId="38415"/>
    <cellStyle name="Normal 50" xfId="38416"/>
    <cellStyle name="Normal 51" xfId="38417"/>
    <cellStyle name="Normal 52" xfId="38418"/>
    <cellStyle name="Normal 53" xfId="38419"/>
    <cellStyle name="Normal 54" xfId="38420"/>
    <cellStyle name="Normal 55" xfId="38421"/>
    <cellStyle name="Normal 56" xfId="38422"/>
    <cellStyle name="Normal 57" xfId="38423"/>
    <cellStyle name="Normal 58" xfId="38424"/>
    <cellStyle name="Normal 59" xfId="38425"/>
    <cellStyle name="Normal 6" xfId="799"/>
    <cellStyle name="Normal 6 10" xfId="800"/>
    <cellStyle name="Normal 6 10 10" xfId="9859"/>
    <cellStyle name="Normal 6 10 10 10" xfId="38428"/>
    <cellStyle name="Normal 6 10 10 11" xfId="38429"/>
    <cellStyle name="Normal 6 10 10 12" xfId="38430"/>
    <cellStyle name="Normal 6 10 10 13" xfId="38431"/>
    <cellStyle name="Normal 6 10 10 14" xfId="38432"/>
    <cellStyle name="Normal 6 10 10 15" xfId="38433"/>
    <cellStyle name="Normal 6 10 10 2" xfId="38434"/>
    <cellStyle name="Normal 6 10 10 2 2" xfId="38435"/>
    <cellStyle name="Normal 6 10 10 2 2 2" xfId="38436"/>
    <cellStyle name="Normal 6 10 10 2 3" xfId="38437"/>
    <cellStyle name="Normal 6 10 10 2 3 2" xfId="38438"/>
    <cellStyle name="Normal 6 10 10 2 4" xfId="38439"/>
    <cellStyle name="Normal 6 10 10 2 4 2" xfId="38440"/>
    <cellStyle name="Normal 6 10 10 2 5" xfId="38441"/>
    <cellStyle name="Normal 6 10 10 2 5 2" xfId="38442"/>
    <cellStyle name="Normal 6 10 10 2 6" xfId="38443"/>
    <cellStyle name="Normal 6 10 10 2 7" xfId="38444"/>
    <cellStyle name="Normal 6 10 10 2 8" xfId="38445"/>
    <cellStyle name="Normal 6 10 10 2 9" xfId="38446"/>
    <cellStyle name="Normal 6 10 10 3" xfId="38447"/>
    <cellStyle name="Normal 6 10 10 3 2" xfId="38448"/>
    <cellStyle name="Normal 6 10 10 3 2 2" xfId="38449"/>
    <cellStyle name="Normal 6 10 10 3 3" xfId="38450"/>
    <cellStyle name="Normal 6 10 10 3 4" xfId="38451"/>
    <cellStyle name="Normal 6 10 10 3 5" xfId="38452"/>
    <cellStyle name="Normal 6 10 10 4" xfId="38453"/>
    <cellStyle name="Normal 6 10 10 4 2" xfId="38454"/>
    <cellStyle name="Normal 6 10 10 5" xfId="38455"/>
    <cellStyle name="Normal 6 10 10 5 2" xfId="38456"/>
    <cellStyle name="Normal 6 10 10 6" xfId="38457"/>
    <cellStyle name="Normal 6 10 10 6 2" xfId="38458"/>
    <cellStyle name="Normal 6 10 10 7" xfId="38459"/>
    <cellStyle name="Normal 6 10 10 7 2" xfId="38460"/>
    <cellStyle name="Normal 6 10 10 8" xfId="38461"/>
    <cellStyle name="Normal 6 10 10 9" xfId="38462"/>
    <cellStyle name="Normal 6 10 11" xfId="9860"/>
    <cellStyle name="Normal 6 10 11 2" xfId="38463"/>
    <cellStyle name="Normal 6 10 11 2 2" xfId="38464"/>
    <cellStyle name="Normal 6 10 11 3" xfId="38465"/>
    <cellStyle name="Normal 6 10 11 3 2" xfId="38466"/>
    <cellStyle name="Normal 6 10 11 4" xfId="38467"/>
    <cellStyle name="Normal 6 10 11 4 2" xfId="38468"/>
    <cellStyle name="Normal 6 10 11 5" xfId="38469"/>
    <cellStyle name="Normal 6 10 11 5 2" xfId="38470"/>
    <cellStyle name="Normal 6 10 11 6" xfId="38471"/>
    <cellStyle name="Normal 6 10 11 7" xfId="38472"/>
    <cellStyle name="Normal 6 10 11 8" xfId="38473"/>
    <cellStyle name="Normal 6 10 11 9" xfId="38474"/>
    <cellStyle name="Normal 6 10 12" xfId="9861"/>
    <cellStyle name="Normal 6 10 12 2" xfId="38475"/>
    <cellStyle name="Normal 6 10 12 2 2" xfId="38476"/>
    <cellStyle name="Normal 6 10 12 3" xfId="38477"/>
    <cellStyle name="Normal 6 10 12 4" xfId="38478"/>
    <cellStyle name="Normal 6 10 12 5" xfId="38479"/>
    <cellStyle name="Normal 6 10 13" xfId="9862"/>
    <cellStyle name="Normal 6 10 13 2" xfId="38480"/>
    <cellStyle name="Normal 6 10 14" xfId="9863"/>
    <cellStyle name="Normal 6 10 14 2" xfId="38481"/>
    <cellStyle name="Normal 6 10 15" xfId="11899"/>
    <cellStyle name="Normal 6 10 15 2" xfId="38482"/>
    <cellStyle name="Normal 6 10 16" xfId="38427"/>
    <cellStyle name="Normal 6 10 16 2" xfId="38483"/>
    <cellStyle name="Normal 6 10 17" xfId="38484"/>
    <cellStyle name="Normal 6 10 18" xfId="38485"/>
    <cellStyle name="Normal 6 10 19" xfId="38486"/>
    <cellStyle name="Normal 6 10 2" xfId="9858"/>
    <cellStyle name="Normal 6 10 2 10" xfId="38487"/>
    <cellStyle name="Normal 6 10 2 11" xfId="38488"/>
    <cellStyle name="Normal 6 10 2 12" xfId="38489"/>
    <cellStyle name="Normal 6 10 2 13" xfId="38490"/>
    <cellStyle name="Normal 6 10 2 14" xfId="38491"/>
    <cellStyle name="Normal 6 10 2 15" xfId="38492"/>
    <cellStyle name="Normal 6 10 2 16" xfId="38493"/>
    <cellStyle name="Normal 6 10 2 17" xfId="38494"/>
    <cellStyle name="Normal 6 10 2 18" xfId="38495"/>
    <cellStyle name="Normal 6 10 2 19" xfId="38496"/>
    <cellStyle name="Normal 6 10 2 2" xfId="38497"/>
    <cellStyle name="Normal 6 10 2 2 10" xfId="38498"/>
    <cellStyle name="Normal 6 10 2 2 11" xfId="38499"/>
    <cellStyle name="Normal 6 10 2 2 12" xfId="38500"/>
    <cellStyle name="Normal 6 10 2 2 13" xfId="38501"/>
    <cellStyle name="Normal 6 10 2 2 14" xfId="38502"/>
    <cellStyle name="Normal 6 10 2 2 15" xfId="38503"/>
    <cellStyle name="Normal 6 10 2 2 2" xfId="38504"/>
    <cellStyle name="Normal 6 10 2 2 2 2" xfId="38505"/>
    <cellStyle name="Normal 6 10 2 2 2 2 2" xfId="38506"/>
    <cellStyle name="Normal 6 10 2 2 2 3" xfId="38507"/>
    <cellStyle name="Normal 6 10 2 2 2 4" xfId="38508"/>
    <cellStyle name="Normal 6 10 2 2 2 5" xfId="38509"/>
    <cellStyle name="Normal 6 10 2 2 3" xfId="38510"/>
    <cellStyle name="Normal 6 10 2 2 3 2" xfId="38511"/>
    <cellStyle name="Normal 6 10 2 2 4" xfId="38512"/>
    <cellStyle name="Normal 6 10 2 2 4 2" xfId="38513"/>
    <cellStyle name="Normal 6 10 2 2 5" xfId="38514"/>
    <cellStyle name="Normal 6 10 2 2 5 2" xfId="38515"/>
    <cellStyle name="Normal 6 10 2 2 6" xfId="38516"/>
    <cellStyle name="Normal 6 10 2 2 6 2" xfId="38517"/>
    <cellStyle name="Normal 6 10 2 2 7" xfId="38518"/>
    <cellStyle name="Normal 6 10 2 2 8" xfId="38519"/>
    <cellStyle name="Normal 6 10 2 2 9" xfId="38520"/>
    <cellStyle name="Normal 6 10 2 20" xfId="38521"/>
    <cellStyle name="Normal 6 10 2 3" xfId="38522"/>
    <cellStyle name="Normal 6 10 2 3 2" xfId="38523"/>
    <cellStyle name="Normal 6 10 2 3 2 2" xfId="38524"/>
    <cellStyle name="Normal 6 10 2 3 3" xfId="38525"/>
    <cellStyle name="Normal 6 10 2 3 4" xfId="38526"/>
    <cellStyle name="Normal 6 10 2 3 5" xfId="38527"/>
    <cellStyle name="Normal 6 10 2 3 6" xfId="38528"/>
    <cellStyle name="Normal 6 10 2 3 7" xfId="38529"/>
    <cellStyle name="Normal 6 10 2 4" xfId="38530"/>
    <cellStyle name="Normal 6 10 2 4 2" xfId="38531"/>
    <cellStyle name="Normal 6 10 2 4 3" xfId="38532"/>
    <cellStyle name="Normal 6 10 2 4 4" xfId="38533"/>
    <cellStyle name="Normal 6 10 2 5" xfId="38534"/>
    <cellStyle name="Normal 6 10 2 5 2" xfId="38535"/>
    <cellStyle name="Normal 6 10 2 5 3" xfId="38536"/>
    <cellStyle name="Normal 6 10 2 5 4" xfId="38537"/>
    <cellStyle name="Normal 6 10 2 6" xfId="38538"/>
    <cellStyle name="Normal 6 10 2 6 2" xfId="38539"/>
    <cellStyle name="Normal 6 10 2 6 3" xfId="38540"/>
    <cellStyle name="Normal 6 10 2 7" xfId="38541"/>
    <cellStyle name="Normal 6 10 2 7 2" xfId="38542"/>
    <cellStyle name="Normal 6 10 2 7 3" xfId="38543"/>
    <cellStyle name="Normal 6 10 2 8" xfId="38544"/>
    <cellStyle name="Normal 6 10 2 8 2" xfId="38545"/>
    <cellStyle name="Normal 6 10 2 9" xfId="38546"/>
    <cellStyle name="Normal 6 10 2 9 2" xfId="38547"/>
    <cellStyle name="Normal 6 10 20" xfId="38548"/>
    <cellStyle name="Normal 6 10 21" xfId="38549"/>
    <cellStyle name="Normal 6 10 22" xfId="38550"/>
    <cellStyle name="Normal 6 10 23" xfId="38551"/>
    <cellStyle name="Normal 6 10 24" xfId="38552"/>
    <cellStyle name="Normal 6 10 25" xfId="38553"/>
    <cellStyle name="Normal 6 10 26" xfId="38554"/>
    <cellStyle name="Normal 6 10 27" xfId="38555"/>
    <cellStyle name="Normal 6 10 3" xfId="9865"/>
    <cellStyle name="Normal 6 10 3 10" xfId="38556"/>
    <cellStyle name="Normal 6 10 3 11" xfId="38557"/>
    <cellStyle name="Normal 6 10 3 12" xfId="38558"/>
    <cellStyle name="Normal 6 10 3 13" xfId="38559"/>
    <cellStyle name="Normal 6 10 3 14" xfId="38560"/>
    <cellStyle name="Normal 6 10 3 15" xfId="38561"/>
    <cellStyle name="Normal 6 10 3 16" xfId="38562"/>
    <cellStyle name="Normal 6 10 3 17" xfId="38563"/>
    <cellStyle name="Normal 6 10 3 18" xfId="38564"/>
    <cellStyle name="Normal 6 10 3 19" xfId="38565"/>
    <cellStyle name="Normal 6 10 3 2" xfId="38566"/>
    <cellStyle name="Normal 6 10 3 2 10" xfId="38567"/>
    <cellStyle name="Normal 6 10 3 2 11" xfId="38568"/>
    <cellStyle name="Normal 6 10 3 2 12" xfId="38569"/>
    <cellStyle name="Normal 6 10 3 2 13" xfId="38570"/>
    <cellStyle name="Normal 6 10 3 2 14" xfId="38571"/>
    <cellStyle name="Normal 6 10 3 2 15" xfId="38572"/>
    <cellStyle name="Normal 6 10 3 2 2" xfId="38573"/>
    <cellStyle name="Normal 6 10 3 2 2 2" xfId="38574"/>
    <cellStyle name="Normal 6 10 3 2 2 2 2" xfId="38575"/>
    <cellStyle name="Normal 6 10 3 2 2 3" xfId="38576"/>
    <cellStyle name="Normal 6 10 3 2 2 4" xfId="38577"/>
    <cellStyle name="Normal 6 10 3 2 2 5" xfId="38578"/>
    <cellStyle name="Normal 6 10 3 2 3" xfId="38579"/>
    <cellStyle name="Normal 6 10 3 2 3 2" xfId="38580"/>
    <cellStyle name="Normal 6 10 3 2 4" xfId="38581"/>
    <cellStyle name="Normal 6 10 3 2 4 2" xfId="38582"/>
    <cellStyle name="Normal 6 10 3 2 5" xfId="38583"/>
    <cellStyle name="Normal 6 10 3 2 5 2" xfId="38584"/>
    <cellStyle name="Normal 6 10 3 2 6" xfId="38585"/>
    <cellStyle name="Normal 6 10 3 2 6 2" xfId="38586"/>
    <cellStyle name="Normal 6 10 3 2 7" xfId="38587"/>
    <cellStyle name="Normal 6 10 3 2 8" xfId="38588"/>
    <cellStyle name="Normal 6 10 3 2 9" xfId="38589"/>
    <cellStyle name="Normal 6 10 3 20" xfId="38590"/>
    <cellStyle name="Normal 6 10 3 3" xfId="38591"/>
    <cellStyle name="Normal 6 10 3 3 2" xfId="38592"/>
    <cellStyle name="Normal 6 10 3 3 2 2" xfId="38593"/>
    <cellStyle name="Normal 6 10 3 3 3" xfId="38594"/>
    <cellStyle name="Normal 6 10 3 3 4" xfId="38595"/>
    <cellStyle name="Normal 6 10 3 3 5" xfId="38596"/>
    <cellStyle name="Normal 6 10 3 3 6" xfId="38597"/>
    <cellStyle name="Normal 6 10 3 3 7" xfId="38598"/>
    <cellStyle name="Normal 6 10 3 4" xfId="38599"/>
    <cellStyle name="Normal 6 10 3 4 2" xfId="38600"/>
    <cellStyle name="Normal 6 10 3 4 3" xfId="38601"/>
    <cellStyle name="Normal 6 10 3 5" xfId="38602"/>
    <cellStyle name="Normal 6 10 3 5 2" xfId="38603"/>
    <cellStyle name="Normal 6 10 3 5 3" xfId="38604"/>
    <cellStyle name="Normal 6 10 3 6" xfId="38605"/>
    <cellStyle name="Normal 6 10 3 6 2" xfId="38606"/>
    <cellStyle name="Normal 6 10 3 6 3" xfId="38607"/>
    <cellStyle name="Normal 6 10 3 7" xfId="38608"/>
    <cellStyle name="Normal 6 10 3 7 2" xfId="38609"/>
    <cellStyle name="Normal 6 10 3 7 3" xfId="38610"/>
    <cellStyle name="Normal 6 10 3 8" xfId="38611"/>
    <cellStyle name="Normal 6 10 3 9" xfId="38612"/>
    <cellStyle name="Normal 6 10 4" xfId="9866"/>
    <cellStyle name="Normal 6 10 4 10" xfId="38613"/>
    <cellStyle name="Normal 6 10 4 11" xfId="38614"/>
    <cellStyle name="Normal 6 10 4 12" xfId="38615"/>
    <cellStyle name="Normal 6 10 4 13" xfId="38616"/>
    <cellStyle name="Normal 6 10 4 14" xfId="38617"/>
    <cellStyle name="Normal 6 10 4 15" xfId="38618"/>
    <cellStyle name="Normal 6 10 4 16" xfId="38619"/>
    <cellStyle name="Normal 6 10 4 17" xfId="38620"/>
    <cellStyle name="Normal 6 10 4 18" xfId="38621"/>
    <cellStyle name="Normal 6 10 4 19" xfId="38622"/>
    <cellStyle name="Normal 6 10 4 2" xfId="38623"/>
    <cellStyle name="Normal 6 10 4 2 10" xfId="38624"/>
    <cellStyle name="Normal 6 10 4 2 11" xfId="38625"/>
    <cellStyle name="Normal 6 10 4 2 12" xfId="38626"/>
    <cellStyle name="Normal 6 10 4 2 13" xfId="38627"/>
    <cellStyle name="Normal 6 10 4 2 2" xfId="38628"/>
    <cellStyle name="Normal 6 10 4 2 2 2" xfId="38629"/>
    <cellStyle name="Normal 6 10 4 2 2 2 2" xfId="38630"/>
    <cellStyle name="Normal 6 10 4 2 2 3" xfId="38631"/>
    <cellStyle name="Normal 6 10 4 2 2 4" xfId="38632"/>
    <cellStyle name="Normal 6 10 4 2 2 5" xfId="38633"/>
    <cellStyle name="Normal 6 10 4 2 3" xfId="38634"/>
    <cellStyle name="Normal 6 10 4 2 3 2" xfId="38635"/>
    <cellStyle name="Normal 6 10 4 2 4" xfId="38636"/>
    <cellStyle name="Normal 6 10 4 2 4 2" xfId="38637"/>
    <cellStyle name="Normal 6 10 4 2 5" xfId="38638"/>
    <cellStyle name="Normal 6 10 4 2 5 2" xfId="38639"/>
    <cellStyle name="Normal 6 10 4 2 6" xfId="38640"/>
    <cellStyle name="Normal 6 10 4 2 6 2" xfId="38641"/>
    <cellStyle name="Normal 6 10 4 2 7" xfId="38642"/>
    <cellStyle name="Normal 6 10 4 2 8" xfId="38643"/>
    <cellStyle name="Normal 6 10 4 2 9" xfId="38644"/>
    <cellStyle name="Normal 6 10 4 20" xfId="38645"/>
    <cellStyle name="Normal 6 10 4 3" xfId="38646"/>
    <cellStyle name="Normal 6 10 4 3 2" xfId="38647"/>
    <cellStyle name="Normal 6 10 4 3 2 2" xfId="38648"/>
    <cellStyle name="Normal 6 10 4 3 3" xfId="38649"/>
    <cellStyle name="Normal 6 10 4 3 4" xfId="38650"/>
    <cellStyle name="Normal 6 10 4 3 5" xfId="38651"/>
    <cellStyle name="Normal 6 10 4 4" xfId="38652"/>
    <cellStyle name="Normal 6 10 4 4 2" xfId="38653"/>
    <cellStyle name="Normal 6 10 4 5" xfId="38654"/>
    <cellStyle name="Normal 6 10 4 5 2" xfId="38655"/>
    <cellStyle name="Normal 6 10 4 6" xfId="38656"/>
    <cellStyle name="Normal 6 10 4 6 2" xfId="38657"/>
    <cellStyle name="Normal 6 10 4 7" xfId="38658"/>
    <cellStyle name="Normal 6 10 4 7 2" xfId="38659"/>
    <cellStyle name="Normal 6 10 4 8" xfId="38660"/>
    <cellStyle name="Normal 6 10 4 9" xfId="38661"/>
    <cellStyle name="Normal 6 10 5" xfId="9867"/>
    <cellStyle name="Normal 6 10 5 10" xfId="38662"/>
    <cellStyle name="Normal 6 10 5 11" xfId="38663"/>
    <cellStyle name="Normal 6 10 5 12" xfId="38664"/>
    <cellStyle name="Normal 6 10 5 13" xfId="38665"/>
    <cellStyle name="Normal 6 10 5 14" xfId="38666"/>
    <cellStyle name="Normal 6 10 5 15" xfId="38667"/>
    <cellStyle name="Normal 6 10 5 16" xfId="38668"/>
    <cellStyle name="Normal 6 10 5 17" xfId="38669"/>
    <cellStyle name="Normal 6 10 5 18" xfId="38670"/>
    <cellStyle name="Normal 6 10 5 19" xfId="38671"/>
    <cellStyle name="Normal 6 10 5 2" xfId="38672"/>
    <cellStyle name="Normal 6 10 5 2 10" xfId="38673"/>
    <cellStyle name="Normal 6 10 5 2 11" xfId="38674"/>
    <cellStyle name="Normal 6 10 5 2 12" xfId="38675"/>
    <cellStyle name="Normal 6 10 5 2 13" xfId="38676"/>
    <cellStyle name="Normal 6 10 5 2 2" xfId="38677"/>
    <cellStyle name="Normal 6 10 5 2 2 2" xfId="38678"/>
    <cellStyle name="Normal 6 10 5 2 2 2 2" xfId="38679"/>
    <cellStyle name="Normal 6 10 5 2 2 3" xfId="38680"/>
    <cellStyle name="Normal 6 10 5 2 2 4" xfId="38681"/>
    <cellStyle name="Normal 6 10 5 2 2 5" xfId="38682"/>
    <cellStyle name="Normal 6 10 5 2 3" xfId="38683"/>
    <cellStyle name="Normal 6 10 5 2 3 2" xfId="38684"/>
    <cellStyle name="Normal 6 10 5 2 4" xfId="38685"/>
    <cellStyle name="Normal 6 10 5 2 4 2" xfId="38686"/>
    <cellStyle name="Normal 6 10 5 2 5" xfId="38687"/>
    <cellStyle name="Normal 6 10 5 2 5 2" xfId="38688"/>
    <cellStyle name="Normal 6 10 5 2 6" xfId="38689"/>
    <cellStyle name="Normal 6 10 5 2 6 2" xfId="38690"/>
    <cellStyle name="Normal 6 10 5 2 7" xfId="38691"/>
    <cellStyle name="Normal 6 10 5 2 8" xfId="38692"/>
    <cellStyle name="Normal 6 10 5 2 9" xfId="38693"/>
    <cellStyle name="Normal 6 10 5 3" xfId="38694"/>
    <cellStyle name="Normal 6 10 5 3 2" xfId="38695"/>
    <cellStyle name="Normal 6 10 5 3 2 2" xfId="38696"/>
    <cellStyle name="Normal 6 10 5 3 3" xfId="38697"/>
    <cellStyle name="Normal 6 10 5 3 4" xfId="38698"/>
    <cellStyle name="Normal 6 10 5 3 5" xfId="38699"/>
    <cellStyle name="Normal 6 10 5 4" xfId="38700"/>
    <cellStyle name="Normal 6 10 5 4 2" xfId="38701"/>
    <cellStyle name="Normal 6 10 5 5" xfId="38702"/>
    <cellStyle name="Normal 6 10 5 5 2" xfId="38703"/>
    <cellStyle name="Normal 6 10 5 6" xfId="38704"/>
    <cellStyle name="Normal 6 10 5 6 2" xfId="38705"/>
    <cellStyle name="Normal 6 10 5 7" xfId="38706"/>
    <cellStyle name="Normal 6 10 5 7 2" xfId="38707"/>
    <cellStyle name="Normal 6 10 5 8" xfId="38708"/>
    <cellStyle name="Normal 6 10 5 9" xfId="38709"/>
    <cellStyle name="Normal 6 10 6" xfId="9868"/>
    <cellStyle name="Normal 6 10 6 10" xfId="38710"/>
    <cellStyle name="Normal 6 10 6 11" xfId="38711"/>
    <cellStyle name="Normal 6 10 6 12" xfId="38712"/>
    <cellStyle name="Normal 6 10 6 13" xfId="38713"/>
    <cellStyle name="Normal 6 10 6 14" xfId="38714"/>
    <cellStyle name="Normal 6 10 6 15" xfId="38715"/>
    <cellStyle name="Normal 6 10 6 16" xfId="38716"/>
    <cellStyle name="Normal 6 10 6 17" xfId="38717"/>
    <cellStyle name="Normal 6 10 6 18" xfId="38718"/>
    <cellStyle name="Normal 6 10 6 19" xfId="38719"/>
    <cellStyle name="Normal 6 10 6 2" xfId="38720"/>
    <cellStyle name="Normal 6 10 6 2 10" xfId="38721"/>
    <cellStyle name="Normal 6 10 6 2 11" xfId="38722"/>
    <cellStyle name="Normal 6 10 6 2 12" xfId="38723"/>
    <cellStyle name="Normal 6 10 6 2 13" xfId="38724"/>
    <cellStyle name="Normal 6 10 6 2 2" xfId="38725"/>
    <cellStyle name="Normal 6 10 6 2 2 2" xfId="38726"/>
    <cellStyle name="Normal 6 10 6 2 2 2 2" xfId="38727"/>
    <cellStyle name="Normal 6 10 6 2 2 3" xfId="38728"/>
    <cellStyle name="Normal 6 10 6 2 2 4" xfId="38729"/>
    <cellStyle name="Normal 6 10 6 2 2 5" xfId="38730"/>
    <cellStyle name="Normal 6 10 6 2 3" xfId="38731"/>
    <cellStyle name="Normal 6 10 6 2 3 2" xfId="38732"/>
    <cellStyle name="Normal 6 10 6 2 4" xfId="38733"/>
    <cellStyle name="Normal 6 10 6 2 4 2" xfId="38734"/>
    <cellStyle name="Normal 6 10 6 2 5" xfId="38735"/>
    <cellStyle name="Normal 6 10 6 2 5 2" xfId="38736"/>
    <cellStyle name="Normal 6 10 6 2 6" xfId="38737"/>
    <cellStyle name="Normal 6 10 6 2 6 2" xfId="38738"/>
    <cellStyle name="Normal 6 10 6 2 7" xfId="38739"/>
    <cellStyle name="Normal 6 10 6 2 8" xfId="38740"/>
    <cellStyle name="Normal 6 10 6 2 9" xfId="38741"/>
    <cellStyle name="Normal 6 10 6 3" xfId="38742"/>
    <cellStyle name="Normal 6 10 6 3 2" xfId="38743"/>
    <cellStyle name="Normal 6 10 6 3 2 2" xfId="38744"/>
    <cellStyle name="Normal 6 10 6 3 3" xfId="38745"/>
    <cellStyle name="Normal 6 10 6 3 4" xfId="38746"/>
    <cellStyle name="Normal 6 10 6 3 5" xfId="38747"/>
    <cellStyle name="Normal 6 10 6 4" xfId="38748"/>
    <cellStyle name="Normal 6 10 6 4 2" xfId="38749"/>
    <cellStyle name="Normal 6 10 6 5" xfId="38750"/>
    <cellStyle name="Normal 6 10 6 5 2" xfId="38751"/>
    <cellStyle name="Normal 6 10 6 6" xfId="38752"/>
    <cellStyle name="Normal 6 10 6 6 2" xfId="38753"/>
    <cellStyle name="Normal 6 10 6 7" xfId="38754"/>
    <cellStyle name="Normal 6 10 6 7 2" xfId="38755"/>
    <cellStyle name="Normal 6 10 6 8" xfId="38756"/>
    <cellStyle name="Normal 6 10 6 9" xfId="38757"/>
    <cellStyle name="Normal 6 10 7" xfId="9869"/>
    <cellStyle name="Normal 6 10 7 10" xfId="38758"/>
    <cellStyle name="Normal 6 10 7 11" xfId="38759"/>
    <cellStyle name="Normal 6 10 7 12" xfId="38760"/>
    <cellStyle name="Normal 6 10 7 13" xfId="38761"/>
    <cellStyle name="Normal 6 10 7 14" xfId="38762"/>
    <cellStyle name="Normal 6 10 7 15" xfId="38763"/>
    <cellStyle name="Normal 6 10 7 16" xfId="38764"/>
    <cellStyle name="Normal 6 10 7 17" xfId="38765"/>
    <cellStyle name="Normal 6 10 7 18" xfId="38766"/>
    <cellStyle name="Normal 6 10 7 2" xfId="38767"/>
    <cellStyle name="Normal 6 10 7 2 10" xfId="38768"/>
    <cellStyle name="Normal 6 10 7 2 11" xfId="38769"/>
    <cellStyle name="Normal 6 10 7 2 12" xfId="38770"/>
    <cellStyle name="Normal 6 10 7 2 13" xfId="38771"/>
    <cellStyle name="Normal 6 10 7 2 2" xfId="38772"/>
    <cellStyle name="Normal 6 10 7 2 2 2" xfId="38773"/>
    <cellStyle name="Normal 6 10 7 2 2 2 2" xfId="38774"/>
    <cellStyle name="Normal 6 10 7 2 2 3" xfId="38775"/>
    <cellStyle name="Normal 6 10 7 2 2 4" xfId="38776"/>
    <cellStyle name="Normal 6 10 7 2 2 5" xfId="38777"/>
    <cellStyle name="Normal 6 10 7 2 3" xfId="38778"/>
    <cellStyle name="Normal 6 10 7 2 3 2" xfId="38779"/>
    <cellStyle name="Normal 6 10 7 2 4" xfId="38780"/>
    <cellStyle name="Normal 6 10 7 2 4 2" xfId="38781"/>
    <cellStyle name="Normal 6 10 7 2 5" xfId="38782"/>
    <cellStyle name="Normal 6 10 7 2 5 2" xfId="38783"/>
    <cellStyle name="Normal 6 10 7 2 6" xfId="38784"/>
    <cellStyle name="Normal 6 10 7 2 6 2" xfId="38785"/>
    <cellStyle name="Normal 6 10 7 2 7" xfId="38786"/>
    <cellStyle name="Normal 6 10 7 2 8" xfId="38787"/>
    <cellStyle name="Normal 6 10 7 2 9" xfId="38788"/>
    <cellStyle name="Normal 6 10 7 3" xfId="38789"/>
    <cellStyle name="Normal 6 10 7 3 2" xfId="38790"/>
    <cellStyle name="Normal 6 10 7 3 2 2" xfId="38791"/>
    <cellStyle name="Normal 6 10 7 3 3" xfId="38792"/>
    <cellStyle name="Normal 6 10 7 3 4" xfId="38793"/>
    <cellStyle name="Normal 6 10 7 3 5" xfId="38794"/>
    <cellStyle name="Normal 6 10 7 4" xfId="38795"/>
    <cellStyle name="Normal 6 10 7 4 2" xfId="38796"/>
    <cellStyle name="Normal 6 10 7 5" xfId="38797"/>
    <cellStyle name="Normal 6 10 7 5 2" xfId="38798"/>
    <cellStyle name="Normal 6 10 7 6" xfId="38799"/>
    <cellStyle name="Normal 6 10 7 6 2" xfId="38800"/>
    <cellStyle name="Normal 6 10 7 7" xfId="38801"/>
    <cellStyle name="Normal 6 10 7 7 2" xfId="38802"/>
    <cellStyle name="Normal 6 10 7 8" xfId="38803"/>
    <cellStyle name="Normal 6 10 7 9" xfId="38804"/>
    <cellStyle name="Normal 6 10 8" xfId="9870"/>
    <cellStyle name="Normal 6 10 8 10" xfId="38805"/>
    <cellStyle name="Normal 6 10 8 11" xfId="38806"/>
    <cellStyle name="Normal 6 10 8 12" xfId="38807"/>
    <cellStyle name="Normal 6 10 8 13" xfId="38808"/>
    <cellStyle name="Normal 6 10 8 14" xfId="38809"/>
    <cellStyle name="Normal 6 10 8 15" xfId="38810"/>
    <cellStyle name="Normal 6 10 8 16" xfId="38811"/>
    <cellStyle name="Normal 6 10 8 2" xfId="38812"/>
    <cellStyle name="Normal 6 10 8 2 2" xfId="38813"/>
    <cellStyle name="Normal 6 10 8 2 2 2" xfId="38814"/>
    <cellStyle name="Normal 6 10 8 2 3" xfId="38815"/>
    <cellStyle name="Normal 6 10 8 2 3 2" xfId="38816"/>
    <cellStyle name="Normal 6 10 8 2 4" xfId="38817"/>
    <cellStyle name="Normal 6 10 8 2 4 2" xfId="38818"/>
    <cellStyle name="Normal 6 10 8 2 5" xfId="38819"/>
    <cellStyle name="Normal 6 10 8 2 5 2" xfId="38820"/>
    <cellStyle name="Normal 6 10 8 2 6" xfId="38821"/>
    <cellStyle name="Normal 6 10 8 2 7" xfId="38822"/>
    <cellStyle name="Normal 6 10 8 2 8" xfId="38823"/>
    <cellStyle name="Normal 6 10 8 2 9" xfId="38824"/>
    <cellStyle name="Normal 6 10 8 3" xfId="38825"/>
    <cellStyle name="Normal 6 10 8 3 2" xfId="38826"/>
    <cellStyle name="Normal 6 10 8 3 2 2" xfId="38827"/>
    <cellStyle name="Normal 6 10 8 3 3" xfId="38828"/>
    <cellStyle name="Normal 6 10 8 3 4" xfId="38829"/>
    <cellStyle name="Normal 6 10 8 3 5" xfId="38830"/>
    <cellStyle name="Normal 6 10 8 4" xfId="38831"/>
    <cellStyle name="Normal 6 10 8 4 2" xfId="38832"/>
    <cellStyle name="Normal 6 10 8 5" xfId="38833"/>
    <cellStyle name="Normal 6 10 8 5 2" xfId="38834"/>
    <cellStyle name="Normal 6 10 8 6" xfId="38835"/>
    <cellStyle name="Normal 6 10 8 6 2" xfId="38836"/>
    <cellStyle name="Normal 6 10 8 7" xfId="38837"/>
    <cellStyle name="Normal 6 10 8 7 2" xfId="38838"/>
    <cellStyle name="Normal 6 10 8 8" xfId="38839"/>
    <cellStyle name="Normal 6 10 8 9" xfId="38840"/>
    <cellStyle name="Normal 6 10 9" xfId="9871"/>
    <cellStyle name="Normal 6 10 9 10" xfId="38841"/>
    <cellStyle name="Normal 6 10 9 11" xfId="38842"/>
    <cellStyle name="Normal 6 10 9 12" xfId="38843"/>
    <cellStyle name="Normal 6 10 9 13" xfId="38844"/>
    <cellStyle name="Normal 6 10 9 14" xfId="38845"/>
    <cellStyle name="Normal 6 10 9 15" xfId="38846"/>
    <cellStyle name="Normal 6 10 9 16" xfId="38847"/>
    <cellStyle name="Normal 6 10 9 2" xfId="38848"/>
    <cellStyle name="Normal 6 10 9 2 2" xfId="38849"/>
    <cellStyle name="Normal 6 10 9 2 2 2" xfId="38850"/>
    <cellStyle name="Normal 6 10 9 2 3" xfId="38851"/>
    <cellStyle name="Normal 6 10 9 2 3 2" xfId="38852"/>
    <cellStyle name="Normal 6 10 9 2 4" xfId="38853"/>
    <cellStyle name="Normal 6 10 9 2 4 2" xfId="38854"/>
    <cellStyle name="Normal 6 10 9 2 5" xfId="38855"/>
    <cellStyle name="Normal 6 10 9 2 5 2" xfId="38856"/>
    <cellStyle name="Normal 6 10 9 2 6" xfId="38857"/>
    <cellStyle name="Normal 6 10 9 2 7" xfId="38858"/>
    <cellStyle name="Normal 6 10 9 2 8" xfId="38859"/>
    <cellStyle name="Normal 6 10 9 2 9" xfId="38860"/>
    <cellStyle name="Normal 6 10 9 3" xfId="38861"/>
    <cellStyle name="Normal 6 10 9 3 2" xfId="38862"/>
    <cellStyle name="Normal 6 10 9 3 2 2" xfId="38863"/>
    <cellStyle name="Normal 6 10 9 3 3" xfId="38864"/>
    <cellStyle name="Normal 6 10 9 3 4" xfId="38865"/>
    <cellStyle name="Normal 6 10 9 3 5" xfId="38866"/>
    <cellStyle name="Normal 6 10 9 4" xfId="38867"/>
    <cellStyle name="Normal 6 10 9 4 2" xfId="38868"/>
    <cellStyle name="Normal 6 10 9 5" xfId="38869"/>
    <cellStyle name="Normal 6 10 9 5 2" xfId="38870"/>
    <cellStyle name="Normal 6 10 9 6" xfId="38871"/>
    <cellStyle name="Normal 6 10 9 6 2" xfId="38872"/>
    <cellStyle name="Normal 6 10 9 7" xfId="38873"/>
    <cellStyle name="Normal 6 10 9 7 2" xfId="38874"/>
    <cellStyle name="Normal 6 10 9 8" xfId="38875"/>
    <cellStyle name="Normal 6 10 9 9" xfId="38876"/>
    <cellStyle name="Normal 6 11" xfId="801"/>
    <cellStyle name="Normal 6 11 10" xfId="9873"/>
    <cellStyle name="Normal 6 11 10 2" xfId="38878"/>
    <cellStyle name="Normal 6 11 11" xfId="9874"/>
    <cellStyle name="Normal 6 11 12" xfId="9875"/>
    <cellStyle name="Normal 6 11 13" xfId="9876"/>
    <cellStyle name="Normal 6 11 14" xfId="9877"/>
    <cellStyle name="Normal 6 11 15" xfId="11900"/>
    <cellStyle name="Normal 6 11 16" xfId="38877"/>
    <cellStyle name="Normal 6 11 17" xfId="38879"/>
    <cellStyle name="Normal 6 11 18" xfId="38880"/>
    <cellStyle name="Normal 6 11 19" xfId="38881"/>
    <cellStyle name="Normal 6 11 2" xfId="9872"/>
    <cellStyle name="Normal 6 11 2 10" xfId="38882"/>
    <cellStyle name="Normal 6 11 2 11" xfId="38883"/>
    <cellStyle name="Normal 6 11 2 12" xfId="38884"/>
    <cellStyle name="Normal 6 11 2 13" xfId="38885"/>
    <cellStyle name="Normal 6 11 2 14" xfId="38886"/>
    <cellStyle name="Normal 6 11 2 15" xfId="38887"/>
    <cellStyle name="Normal 6 11 2 2" xfId="38888"/>
    <cellStyle name="Normal 6 11 2 2 2" xfId="38889"/>
    <cellStyle name="Normal 6 11 2 2 2 2" xfId="38890"/>
    <cellStyle name="Normal 6 11 2 2 3" xfId="38891"/>
    <cellStyle name="Normal 6 11 2 2 4" xfId="38892"/>
    <cellStyle name="Normal 6 11 2 2 5" xfId="38893"/>
    <cellStyle name="Normal 6 11 2 2 6" xfId="38894"/>
    <cellStyle name="Normal 6 11 2 2 7" xfId="38895"/>
    <cellStyle name="Normal 6 11 2 3" xfId="38896"/>
    <cellStyle name="Normal 6 11 2 3 2" xfId="38897"/>
    <cellStyle name="Normal 6 11 2 3 3" xfId="38898"/>
    <cellStyle name="Normal 6 11 2 3 4" xfId="38899"/>
    <cellStyle name="Normal 6 11 2 4" xfId="38900"/>
    <cellStyle name="Normal 6 11 2 4 2" xfId="38901"/>
    <cellStyle name="Normal 6 11 2 4 3" xfId="38902"/>
    <cellStyle name="Normal 6 11 2 4 4" xfId="38903"/>
    <cellStyle name="Normal 6 11 2 5" xfId="38904"/>
    <cellStyle name="Normal 6 11 2 5 2" xfId="38905"/>
    <cellStyle name="Normal 6 11 2 5 3" xfId="38906"/>
    <cellStyle name="Normal 6 11 2 5 4" xfId="38907"/>
    <cellStyle name="Normal 6 11 2 6" xfId="38908"/>
    <cellStyle name="Normal 6 11 2 6 2" xfId="38909"/>
    <cellStyle name="Normal 6 11 2 6 3" xfId="38910"/>
    <cellStyle name="Normal 6 11 2 7" xfId="38911"/>
    <cellStyle name="Normal 6 11 2 7 2" xfId="38912"/>
    <cellStyle name="Normal 6 11 2 8" xfId="38913"/>
    <cellStyle name="Normal 6 11 2 8 2" xfId="38914"/>
    <cellStyle name="Normal 6 11 2 9" xfId="38915"/>
    <cellStyle name="Normal 6 11 2 9 2" xfId="38916"/>
    <cellStyle name="Normal 6 11 20" xfId="38917"/>
    <cellStyle name="Normal 6 11 3" xfId="9879"/>
    <cellStyle name="Normal 6 11 3 2" xfId="38918"/>
    <cellStyle name="Normal 6 11 3 2 2" xfId="38919"/>
    <cellStyle name="Normal 6 11 3 2 3" xfId="38920"/>
    <cellStyle name="Normal 6 11 3 2 4" xfId="38921"/>
    <cellStyle name="Normal 6 11 3 3" xfId="38922"/>
    <cellStyle name="Normal 6 11 3 3 2" xfId="38923"/>
    <cellStyle name="Normal 6 11 3 3 3" xfId="38924"/>
    <cellStyle name="Normal 6 11 3 4" xfId="38925"/>
    <cellStyle name="Normal 6 11 3 4 2" xfId="38926"/>
    <cellStyle name="Normal 6 11 3 5" xfId="38927"/>
    <cellStyle name="Normal 6 11 3 5 2" xfId="38928"/>
    <cellStyle name="Normal 6 11 3 6" xfId="38929"/>
    <cellStyle name="Normal 6 11 3 6 2" xfId="38930"/>
    <cellStyle name="Normal 6 11 3 7" xfId="38931"/>
    <cellStyle name="Normal 6 11 4" xfId="9880"/>
    <cellStyle name="Normal 6 11 4 2" xfId="38932"/>
    <cellStyle name="Normal 6 11 4 3" xfId="38933"/>
    <cellStyle name="Normal 6 11 4 4" xfId="38934"/>
    <cellStyle name="Normal 6 11 5" xfId="9881"/>
    <cellStyle name="Normal 6 11 5 2" xfId="38935"/>
    <cellStyle name="Normal 6 11 5 3" xfId="38936"/>
    <cellStyle name="Normal 6 11 5 4" xfId="38937"/>
    <cellStyle name="Normal 6 11 6" xfId="9882"/>
    <cellStyle name="Normal 6 11 6 2" xfId="38938"/>
    <cellStyle name="Normal 6 11 6 3" xfId="38939"/>
    <cellStyle name="Normal 6 11 6 4" xfId="38940"/>
    <cellStyle name="Normal 6 11 7" xfId="9883"/>
    <cellStyle name="Normal 6 11 7 2" xfId="38941"/>
    <cellStyle name="Normal 6 11 7 3" xfId="38942"/>
    <cellStyle name="Normal 6 11 8" xfId="9884"/>
    <cellStyle name="Normal 6 11 8 2" xfId="38943"/>
    <cellStyle name="Normal 6 11 9" xfId="9885"/>
    <cellStyle name="Normal 6 11 9 2" xfId="38944"/>
    <cellStyle name="Normal 6 12" xfId="802"/>
    <cellStyle name="Normal 6 12 10" xfId="9887"/>
    <cellStyle name="Normal 6 12 10 2" xfId="38946"/>
    <cellStyle name="Normal 6 12 11" xfId="9888"/>
    <cellStyle name="Normal 6 12 12" xfId="9889"/>
    <cellStyle name="Normal 6 12 13" xfId="9890"/>
    <cellStyle name="Normal 6 12 14" xfId="9891"/>
    <cellStyle name="Normal 6 12 15" xfId="11901"/>
    <cellStyle name="Normal 6 12 16" xfId="38945"/>
    <cellStyle name="Normal 6 12 17" xfId="38947"/>
    <cellStyle name="Normal 6 12 18" xfId="38948"/>
    <cellStyle name="Normal 6 12 19" xfId="38949"/>
    <cellStyle name="Normal 6 12 2" xfId="9886"/>
    <cellStyle name="Normal 6 12 2 10" xfId="38950"/>
    <cellStyle name="Normal 6 12 2 11" xfId="38951"/>
    <cellStyle name="Normal 6 12 2 12" xfId="38952"/>
    <cellStyle name="Normal 6 12 2 13" xfId="38953"/>
    <cellStyle name="Normal 6 12 2 14" xfId="38954"/>
    <cellStyle name="Normal 6 12 2 15" xfId="38955"/>
    <cellStyle name="Normal 6 12 2 2" xfId="38956"/>
    <cellStyle name="Normal 6 12 2 2 2" xfId="38957"/>
    <cellStyle name="Normal 6 12 2 2 2 2" xfId="38958"/>
    <cellStyle name="Normal 6 12 2 2 3" xfId="38959"/>
    <cellStyle name="Normal 6 12 2 2 4" xfId="38960"/>
    <cellStyle name="Normal 6 12 2 2 5" xfId="38961"/>
    <cellStyle name="Normal 6 12 2 2 6" xfId="38962"/>
    <cellStyle name="Normal 6 12 2 2 7" xfId="38963"/>
    <cellStyle name="Normal 6 12 2 3" xfId="38964"/>
    <cellStyle name="Normal 6 12 2 3 2" xfId="38965"/>
    <cellStyle name="Normal 6 12 2 3 3" xfId="38966"/>
    <cellStyle name="Normal 6 12 2 3 4" xfId="38967"/>
    <cellStyle name="Normal 6 12 2 4" xfId="38968"/>
    <cellStyle name="Normal 6 12 2 4 2" xfId="38969"/>
    <cellStyle name="Normal 6 12 2 4 3" xfId="38970"/>
    <cellStyle name="Normal 6 12 2 4 4" xfId="38971"/>
    <cellStyle name="Normal 6 12 2 5" xfId="38972"/>
    <cellStyle name="Normal 6 12 2 5 2" xfId="38973"/>
    <cellStyle name="Normal 6 12 2 5 3" xfId="38974"/>
    <cellStyle name="Normal 6 12 2 5 4" xfId="38975"/>
    <cellStyle name="Normal 6 12 2 6" xfId="38976"/>
    <cellStyle name="Normal 6 12 2 6 2" xfId="38977"/>
    <cellStyle name="Normal 6 12 2 6 3" xfId="38978"/>
    <cellStyle name="Normal 6 12 2 7" xfId="38979"/>
    <cellStyle name="Normal 6 12 2 7 2" xfId="38980"/>
    <cellStyle name="Normal 6 12 2 8" xfId="38981"/>
    <cellStyle name="Normal 6 12 2 8 2" xfId="38982"/>
    <cellStyle name="Normal 6 12 2 9" xfId="38983"/>
    <cellStyle name="Normal 6 12 2 9 2" xfId="38984"/>
    <cellStyle name="Normal 6 12 20" xfId="38985"/>
    <cellStyle name="Normal 6 12 3" xfId="9893"/>
    <cellStyle name="Normal 6 12 3 2" xfId="38986"/>
    <cellStyle name="Normal 6 12 3 2 2" xfId="38987"/>
    <cellStyle name="Normal 6 12 3 2 3" xfId="38988"/>
    <cellStyle name="Normal 6 12 3 2 4" xfId="38989"/>
    <cellStyle name="Normal 6 12 3 3" xfId="38990"/>
    <cellStyle name="Normal 6 12 3 3 2" xfId="38991"/>
    <cellStyle name="Normal 6 12 3 3 3" xfId="38992"/>
    <cellStyle name="Normal 6 12 3 4" xfId="38993"/>
    <cellStyle name="Normal 6 12 3 4 2" xfId="38994"/>
    <cellStyle name="Normal 6 12 3 5" xfId="38995"/>
    <cellStyle name="Normal 6 12 3 5 2" xfId="38996"/>
    <cellStyle name="Normal 6 12 3 6" xfId="38997"/>
    <cellStyle name="Normal 6 12 3 6 2" xfId="38998"/>
    <cellStyle name="Normal 6 12 3 7" xfId="38999"/>
    <cellStyle name="Normal 6 12 4" xfId="9894"/>
    <cellStyle name="Normal 6 12 4 2" xfId="39000"/>
    <cellStyle name="Normal 6 12 4 3" xfId="39001"/>
    <cellStyle name="Normal 6 12 4 4" xfId="39002"/>
    <cellStyle name="Normal 6 12 5" xfId="9895"/>
    <cellStyle name="Normal 6 12 5 2" xfId="39003"/>
    <cellStyle name="Normal 6 12 5 3" xfId="39004"/>
    <cellStyle name="Normal 6 12 5 4" xfId="39005"/>
    <cellStyle name="Normal 6 12 6" xfId="9896"/>
    <cellStyle name="Normal 6 12 6 2" xfId="39006"/>
    <cellStyle name="Normal 6 12 6 3" xfId="39007"/>
    <cellStyle name="Normal 6 12 6 4" xfId="39008"/>
    <cellStyle name="Normal 6 12 7" xfId="9897"/>
    <cellStyle name="Normal 6 12 7 2" xfId="39009"/>
    <cellStyle name="Normal 6 12 7 3" xfId="39010"/>
    <cellStyle name="Normal 6 12 8" xfId="9898"/>
    <cellStyle name="Normal 6 12 8 2" xfId="39011"/>
    <cellStyle name="Normal 6 12 9" xfId="9899"/>
    <cellStyle name="Normal 6 12 9 2" xfId="39012"/>
    <cellStyle name="Normal 6 13" xfId="803"/>
    <cellStyle name="Normal 6 13 10" xfId="9901"/>
    <cellStyle name="Normal 6 13 10 2" xfId="39014"/>
    <cellStyle name="Normal 6 13 11" xfId="9902"/>
    <cellStyle name="Normal 6 13 12" xfId="9903"/>
    <cellStyle name="Normal 6 13 13" xfId="9904"/>
    <cellStyle name="Normal 6 13 14" xfId="9905"/>
    <cellStyle name="Normal 6 13 15" xfId="11902"/>
    <cellStyle name="Normal 6 13 16" xfId="39013"/>
    <cellStyle name="Normal 6 13 17" xfId="39015"/>
    <cellStyle name="Normal 6 13 18" xfId="39016"/>
    <cellStyle name="Normal 6 13 19" xfId="39017"/>
    <cellStyle name="Normal 6 13 2" xfId="9900"/>
    <cellStyle name="Normal 6 13 2 10" xfId="39018"/>
    <cellStyle name="Normal 6 13 2 11" xfId="39019"/>
    <cellStyle name="Normal 6 13 2 12" xfId="39020"/>
    <cellStyle name="Normal 6 13 2 13" xfId="39021"/>
    <cellStyle name="Normal 6 13 2 14" xfId="39022"/>
    <cellStyle name="Normal 6 13 2 15" xfId="39023"/>
    <cellStyle name="Normal 6 13 2 2" xfId="39024"/>
    <cellStyle name="Normal 6 13 2 2 2" xfId="39025"/>
    <cellStyle name="Normal 6 13 2 2 2 2" xfId="39026"/>
    <cellStyle name="Normal 6 13 2 2 3" xfId="39027"/>
    <cellStyle name="Normal 6 13 2 2 4" xfId="39028"/>
    <cellStyle name="Normal 6 13 2 2 5" xfId="39029"/>
    <cellStyle name="Normal 6 13 2 2 6" xfId="39030"/>
    <cellStyle name="Normal 6 13 2 2 7" xfId="39031"/>
    <cellStyle name="Normal 6 13 2 3" xfId="39032"/>
    <cellStyle name="Normal 6 13 2 3 2" xfId="39033"/>
    <cellStyle name="Normal 6 13 2 3 3" xfId="39034"/>
    <cellStyle name="Normal 6 13 2 3 4" xfId="39035"/>
    <cellStyle name="Normal 6 13 2 4" xfId="39036"/>
    <cellStyle name="Normal 6 13 2 4 2" xfId="39037"/>
    <cellStyle name="Normal 6 13 2 4 3" xfId="39038"/>
    <cellStyle name="Normal 6 13 2 4 4" xfId="39039"/>
    <cellStyle name="Normal 6 13 2 5" xfId="39040"/>
    <cellStyle name="Normal 6 13 2 5 2" xfId="39041"/>
    <cellStyle name="Normal 6 13 2 5 3" xfId="39042"/>
    <cellStyle name="Normal 6 13 2 5 4" xfId="39043"/>
    <cellStyle name="Normal 6 13 2 6" xfId="39044"/>
    <cellStyle name="Normal 6 13 2 6 2" xfId="39045"/>
    <cellStyle name="Normal 6 13 2 6 3" xfId="39046"/>
    <cellStyle name="Normal 6 13 2 7" xfId="39047"/>
    <cellStyle name="Normal 6 13 2 7 2" xfId="39048"/>
    <cellStyle name="Normal 6 13 2 8" xfId="39049"/>
    <cellStyle name="Normal 6 13 2 8 2" xfId="39050"/>
    <cellStyle name="Normal 6 13 2 9" xfId="39051"/>
    <cellStyle name="Normal 6 13 2 9 2" xfId="39052"/>
    <cellStyle name="Normal 6 13 20" xfId="39053"/>
    <cellStyle name="Normal 6 13 3" xfId="9907"/>
    <cellStyle name="Normal 6 13 3 2" xfId="39054"/>
    <cellStyle name="Normal 6 13 3 2 2" xfId="39055"/>
    <cellStyle name="Normal 6 13 3 2 3" xfId="39056"/>
    <cellStyle name="Normal 6 13 3 2 4" xfId="39057"/>
    <cellStyle name="Normal 6 13 3 3" xfId="39058"/>
    <cellStyle name="Normal 6 13 3 3 2" xfId="39059"/>
    <cellStyle name="Normal 6 13 3 3 3" xfId="39060"/>
    <cellStyle name="Normal 6 13 3 4" xfId="39061"/>
    <cellStyle name="Normal 6 13 3 4 2" xfId="39062"/>
    <cellStyle name="Normal 6 13 3 5" xfId="39063"/>
    <cellStyle name="Normal 6 13 3 5 2" xfId="39064"/>
    <cellStyle name="Normal 6 13 3 6" xfId="39065"/>
    <cellStyle name="Normal 6 13 3 6 2" xfId="39066"/>
    <cellStyle name="Normal 6 13 3 7" xfId="39067"/>
    <cellStyle name="Normal 6 13 4" xfId="9908"/>
    <cellStyle name="Normal 6 13 4 2" xfId="39068"/>
    <cellStyle name="Normal 6 13 4 3" xfId="39069"/>
    <cellStyle name="Normal 6 13 4 4" xfId="39070"/>
    <cellStyle name="Normal 6 13 5" xfId="9909"/>
    <cellStyle name="Normal 6 13 5 2" xfId="39071"/>
    <cellStyle name="Normal 6 13 5 3" xfId="39072"/>
    <cellStyle name="Normal 6 13 5 4" xfId="39073"/>
    <cellStyle name="Normal 6 13 6" xfId="9910"/>
    <cellStyle name="Normal 6 13 6 2" xfId="39074"/>
    <cellStyle name="Normal 6 13 6 3" xfId="39075"/>
    <cellStyle name="Normal 6 13 6 4" xfId="39076"/>
    <cellStyle name="Normal 6 13 7" xfId="9911"/>
    <cellStyle name="Normal 6 13 7 2" xfId="39077"/>
    <cellStyle name="Normal 6 13 7 3" xfId="39078"/>
    <cellStyle name="Normal 6 13 8" xfId="9912"/>
    <cellStyle name="Normal 6 13 8 2" xfId="39079"/>
    <cellStyle name="Normal 6 13 9" xfId="9913"/>
    <cellStyle name="Normal 6 13 9 2" xfId="39080"/>
    <cellStyle name="Normal 6 14" xfId="804"/>
    <cellStyle name="Normal 6 14 10" xfId="9915"/>
    <cellStyle name="Normal 6 14 10 2" xfId="39082"/>
    <cellStyle name="Normal 6 14 11" xfId="9916"/>
    <cellStyle name="Normal 6 14 12" xfId="9917"/>
    <cellStyle name="Normal 6 14 13" xfId="9918"/>
    <cellStyle name="Normal 6 14 14" xfId="9919"/>
    <cellStyle name="Normal 6 14 15" xfId="11903"/>
    <cellStyle name="Normal 6 14 16" xfId="39081"/>
    <cellStyle name="Normal 6 14 17" xfId="39083"/>
    <cellStyle name="Normal 6 14 18" xfId="39084"/>
    <cellStyle name="Normal 6 14 19" xfId="39085"/>
    <cellStyle name="Normal 6 14 2" xfId="9914"/>
    <cellStyle name="Normal 6 14 2 10" xfId="39086"/>
    <cellStyle name="Normal 6 14 2 11" xfId="39087"/>
    <cellStyle name="Normal 6 14 2 12" xfId="39088"/>
    <cellStyle name="Normal 6 14 2 13" xfId="39089"/>
    <cellStyle name="Normal 6 14 2 14" xfId="39090"/>
    <cellStyle name="Normal 6 14 2 15" xfId="39091"/>
    <cellStyle name="Normal 6 14 2 2" xfId="39092"/>
    <cellStyle name="Normal 6 14 2 2 2" xfId="39093"/>
    <cellStyle name="Normal 6 14 2 2 2 2" xfId="39094"/>
    <cellStyle name="Normal 6 14 2 2 3" xfId="39095"/>
    <cellStyle name="Normal 6 14 2 2 4" xfId="39096"/>
    <cellStyle name="Normal 6 14 2 2 5" xfId="39097"/>
    <cellStyle name="Normal 6 14 2 2 6" xfId="39098"/>
    <cellStyle name="Normal 6 14 2 2 7" xfId="39099"/>
    <cellStyle name="Normal 6 14 2 3" xfId="39100"/>
    <cellStyle name="Normal 6 14 2 3 2" xfId="39101"/>
    <cellStyle name="Normal 6 14 2 3 3" xfId="39102"/>
    <cellStyle name="Normal 6 14 2 3 4" xfId="39103"/>
    <cellStyle name="Normal 6 14 2 4" xfId="39104"/>
    <cellStyle name="Normal 6 14 2 4 2" xfId="39105"/>
    <cellStyle name="Normal 6 14 2 4 3" xfId="39106"/>
    <cellStyle name="Normal 6 14 2 4 4" xfId="39107"/>
    <cellStyle name="Normal 6 14 2 5" xfId="39108"/>
    <cellStyle name="Normal 6 14 2 5 2" xfId="39109"/>
    <cellStyle name="Normal 6 14 2 5 3" xfId="39110"/>
    <cellStyle name="Normal 6 14 2 5 4" xfId="39111"/>
    <cellStyle name="Normal 6 14 2 6" xfId="39112"/>
    <cellStyle name="Normal 6 14 2 6 2" xfId="39113"/>
    <cellStyle name="Normal 6 14 2 6 3" xfId="39114"/>
    <cellStyle name="Normal 6 14 2 7" xfId="39115"/>
    <cellStyle name="Normal 6 14 2 7 2" xfId="39116"/>
    <cellStyle name="Normal 6 14 2 8" xfId="39117"/>
    <cellStyle name="Normal 6 14 2 8 2" xfId="39118"/>
    <cellStyle name="Normal 6 14 2 9" xfId="39119"/>
    <cellStyle name="Normal 6 14 2 9 2" xfId="39120"/>
    <cellStyle name="Normal 6 14 20" xfId="39121"/>
    <cellStyle name="Normal 6 14 3" xfId="9921"/>
    <cellStyle name="Normal 6 14 3 2" xfId="39122"/>
    <cellStyle name="Normal 6 14 3 2 2" xfId="39123"/>
    <cellStyle name="Normal 6 14 3 2 3" xfId="39124"/>
    <cellStyle name="Normal 6 14 3 2 4" xfId="39125"/>
    <cellStyle name="Normal 6 14 3 3" xfId="39126"/>
    <cellStyle name="Normal 6 14 3 3 2" xfId="39127"/>
    <cellStyle name="Normal 6 14 3 3 3" xfId="39128"/>
    <cellStyle name="Normal 6 14 3 4" xfId="39129"/>
    <cellStyle name="Normal 6 14 3 4 2" xfId="39130"/>
    <cellStyle name="Normal 6 14 3 5" xfId="39131"/>
    <cellStyle name="Normal 6 14 3 5 2" xfId="39132"/>
    <cellStyle name="Normal 6 14 3 6" xfId="39133"/>
    <cellStyle name="Normal 6 14 3 6 2" xfId="39134"/>
    <cellStyle name="Normal 6 14 3 7" xfId="39135"/>
    <cellStyle name="Normal 6 14 4" xfId="9922"/>
    <cellStyle name="Normal 6 14 4 2" xfId="39136"/>
    <cellStyle name="Normal 6 14 4 3" xfId="39137"/>
    <cellStyle name="Normal 6 14 4 4" xfId="39138"/>
    <cellStyle name="Normal 6 14 5" xfId="9923"/>
    <cellStyle name="Normal 6 14 5 2" xfId="39139"/>
    <cellStyle name="Normal 6 14 5 3" xfId="39140"/>
    <cellStyle name="Normal 6 14 5 4" xfId="39141"/>
    <cellStyle name="Normal 6 14 6" xfId="9924"/>
    <cellStyle name="Normal 6 14 6 2" xfId="39142"/>
    <cellStyle name="Normal 6 14 6 3" xfId="39143"/>
    <cellStyle name="Normal 6 14 6 4" xfId="39144"/>
    <cellStyle name="Normal 6 14 7" xfId="9925"/>
    <cellStyle name="Normal 6 14 7 2" xfId="39145"/>
    <cellStyle name="Normal 6 14 7 3" xfId="39146"/>
    <cellStyle name="Normal 6 14 8" xfId="9926"/>
    <cellStyle name="Normal 6 14 8 2" xfId="39147"/>
    <cellStyle name="Normal 6 14 9" xfId="9927"/>
    <cellStyle name="Normal 6 14 9 2" xfId="39148"/>
    <cellStyle name="Normal 6 15" xfId="805"/>
    <cellStyle name="Normal 6 15 10" xfId="9929"/>
    <cellStyle name="Normal 6 15 10 2" xfId="39150"/>
    <cellStyle name="Normal 6 15 11" xfId="9930"/>
    <cellStyle name="Normal 6 15 12" xfId="9931"/>
    <cellStyle name="Normal 6 15 13" xfId="9932"/>
    <cellStyle name="Normal 6 15 14" xfId="9933"/>
    <cellStyle name="Normal 6 15 15" xfId="11904"/>
    <cellStyle name="Normal 6 15 16" xfId="39149"/>
    <cellStyle name="Normal 6 15 17" xfId="39151"/>
    <cellStyle name="Normal 6 15 18" xfId="39152"/>
    <cellStyle name="Normal 6 15 19" xfId="39153"/>
    <cellStyle name="Normal 6 15 2" xfId="9928"/>
    <cellStyle name="Normal 6 15 2 10" xfId="39154"/>
    <cellStyle name="Normal 6 15 2 11" xfId="39155"/>
    <cellStyle name="Normal 6 15 2 12" xfId="39156"/>
    <cellStyle name="Normal 6 15 2 13" xfId="39157"/>
    <cellStyle name="Normal 6 15 2 14" xfId="39158"/>
    <cellStyle name="Normal 6 15 2 15" xfId="39159"/>
    <cellStyle name="Normal 6 15 2 2" xfId="39160"/>
    <cellStyle name="Normal 6 15 2 2 2" xfId="39161"/>
    <cellStyle name="Normal 6 15 2 2 2 2" xfId="39162"/>
    <cellStyle name="Normal 6 15 2 2 3" xfId="39163"/>
    <cellStyle name="Normal 6 15 2 2 4" xfId="39164"/>
    <cellStyle name="Normal 6 15 2 2 5" xfId="39165"/>
    <cellStyle name="Normal 6 15 2 2 6" xfId="39166"/>
    <cellStyle name="Normal 6 15 2 2 7" xfId="39167"/>
    <cellStyle name="Normal 6 15 2 3" xfId="39168"/>
    <cellStyle name="Normal 6 15 2 3 2" xfId="39169"/>
    <cellStyle name="Normal 6 15 2 3 3" xfId="39170"/>
    <cellStyle name="Normal 6 15 2 3 4" xfId="39171"/>
    <cellStyle name="Normal 6 15 2 4" xfId="39172"/>
    <cellStyle name="Normal 6 15 2 4 2" xfId="39173"/>
    <cellStyle name="Normal 6 15 2 4 3" xfId="39174"/>
    <cellStyle name="Normal 6 15 2 4 4" xfId="39175"/>
    <cellStyle name="Normal 6 15 2 5" xfId="39176"/>
    <cellStyle name="Normal 6 15 2 5 2" xfId="39177"/>
    <cellStyle name="Normal 6 15 2 5 3" xfId="39178"/>
    <cellStyle name="Normal 6 15 2 5 4" xfId="39179"/>
    <cellStyle name="Normal 6 15 2 6" xfId="39180"/>
    <cellStyle name="Normal 6 15 2 6 2" xfId="39181"/>
    <cellStyle name="Normal 6 15 2 6 3" xfId="39182"/>
    <cellStyle name="Normal 6 15 2 7" xfId="39183"/>
    <cellStyle name="Normal 6 15 2 7 2" xfId="39184"/>
    <cellStyle name="Normal 6 15 2 8" xfId="39185"/>
    <cellStyle name="Normal 6 15 2 8 2" xfId="39186"/>
    <cellStyle name="Normal 6 15 2 9" xfId="39187"/>
    <cellStyle name="Normal 6 15 2 9 2" xfId="39188"/>
    <cellStyle name="Normal 6 15 20" xfId="39189"/>
    <cellStyle name="Normal 6 15 3" xfId="9935"/>
    <cellStyle name="Normal 6 15 3 2" xfId="39190"/>
    <cellStyle name="Normal 6 15 3 2 2" xfId="39191"/>
    <cellStyle name="Normal 6 15 3 2 3" xfId="39192"/>
    <cellStyle name="Normal 6 15 3 2 4" xfId="39193"/>
    <cellStyle name="Normal 6 15 3 3" xfId="39194"/>
    <cellStyle name="Normal 6 15 3 3 2" xfId="39195"/>
    <cellStyle name="Normal 6 15 3 3 3" xfId="39196"/>
    <cellStyle name="Normal 6 15 3 4" xfId="39197"/>
    <cellStyle name="Normal 6 15 3 4 2" xfId="39198"/>
    <cellStyle name="Normal 6 15 3 5" xfId="39199"/>
    <cellStyle name="Normal 6 15 3 5 2" xfId="39200"/>
    <cellStyle name="Normal 6 15 3 6" xfId="39201"/>
    <cellStyle name="Normal 6 15 3 6 2" xfId="39202"/>
    <cellStyle name="Normal 6 15 3 7" xfId="39203"/>
    <cellStyle name="Normal 6 15 4" xfId="9936"/>
    <cellStyle name="Normal 6 15 4 2" xfId="39204"/>
    <cellStyle name="Normal 6 15 4 3" xfId="39205"/>
    <cellStyle name="Normal 6 15 4 4" xfId="39206"/>
    <cellStyle name="Normal 6 15 5" xfId="9937"/>
    <cellStyle name="Normal 6 15 5 2" xfId="39207"/>
    <cellStyle name="Normal 6 15 5 3" xfId="39208"/>
    <cellStyle name="Normal 6 15 5 4" xfId="39209"/>
    <cellStyle name="Normal 6 15 6" xfId="9938"/>
    <cellStyle name="Normal 6 15 6 2" xfId="39210"/>
    <cellStyle name="Normal 6 15 6 3" xfId="39211"/>
    <cellStyle name="Normal 6 15 6 4" xfId="39212"/>
    <cellStyle name="Normal 6 15 7" xfId="9939"/>
    <cellStyle name="Normal 6 15 7 2" xfId="39213"/>
    <cellStyle name="Normal 6 15 7 3" xfId="39214"/>
    <cellStyle name="Normal 6 15 8" xfId="9940"/>
    <cellStyle name="Normal 6 15 8 2" xfId="39215"/>
    <cellStyle name="Normal 6 15 9" xfId="9941"/>
    <cellStyle name="Normal 6 15 9 2" xfId="39216"/>
    <cellStyle name="Normal 6 16" xfId="806"/>
    <cellStyle name="Normal 6 16 10" xfId="39218"/>
    <cellStyle name="Normal 6 16 10 2" xfId="39219"/>
    <cellStyle name="Normal 6 16 11" xfId="39220"/>
    <cellStyle name="Normal 6 16 12" xfId="39221"/>
    <cellStyle name="Normal 6 16 13" xfId="39222"/>
    <cellStyle name="Normal 6 16 14" xfId="39223"/>
    <cellStyle name="Normal 6 16 15" xfId="39224"/>
    <cellStyle name="Normal 6 16 16" xfId="39225"/>
    <cellStyle name="Normal 6 16 17" xfId="39226"/>
    <cellStyle name="Normal 6 16 18" xfId="39227"/>
    <cellStyle name="Normal 6 16 19" xfId="39228"/>
    <cellStyle name="Normal 6 16 2" xfId="9942"/>
    <cellStyle name="Normal 6 16 2 10" xfId="39229"/>
    <cellStyle name="Normal 6 16 2 11" xfId="39230"/>
    <cellStyle name="Normal 6 16 2 12" xfId="39231"/>
    <cellStyle name="Normal 6 16 2 13" xfId="39232"/>
    <cellStyle name="Normal 6 16 2 14" xfId="39233"/>
    <cellStyle name="Normal 6 16 2 15" xfId="39234"/>
    <cellStyle name="Normal 6 16 2 2" xfId="39235"/>
    <cellStyle name="Normal 6 16 2 2 2" xfId="39236"/>
    <cellStyle name="Normal 6 16 2 2 2 2" xfId="39237"/>
    <cellStyle name="Normal 6 16 2 2 3" xfId="39238"/>
    <cellStyle name="Normal 6 16 2 2 4" xfId="39239"/>
    <cellStyle name="Normal 6 16 2 2 5" xfId="39240"/>
    <cellStyle name="Normal 6 16 2 2 6" xfId="39241"/>
    <cellStyle name="Normal 6 16 2 2 7" xfId="39242"/>
    <cellStyle name="Normal 6 16 2 3" xfId="39243"/>
    <cellStyle name="Normal 6 16 2 3 2" xfId="39244"/>
    <cellStyle name="Normal 6 16 2 3 3" xfId="39245"/>
    <cellStyle name="Normal 6 16 2 3 4" xfId="39246"/>
    <cellStyle name="Normal 6 16 2 4" xfId="39247"/>
    <cellStyle name="Normal 6 16 2 4 2" xfId="39248"/>
    <cellStyle name="Normal 6 16 2 4 3" xfId="39249"/>
    <cellStyle name="Normal 6 16 2 4 4" xfId="39250"/>
    <cellStyle name="Normal 6 16 2 5" xfId="39251"/>
    <cellStyle name="Normal 6 16 2 5 2" xfId="39252"/>
    <cellStyle name="Normal 6 16 2 5 3" xfId="39253"/>
    <cellStyle name="Normal 6 16 2 5 4" xfId="39254"/>
    <cellStyle name="Normal 6 16 2 6" xfId="39255"/>
    <cellStyle name="Normal 6 16 2 6 2" xfId="39256"/>
    <cellStyle name="Normal 6 16 2 6 3" xfId="39257"/>
    <cellStyle name="Normal 6 16 2 7" xfId="39258"/>
    <cellStyle name="Normal 6 16 2 7 2" xfId="39259"/>
    <cellStyle name="Normal 6 16 2 8" xfId="39260"/>
    <cellStyle name="Normal 6 16 2 8 2" xfId="39261"/>
    <cellStyle name="Normal 6 16 2 9" xfId="39262"/>
    <cellStyle name="Normal 6 16 2 9 2" xfId="39263"/>
    <cellStyle name="Normal 6 16 3" xfId="11905"/>
    <cellStyle name="Normal 6 16 3 2" xfId="39264"/>
    <cellStyle name="Normal 6 16 3 2 2" xfId="39265"/>
    <cellStyle name="Normal 6 16 3 2 3" xfId="39266"/>
    <cellStyle name="Normal 6 16 3 2 4" xfId="39267"/>
    <cellStyle name="Normal 6 16 3 3" xfId="39268"/>
    <cellStyle name="Normal 6 16 3 3 2" xfId="39269"/>
    <cellStyle name="Normal 6 16 3 3 3" xfId="39270"/>
    <cellStyle name="Normal 6 16 3 4" xfId="39271"/>
    <cellStyle name="Normal 6 16 3 4 2" xfId="39272"/>
    <cellStyle name="Normal 6 16 3 5" xfId="39273"/>
    <cellStyle name="Normal 6 16 3 5 2" xfId="39274"/>
    <cellStyle name="Normal 6 16 3 6" xfId="39275"/>
    <cellStyle name="Normal 6 16 3 6 2" xfId="39276"/>
    <cellStyle name="Normal 6 16 3 7" xfId="39277"/>
    <cellStyle name="Normal 6 16 4" xfId="39217"/>
    <cellStyle name="Normal 6 16 4 2" xfId="39278"/>
    <cellStyle name="Normal 6 16 4 3" xfId="39279"/>
    <cellStyle name="Normal 6 16 4 4" xfId="39280"/>
    <cellStyle name="Normal 6 16 5" xfId="39281"/>
    <cellStyle name="Normal 6 16 5 2" xfId="39282"/>
    <cellStyle name="Normal 6 16 5 3" xfId="39283"/>
    <cellStyle name="Normal 6 16 5 4" xfId="39284"/>
    <cellStyle name="Normal 6 16 6" xfId="39285"/>
    <cellStyle name="Normal 6 16 6 2" xfId="39286"/>
    <cellStyle name="Normal 6 16 6 3" xfId="39287"/>
    <cellStyle name="Normal 6 16 6 4" xfId="39288"/>
    <cellStyle name="Normal 6 16 7" xfId="39289"/>
    <cellStyle name="Normal 6 16 7 2" xfId="39290"/>
    <cellStyle name="Normal 6 16 7 3" xfId="39291"/>
    <cellStyle name="Normal 6 16 8" xfId="39292"/>
    <cellStyle name="Normal 6 16 8 2" xfId="39293"/>
    <cellStyle name="Normal 6 16 9" xfId="39294"/>
    <cellStyle name="Normal 6 16 9 2" xfId="39295"/>
    <cellStyle name="Normal 6 17" xfId="807"/>
    <cellStyle name="Normal 6 17 10" xfId="39297"/>
    <cellStyle name="Normal 6 17 10 2" xfId="39298"/>
    <cellStyle name="Normal 6 17 11" xfId="39299"/>
    <cellStyle name="Normal 6 17 12" xfId="39300"/>
    <cellStyle name="Normal 6 17 13" xfId="39301"/>
    <cellStyle name="Normal 6 17 14" xfId="39302"/>
    <cellStyle name="Normal 6 17 15" xfId="39303"/>
    <cellStyle name="Normal 6 17 16" xfId="39304"/>
    <cellStyle name="Normal 6 17 17" xfId="39305"/>
    <cellStyle name="Normal 6 17 2" xfId="9943"/>
    <cellStyle name="Normal 6 17 2 10" xfId="39306"/>
    <cellStyle name="Normal 6 17 2 11" xfId="39307"/>
    <cellStyle name="Normal 6 17 2 2" xfId="39308"/>
    <cellStyle name="Normal 6 17 2 2 2" xfId="39309"/>
    <cellStyle name="Normal 6 17 2 2 3" xfId="39310"/>
    <cellStyle name="Normal 6 17 2 2 4" xfId="39311"/>
    <cellStyle name="Normal 6 17 2 3" xfId="39312"/>
    <cellStyle name="Normal 6 17 2 3 2" xfId="39313"/>
    <cellStyle name="Normal 6 17 2 3 3" xfId="39314"/>
    <cellStyle name="Normal 6 17 2 3 4" xfId="39315"/>
    <cellStyle name="Normal 6 17 2 4" xfId="39316"/>
    <cellStyle name="Normal 6 17 2 4 2" xfId="39317"/>
    <cellStyle name="Normal 6 17 2 4 3" xfId="39318"/>
    <cellStyle name="Normal 6 17 2 4 4" xfId="39319"/>
    <cellStyle name="Normal 6 17 2 5" xfId="39320"/>
    <cellStyle name="Normal 6 17 2 5 2" xfId="39321"/>
    <cellStyle name="Normal 6 17 2 5 3" xfId="39322"/>
    <cellStyle name="Normal 6 17 2 5 4" xfId="39323"/>
    <cellStyle name="Normal 6 17 2 6" xfId="39324"/>
    <cellStyle name="Normal 6 17 2 6 2" xfId="39325"/>
    <cellStyle name="Normal 6 17 2 7" xfId="39326"/>
    <cellStyle name="Normal 6 17 2 7 2" xfId="39327"/>
    <cellStyle name="Normal 6 17 2 8" xfId="39328"/>
    <cellStyle name="Normal 6 17 2 8 2" xfId="39329"/>
    <cellStyle name="Normal 6 17 2 9" xfId="39330"/>
    <cellStyle name="Normal 6 17 2 9 2" xfId="39331"/>
    <cellStyle name="Normal 6 17 3" xfId="11906"/>
    <cellStyle name="Normal 6 17 3 2" xfId="39332"/>
    <cellStyle name="Normal 6 17 3 2 2" xfId="39333"/>
    <cellStyle name="Normal 6 17 3 2 3" xfId="39334"/>
    <cellStyle name="Normal 6 17 3 2 4" xfId="39335"/>
    <cellStyle name="Normal 6 17 3 3" xfId="39336"/>
    <cellStyle name="Normal 6 17 3 3 2" xfId="39337"/>
    <cellStyle name="Normal 6 17 3 3 3" xfId="39338"/>
    <cellStyle name="Normal 6 17 3 4" xfId="39339"/>
    <cellStyle name="Normal 6 17 3 4 2" xfId="39340"/>
    <cellStyle name="Normal 6 17 3 5" xfId="39341"/>
    <cellStyle name="Normal 6 17 3 5 2" xfId="39342"/>
    <cellStyle name="Normal 6 17 3 6" xfId="39343"/>
    <cellStyle name="Normal 6 17 3 6 2" xfId="39344"/>
    <cellStyle name="Normal 6 17 3 7" xfId="39345"/>
    <cellStyle name="Normal 6 17 4" xfId="39296"/>
    <cellStyle name="Normal 6 17 4 2" xfId="39346"/>
    <cellStyle name="Normal 6 17 4 3" xfId="39347"/>
    <cellStyle name="Normal 6 17 4 4" xfId="39348"/>
    <cellStyle name="Normal 6 17 5" xfId="39349"/>
    <cellStyle name="Normal 6 17 5 2" xfId="39350"/>
    <cellStyle name="Normal 6 17 5 3" xfId="39351"/>
    <cellStyle name="Normal 6 17 5 4" xfId="39352"/>
    <cellStyle name="Normal 6 17 6" xfId="39353"/>
    <cellStyle name="Normal 6 17 6 2" xfId="39354"/>
    <cellStyle name="Normal 6 17 6 3" xfId="39355"/>
    <cellStyle name="Normal 6 17 6 4" xfId="39356"/>
    <cellStyle name="Normal 6 17 7" xfId="39357"/>
    <cellStyle name="Normal 6 17 7 2" xfId="39358"/>
    <cellStyle name="Normal 6 17 7 3" xfId="39359"/>
    <cellStyle name="Normal 6 17 8" xfId="39360"/>
    <cellStyle name="Normal 6 17 8 2" xfId="39361"/>
    <cellStyle name="Normal 6 17 9" xfId="39362"/>
    <cellStyle name="Normal 6 17 9 2" xfId="39363"/>
    <cellStyle name="Normal 6 18" xfId="1004"/>
    <cellStyle name="Normal 6 18 10" xfId="39365"/>
    <cellStyle name="Normal 6 18 10 2" xfId="39366"/>
    <cellStyle name="Normal 6 18 11" xfId="39367"/>
    <cellStyle name="Normal 6 18 12" xfId="39368"/>
    <cellStyle name="Normal 6 18 13" xfId="39369"/>
    <cellStyle name="Normal 6 18 14" xfId="39370"/>
    <cellStyle name="Normal 6 18 15" xfId="39371"/>
    <cellStyle name="Normal 6 18 16" xfId="39372"/>
    <cellStyle name="Normal 6 18 17" xfId="39373"/>
    <cellStyle name="Normal 6 18 2" xfId="9944"/>
    <cellStyle name="Normal 6 18 2 10" xfId="39374"/>
    <cellStyle name="Normal 6 18 2 11" xfId="39375"/>
    <cellStyle name="Normal 6 18 2 2" xfId="39376"/>
    <cellStyle name="Normal 6 18 2 2 2" xfId="39377"/>
    <cellStyle name="Normal 6 18 2 2 3" xfId="39378"/>
    <cellStyle name="Normal 6 18 2 2 4" xfId="39379"/>
    <cellStyle name="Normal 6 18 2 3" xfId="39380"/>
    <cellStyle name="Normal 6 18 2 3 2" xfId="39381"/>
    <cellStyle name="Normal 6 18 2 3 3" xfId="39382"/>
    <cellStyle name="Normal 6 18 2 3 4" xfId="39383"/>
    <cellStyle name="Normal 6 18 2 4" xfId="39384"/>
    <cellStyle name="Normal 6 18 2 4 2" xfId="39385"/>
    <cellStyle name="Normal 6 18 2 4 3" xfId="39386"/>
    <cellStyle name="Normal 6 18 2 4 4" xfId="39387"/>
    <cellStyle name="Normal 6 18 2 5" xfId="39388"/>
    <cellStyle name="Normal 6 18 2 5 2" xfId="39389"/>
    <cellStyle name="Normal 6 18 2 5 3" xfId="39390"/>
    <cellStyle name="Normal 6 18 2 5 4" xfId="39391"/>
    <cellStyle name="Normal 6 18 2 6" xfId="39392"/>
    <cellStyle name="Normal 6 18 2 6 2" xfId="39393"/>
    <cellStyle name="Normal 6 18 2 7" xfId="39394"/>
    <cellStyle name="Normal 6 18 2 7 2" xfId="39395"/>
    <cellStyle name="Normal 6 18 2 8" xfId="39396"/>
    <cellStyle name="Normal 6 18 2 8 2" xfId="39397"/>
    <cellStyle name="Normal 6 18 2 9" xfId="39398"/>
    <cellStyle name="Normal 6 18 2 9 2" xfId="39399"/>
    <cellStyle name="Normal 6 18 3" xfId="39364"/>
    <cellStyle name="Normal 6 18 3 2" xfId="39400"/>
    <cellStyle name="Normal 6 18 3 2 2" xfId="39401"/>
    <cellStyle name="Normal 6 18 3 2 3" xfId="39402"/>
    <cellStyle name="Normal 6 18 3 2 4" xfId="39403"/>
    <cellStyle name="Normal 6 18 3 3" xfId="39404"/>
    <cellStyle name="Normal 6 18 3 3 2" xfId="39405"/>
    <cellStyle name="Normal 6 18 3 3 3" xfId="39406"/>
    <cellStyle name="Normal 6 18 3 4" xfId="39407"/>
    <cellStyle name="Normal 6 18 3 4 2" xfId="39408"/>
    <cellStyle name="Normal 6 18 3 5" xfId="39409"/>
    <cellStyle name="Normal 6 18 3 5 2" xfId="39410"/>
    <cellStyle name="Normal 6 18 3 6" xfId="39411"/>
    <cellStyle name="Normal 6 18 3 6 2" xfId="39412"/>
    <cellStyle name="Normal 6 18 3 7" xfId="39413"/>
    <cellStyle name="Normal 6 18 4" xfId="39414"/>
    <cellStyle name="Normal 6 18 4 2" xfId="39415"/>
    <cellStyle name="Normal 6 18 4 3" xfId="39416"/>
    <cellStyle name="Normal 6 18 4 4" xfId="39417"/>
    <cellStyle name="Normal 6 18 5" xfId="39418"/>
    <cellStyle name="Normal 6 18 5 2" xfId="39419"/>
    <cellStyle name="Normal 6 18 5 3" xfId="39420"/>
    <cellStyle name="Normal 6 18 5 4" xfId="39421"/>
    <cellStyle name="Normal 6 18 6" xfId="39422"/>
    <cellStyle name="Normal 6 18 6 2" xfId="39423"/>
    <cellStyle name="Normal 6 18 6 3" xfId="39424"/>
    <cellStyle name="Normal 6 18 6 4" xfId="39425"/>
    <cellStyle name="Normal 6 18 7" xfId="39426"/>
    <cellStyle name="Normal 6 18 7 2" xfId="39427"/>
    <cellStyle name="Normal 6 18 7 3" xfId="39428"/>
    <cellStyle name="Normal 6 18 8" xfId="39429"/>
    <cellStyle name="Normal 6 18 8 2" xfId="39430"/>
    <cellStyle name="Normal 6 18 9" xfId="39431"/>
    <cellStyle name="Normal 6 18 9 2" xfId="39432"/>
    <cellStyle name="Normal 6 19" xfId="1015"/>
    <cellStyle name="Normal 6 19 10" xfId="39434"/>
    <cellStyle name="Normal 6 19 11" xfId="39435"/>
    <cellStyle name="Normal 6 19 12" xfId="39436"/>
    <cellStyle name="Normal 6 19 13" xfId="39437"/>
    <cellStyle name="Normal 6 19 14" xfId="39438"/>
    <cellStyle name="Normal 6 19 15" xfId="39439"/>
    <cellStyle name="Normal 6 19 16" xfId="39440"/>
    <cellStyle name="Normal 6 19 2" xfId="9945"/>
    <cellStyle name="Normal 6 19 2 10" xfId="39441"/>
    <cellStyle name="Normal 6 19 2 11" xfId="39442"/>
    <cellStyle name="Normal 6 19 2 2" xfId="39443"/>
    <cellStyle name="Normal 6 19 2 2 2" xfId="39444"/>
    <cellStyle name="Normal 6 19 2 3" xfId="39445"/>
    <cellStyle name="Normal 6 19 2 3 2" xfId="39446"/>
    <cellStyle name="Normal 6 19 2 4" xfId="39447"/>
    <cellStyle name="Normal 6 19 2 4 2" xfId="39448"/>
    <cellStyle name="Normal 6 19 2 5" xfId="39449"/>
    <cellStyle name="Normal 6 19 2 5 2" xfId="39450"/>
    <cellStyle name="Normal 6 19 2 6" xfId="39451"/>
    <cellStyle name="Normal 6 19 2 7" xfId="39452"/>
    <cellStyle name="Normal 6 19 2 8" xfId="39453"/>
    <cellStyle name="Normal 6 19 2 9" xfId="39454"/>
    <cellStyle name="Normal 6 19 3" xfId="39433"/>
    <cellStyle name="Normal 6 19 3 2" xfId="39455"/>
    <cellStyle name="Normal 6 19 3 2 2" xfId="39456"/>
    <cellStyle name="Normal 6 19 3 3" xfId="39457"/>
    <cellStyle name="Normal 6 19 3 4" xfId="39458"/>
    <cellStyle name="Normal 6 19 3 5" xfId="39459"/>
    <cellStyle name="Normal 6 19 3 6" xfId="39460"/>
    <cellStyle name="Normal 6 19 3 7" xfId="39461"/>
    <cellStyle name="Normal 6 19 4" xfId="39462"/>
    <cellStyle name="Normal 6 19 4 2" xfId="39463"/>
    <cellStyle name="Normal 6 19 4 3" xfId="39464"/>
    <cellStyle name="Normal 6 19 4 4" xfId="39465"/>
    <cellStyle name="Normal 6 19 5" xfId="39466"/>
    <cellStyle name="Normal 6 19 5 2" xfId="39467"/>
    <cellStyle name="Normal 6 19 5 3" xfId="39468"/>
    <cellStyle name="Normal 6 19 5 4" xfId="39469"/>
    <cellStyle name="Normal 6 19 6" xfId="39470"/>
    <cellStyle name="Normal 6 19 6 2" xfId="39471"/>
    <cellStyle name="Normal 6 19 6 3" xfId="39472"/>
    <cellStyle name="Normal 6 19 7" xfId="39473"/>
    <cellStyle name="Normal 6 19 7 2" xfId="39474"/>
    <cellStyle name="Normal 6 19 7 3" xfId="39475"/>
    <cellStyle name="Normal 6 19 8" xfId="39476"/>
    <cellStyle name="Normal 6 19 8 2" xfId="39477"/>
    <cellStyle name="Normal 6 19 9" xfId="39478"/>
    <cellStyle name="Normal 6 19 9 2" xfId="39479"/>
    <cellStyle name="Normal 6 2" xfId="808"/>
    <cellStyle name="Normal 6 2 10" xfId="809"/>
    <cellStyle name="Normal 6 2 10 10" xfId="9948"/>
    <cellStyle name="Normal 6 2 10 10 2" xfId="39482"/>
    <cellStyle name="Normal 6 2 10 11" xfId="9949"/>
    <cellStyle name="Normal 6 2 10 12" xfId="9950"/>
    <cellStyle name="Normal 6 2 10 13" xfId="9951"/>
    <cellStyle name="Normal 6 2 10 14" xfId="9952"/>
    <cellStyle name="Normal 6 2 10 15" xfId="11908"/>
    <cellStyle name="Normal 6 2 10 16" xfId="39481"/>
    <cellStyle name="Normal 6 2 10 17" xfId="39483"/>
    <cellStyle name="Normal 6 2 10 2" xfId="9947"/>
    <cellStyle name="Normal 6 2 10 2 10" xfId="39484"/>
    <cellStyle name="Normal 6 2 10 2 11" xfId="39485"/>
    <cellStyle name="Normal 6 2 10 2 2" xfId="39486"/>
    <cellStyle name="Normal 6 2 10 2 2 2" xfId="39487"/>
    <cellStyle name="Normal 6 2 10 2 2 3" xfId="39488"/>
    <cellStyle name="Normal 6 2 10 2 2 4" xfId="39489"/>
    <cellStyle name="Normal 6 2 10 2 3" xfId="39490"/>
    <cellStyle name="Normal 6 2 10 2 3 2" xfId="39491"/>
    <cellStyle name="Normal 6 2 10 2 3 3" xfId="39492"/>
    <cellStyle name="Normal 6 2 10 2 3 4" xfId="39493"/>
    <cellStyle name="Normal 6 2 10 2 4" xfId="39494"/>
    <cellStyle name="Normal 6 2 10 2 4 2" xfId="39495"/>
    <cellStyle name="Normal 6 2 10 2 4 3" xfId="39496"/>
    <cellStyle name="Normal 6 2 10 2 4 4" xfId="39497"/>
    <cellStyle name="Normal 6 2 10 2 5" xfId="39498"/>
    <cellStyle name="Normal 6 2 10 2 5 2" xfId="39499"/>
    <cellStyle name="Normal 6 2 10 2 5 3" xfId="39500"/>
    <cellStyle name="Normal 6 2 10 2 5 4" xfId="39501"/>
    <cellStyle name="Normal 6 2 10 2 6" xfId="39502"/>
    <cellStyle name="Normal 6 2 10 2 6 2" xfId="39503"/>
    <cellStyle name="Normal 6 2 10 2 7" xfId="39504"/>
    <cellStyle name="Normal 6 2 10 2 7 2" xfId="39505"/>
    <cellStyle name="Normal 6 2 10 2 8" xfId="39506"/>
    <cellStyle name="Normal 6 2 10 2 8 2" xfId="39507"/>
    <cellStyle name="Normal 6 2 10 2 9" xfId="39508"/>
    <cellStyle name="Normal 6 2 10 2 9 2" xfId="39509"/>
    <cellStyle name="Normal 6 2 10 3" xfId="9954"/>
    <cellStyle name="Normal 6 2 10 3 2" xfId="39510"/>
    <cellStyle name="Normal 6 2 10 3 2 2" xfId="39511"/>
    <cellStyle name="Normal 6 2 10 3 2 3" xfId="39512"/>
    <cellStyle name="Normal 6 2 10 3 2 4" xfId="39513"/>
    <cellStyle name="Normal 6 2 10 3 3" xfId="39514"/>
    <cellStyle name="Normal 6 2 10 3 3 2" xfId="39515"/>
    <cellStyle name="Normal 6 2 10 3 3 3" xfId="39516"/>
    <cellStyle name="Normal 6 2 10 3 4" xfId="39517"/>
    <cellStyle name="Normal 6 2 10 3 4 2" xfId="39518"/>
    <cellStyle name="Normal 6 2 10 3 5" xfId="39519"/>
    <cellStyle name="Normal 6 2 10 3 5 2" xfId="39520"/>
    <cellStyle name="Normal 6 2 10 3 6" xfId="39521"/>
    <cellStyle name="Normal 6 2 10 3 6 2" xfId="39522"/>
    <cellStyle name="Normal 6 2 10 3 7" xfId="39523"/>
    <cellStyle name="Normal 6 2 10 4" xfId="9955"/>
    <cellStyle name="Normal 6 2 10 4 2" xfId="39524"/>
    <cellStyle name="Normal 6 2 10 4 3" xfId="39525"/>
    <cellStyle name="Normal 6 2 10 4 4" xfId="39526"/>
    <cellStyle name="Normal 6 2 10 5" xfId="9956"/>
    <cellStyle name="Normal 6 2 10 5 2" xfId="39527"/>
    <cellStyle name="Normal 6 2 10 5 3" xfId="39528"/>
    <cellStyle name="Normal 6 2 10 5 4" xfId="39529"/>
    <cellStyle name="Normal 6 2 10 6" xfId="9957"/>
    <cellStyle name="Normal 6 2 10 6 2" xfId="39530"/>
    <cellStyle name="Normal 6 2 10 6 3" xfId="39531"/>
    <cellStyle name="Normal 6 2 10 6 4" xfId="39532"/>
    <cellStyle name="Normal 6 2 10 7" xfId="9958"/>
    <cellStyle name="Normal 6 2 10 7 2" xfId="39533"/>
    <cellStyle name="Normal 6 2 10 7 3" xfId="39534"/>
    <cellStyle name="Normal 6 2 10 8" xfId="9959"/>
    <cellStyle name="Normal 6 2 10 8 2" xfId="39535"/>
    <cellStyle name="Normal 6 2 10 9" xfId="9960"/>
    <cellStyle name="Normal 6 2 10 9 2" xfId="39536"/>
    <cellStyle name="Normal 6 2 11" xfId="810"/>
    <cellStyle name="Normal 6 2 11 10" xfId="9962"/>
    <cellStyle name="Normal 6 2 11 10 2" xfId="39538"/>
    <cellStyle name="Normal 6 2 11 11" xfId="9963"/>
    <cellStyle name="Normal 6 2 11 12" xfId="9964"/>
    <cellStyle name="Normal 6 2 11 13" xfId="9965"/>
    <cellStyle name="Normal 6 2 11 14" xfId="9966"/>
    <cellStyle name="Normal 6 2 11 15" xfId="11909"/>
    <cellStyle name="Normal 6 2 11 16" xfId="39537"/>
    <cellStyle name="Normal 6 2 11 2" xfId="9961"/>
    <cellStyle name="Normal 6 2 11 2 2" xfId="39539"/>
    <cellStyle name="Normal 6 2 11 2 2 2" xfId="39540"/>
    <cellStyle name="Normal 6 2 11 2 2 3" xfId="39541"/>
    <cellStyle name="Normal 6 2 11 2 3" xfId="39542"/>
    <cellStyle name="Normal 6 2 11 2 3 2" xfId="39543"/>
    <cellStyle name="Normal 6 2 11 2 4" xfId="39544"/>
    <cellStyle name="Normal 6 2 11 2 4 2" xfId="39545"/>
    <cellStyle name="Normal 6 2 11 2 5" xfId="39546"/>
    <cellStyle name="Normal 6 2 11 2 5 2" xfId="39547"/>
    <cellStyle name="Normal 6 2 11 2 6" xfId="39548"/>
    <cellStyle name="Normal 6 2 11 2 7" xfId="39549"/>
    <cellStyle name="Normal 6 2 11 2 8" xfId="39550"/>
    <cellStyle name="Normal 6 2 11 2 9" xfId="39551"/>
    <cellStyle name="Normal 6 2 11 3" xfId="9968"/>
    <cellStyle name="Normal 6 2 11 3 2" xfId="39552"/>
    <cellStyle name="Normal 6 2 11 3 2 2" xfId="39553"/>
    <cellStyle name="Normal 6 2 11 3 2 3" xfId="39554"/>
    <cellStyle name="Normal 6 2 11 3 3" xfId="39555"/>
    <cellStyle name="Normal 6 2 11 3 3 2" xfId="39556"/>
    <cellStyle name="Normal 6 2 11 3 4" xfId="39557"/>
    <cellStyle name="Normal 6 2 11 3 5" xfId="39558"/>
    <cellStyle name="Normal 6 2 11 3 6" xfId="39559"/>
    <cellStyle name="Normal 6 2 11 3 7" xfId="39560"/>
    <cellStyle name="Normal 6 2 11 4" xfId="9969"/>
    <cellStyle name="Normal 6 2 11 4 2" xfId="39561"/>
    <cellStyle name="Normal 6 2 11 4 3" xfId="39562"/>
    <cellStyle name="Normal 6 2 11 4 4" xfId="39563"/>
    <cellStyle name="Normal 6 2 11 5" xfId="9970"/>
    <cellStyle name="Normal 6 2 11 5 2" xfId="39564"/>
    <cellStyle name="Normal 6 2 11 5 3" xfId="39565"/>
    <cellStyle name="Normal 6 2 11 5 4" xfId="39566"/>
    <cellStyle name="Normal 6 2 11 6" xfId="9971"/>
    <cellStyle name="Normal 6 2 11 6 2" xfId="39567"/>
    <cellStyle name="Normal 6 2 11 6 3" xfId="39568"/>
    <cellStyle name="Normal 6 2 11 7" xfId="9972"/>
    <cellStyle name="Normal 6 2 11 7 2" xfId="39569"/>
    <cellStyle name="Normal 6 2 11 8" xfId="9973"/>
    <cellStyle name="Normal 6 2 11 8 2" xfId="39570"/>
    <cellStyle name="Normal 6 2 11 9" xfId="9974"/>
    <cellStyle name="Normal 6 2 11 9 2" xfId="39571"/>
    <cellStyle name="Normal 6 2 12" xfId="811"/>
    <cellStyle name="Normal 6 2 12 10" xfId="9976"/>
    <cellStyle name="Normal 6 2 12 11" xfId="9977"/>
    <cellStyle name="Normal 6 2 12 12" xfId="9978"/>
    <cellStyle name="Normal 6 2 12 13" xfId="9979"/>
    <cellStyle name="Normal 6 2 12 14" xfId="9980"/>
    <cellStyle name="Normal 6 2 12 15" xfId="11910"/>
    <cellStyle name="Normal 6 2 12 16" xfId="39572"/>
    <cellStyle name="Normal 6 2 12 2" xfId="9975"/>
    <cellStyle name="Normal 6 2 12 2 2" xfId="39573"/>
    <cellStyle name="Normal 6 2 12 2 3" xfId="39574"/>
    <cellStyle name="Normal 6 2 12 2 4" xfId="39575"/>
    <cellStyle name="Normal 6 2 12 3" xfId="9982"/>
    <cellStyle name="Normal 6 2 12 3 2" xfId="39576"/>
    <cellStyle name="Normal 6 2 12 3 3" xfId="39577"/>
    <cellStyle name="Normal 6 2 12 4" xfId="9983"/>
    <cellStyle name="Normal 6 2 12 4 2" xfId="39578"/>
    <cellStyle name="Normal 6 2 12 4 3" xfId="39579"/>
    <cellStyle name="Normal 6 2 12 5" xfId="9984"/>
    <cellStyle name="Normal 6 2 12 5 2" xfId="39580"/>
    <cellStyle name="Normal 6 2 12 5 3" xfId="39581"/>
    <cellStyle name="Normal 6 2 12 6" xfId="9985"/>
    <cellStyle name="Normal 6 2 12 6 2" xfId="39582"/>
    <cellStyle name="Normal 6 2 12 7" xfId="9986"/>
    <cellStyle name="Normal 6 2 12 8" xfId="9987"/>
    <cellStyle name="Normal 6 2 12 9" xfId="9988"/>
    <cellStyle name="Normal 6 2 13" xfId="812"/>
    <cellStyle name="Normal 6 2 13 10" xfId="9990"/>
    <cellStyle name="Normal 6 2 13 11" xfId="9991"/>
    <cellStyle name="Normal 6 2 13 12" xfId="9992"/>
    <cellStyle name="Normal 6 2 13 13" xfId="9993"/>
    <cellStyle name="Normal 6 2 13 14" xfId="9994"/>
    <cellStyle name="Normal 6 2 13 15" xfId="11911"/>
    <cellStyle name="Normal 6 2 13 16" xfId="39583"/>
    <cellStyle name="Normal 6 2 13 2" xfId="9989"/>
    <cellStyle name="Normal 6 2 13 2 2" xfId="39584"/>
    <cellStyle name="Normal 6 2 13 2 3" xfId="39585"/>
    <cellStyle name="Normal 6 2 13 3" xfId="9996"/>
    <cellStyle name="Normal 6 2 13 3 2" xfId="39586"/>
    <cellStyle name="Normal 6 2 13 4" xfId="9997"/>
    <cellStyle name="Normal 6 2 13 5" xfId="9998"/>
    <cellStyle name="Normal 6 2 13 6" xfId="9999"/>
    <cellStyle name="Normal 6 2 13 7" xfId="10000"/>
    <cellStyle name="Normal 6 2 13 8" xfId="10001"/>
    <cellStyle name="Normal 6 2 13 9" xfId="10002"/>
    <cellStyle name="Normal 6 2 14" xfId="813"/>
    <cellStyle name="Normal 6 2 14 2" xfId="10003"/>
    <cellStyle name="Normal 6 2 14 3" xfId="11912"/>
    <cellStyle name="Normal 6 2 14 4" xfId="39587"/>
    <cellStyle name="Normal 6 2 15" xfId="814"/>
    <cellStyle name="Normal 6 2 15 2" xfId="10004"/>
    <cellStyle name="Normal 6 2 15 3" xfId="11913"/>
    <cellStyle name="Normal 6 2 15 4" xfId="39588"/>
    <cellStyle name="Normal 6 2 16" xfId="9946"/>
    <cellStyle name="Normal 6 2 16 2" xfId="39589"/>
    <cellStyle name="Normal 6 2 16 3" xfId="39590"/>
    <cellStyle name="Normal 6 2 16 4" xfId="39591"/>
    <cellStyle name="Normal 6 2 17" xfId="10006"/>
    <cellStyle name="Normal 6 2 17 2" xfId="39592"/>
    <cellStyle name="Normal 6 2 18" xfId="10007"/>
    <cellStyle name="Normal 6 2 18 2" xfId="39593"/>
    <cellStyle name="Normal 6 2 19" xfId="10008"/>
    <cellStyle name="Normal 6 2 19 2" xfId="39594"/>
    <cellStyle name="Normal 6 2 2" xfId="815"/>
    <cellStyle name="Normal 6 2 2 10" xfId="816"/>
    <cellStyle name="Normal 6 2 2 10 2" xfId="10010"/>
    <cellStyle name="Normal 6 2 2 10 3" xfId="11915"/>
    <cellStyle name="Normal 6 2 2 10 4" xfId="39596"/>
    <cellStyle name="Normal 6 2 2 11" xfId="10009"/>
    <cellStyle name="Normal 6 2 2 11 2" xfId="39597"/>
    <cellStyle name="Normal 6 2 2 12" xfId="10012"/>
    <cellStyle name="Normal 6 2 2 13" xfId="10013"/>
    <cellStyle name="Normal 6 2 2 14" xfId="10014"/>
    <cellStyle name="Normal 6 2 2 15" xfId="10015"/>
    <cellStyle name="Normal 6 2 2 16" xfId="10016"/>
    <cellStyle name="Normal 6 2 2 17" xfId="10017"/>
    <cellStyle name="Normal 6 2 2 18" xfId="10018"/>
    <cellStyle name="Normal 6 2 2 19" xfId="10019"/>
    <cellStyle name="Normal 6 2 2 2" xfId="817"/>
    <cellStyle name="Normal 6 2 2 2 10" xfId="10021"/>
    <cellStyle name="Normal 6 2 2 2 11" xfId="10022"/>
    <cellStyle name="Normal 6 2 2 2 12" xfId="10023"/>
    <cellStyle name="Normal 6 2 2 2 13" xfId="10024"/>
    <cellStyle name="Normal 6 2 2 2 14" xfId="10025"/>
    <cellStyle name="Normal 6 2 2 2 15" xfId="11916"/>
    <cellStyle name="Normal 6 2 2 2 16" xfId="39598"/>
    <cellStyle name="Normal 6 2 2 2 17" xfId="39599"/>
    <cellStyle name="Normal 6 2 2 2 18" xfId="39600"/>
    <cellStyle name="Normal 6 2 2 2 2" xfId="10020"/>
    <cellStyle name="Normal 6 2 2 2 2 10" xfId="39601"/>
    <cellStyle name="Normal 6 2 2 2 2 11" xfId="39602"/>
    <cellStyle name="Normal 6 2 2 2 2 2" xfId="39603"/>
    <cellStyle name="Normal 6 2 2 2 2 2 2" xfId="39604"/>
    <cellStyle name="Normal 6 2 2 2 2 3" xfId="39605"/>
    <cellStyle name="Normal 6 2 2 2 2 3 2" xfId="39606"/>
    <cellStyle name="Normal 6 2 2 2 2 4" xfId="39607"/>
    <cellStyle name="Normal 6 2 2 2 2 4 2" xfId="39608"/>
    <cellStyle name="Normal 6 2 2 2 2 5" xfId="39609"/>
    <cellStyle name="Normal 6 2 2 2 2 5 2" xfId="39610"/>
    <cellStyle name="Normal 6 2 2 2 2 6" xfId="39611"/>
    <cellStyle name="Normal 6 2 2 2 2 7" xfId="39612"/>
    <cellStyle name="Normal 6 2 2 2 2 8" xfId="39613"/>
    <cellStyle name="Normal 6 2 2 2 2 9" xfId="39614"/>
    <cellStyle name="Normal 6 2 2 2 3" xfId="10027"/>
    <cellStyle name="Normal 6 2 2 2 3 2" xfId="39615"/>
    <cellStyle name="Normal 6 2 2 2 3 2 2" xfId="39616"/>
    <cellStyle name="Normal 6 2 2 2 3 3" xfId="39617"/>
    <cellStyle name="Normal 6 2 2 2 3 4" xfId="39618"/>
    <cellStyle name="Normal 6 2 2 2 3 5" xfId="39619"/>
    <cellStyle name="Normal 6 2 2 2 3 6" xfId="39620"/>
    <cellStyle name="Normal 6 2 2 2 3 7" xfId="39621"/>
    <cellStyle name="Normal 6 2 2 2 4" xfId="10028"/>
    <cellStyle name="Normal 6 2 2 2 4 2" xfId="39622"/>
    <cellStyle name="Normal 6 2 2 2 4 3" xfId="39623"/>
    <cellStyle name="Normal 6 2 2 2 4 4" xfId="39624"/>
    <cellStyle name="Normal 6 2 2 2 5" xfId="10029"/>
    <cellStyle name="Normal 6 2 2 2 5 2" xfId="39625"/>
    <cellStyle name="Normal 6 2 2 2 5 3" xfId="39626"/>
    <cellStyle name="Normal 6 2 2 2 5 4" xfId="39627"/>
    <cellStyle name="Normal 6 2 2 2 6" xfId="10030"/>
    <cellStyle name="Normal 6 2 2 2 6 2" xfId="39628"/>
    <cellStyle name="Normal 6 2 2 2 6 3" xfId="39629"/>
    <cellStyle name="Normal 6 2 2 2 7" xfId="10031"/>
    <cellStyle name="Normal 6 2 2 2 7 2" xfId="39630"/>
    <cellStyle name="Normal 6 2 2 2 7 3" xfId="39631"/>
    <cellStyle name="Normal 6 2 2 2 8" xfId="10032"/>
    <cellStyle name="Normal 6 2 2 2 8 2" xfId="39632"/>
    <cellStyle name="Normal 6 2 2 2 9" xfId="10033"/>
    <cellStyle name="Normal 6 2 2 2 9 2" xfId="39633"/>
    <cellStyle name="Normal 6 2 2 20" xfId="10034"/>
    <cellStyle name="Normal 6 2 2 21" xfId="10035"/>
    <cellStyle name="Normal 6 2 2 22" xfId="10036"/>
    <cellStyle name="Normal 6 2 2 23" xfId="11914"/>
    <cellStyle name="Normal 6 2 2 24" xfId="39595"/>
    <cellStyle name="Normal 6 2 2 3" xfId="818"/>
    <cellStyle name="Normal 6 2 2 3 10" xfId="10038"/>
    <cellStyle name="Normal 6 2 2 3 11" xfId="10039"/>
    <cellStyle name="Normal 6 2 2 3 12" xfId="10040"/>
    <cellStyle name="Normal 6 2 2 3 13" xfId="10041"/>
    <cellStyle name="Normal 6 2 2 3 14" xfId="10042"/>
    <cellStyle name="Normal 6 2 2 3 15" xfId="11917"/>
    <cellStyle name="Normal 6 2 2 3 16" xfId="39634"/>
    <cellStyle name="Normal 6 2 2 3 17" xfId="39635"/>
    <cellStyle name="Normal 6 2 2 3 18" xfId="39636"/>
    <cellStyle name="Normal 6 2 2 3 2" xfId="10037"/>
    <cellStyle name="Normal 6 2 2 3 2 10" xfId="39637"/>
    <cellStyle name="Normal 6 2 2 3 2 11" xfId="39638"/>
    <cellStyle name="Normal 6 2 2 3 2 2" xfId="39639"/>
    <cellStyle name="Normal 6 2 2 3 2 2 2" xfId="39640"/>
    <cellStyle name="Normal 6 2 2 3 2 3" xfId="39641"/>
    <cellStyle name="Normal 6 2 2 3 2 3 2" xfId="39642"/>
    <cellStyle name="Normal 6 2 2 3 2 4" xfId="39643"/>
    <cellStyle name="Normal 6 2 2 3 2 4 2" xfId="39644"/>
    <cellStyle name="Normal 6 2 2 3 2 5" xfId="39645"/>
    <cellStyle name="Normal 6 2 2 3 2 5 2" xfId="39646"/>
    <cellStyle name="Normal 6 2 2 3 2 6" xfId="39647"/>
    <cellStyle name="Normal 6 2 2 3 2 7" xfId="39648"/>
    <cellStyle name="Normal 6 2 2 3 2 8" xfId="39649"/>
    <cellStyle name="Normal 6 2 2 3 2 9" xfId="39650"/>
    <cellStyle name="Normal 6 2 2 3 3" xfId="10044"/>
    <cellStyle name="Normal 6 2 2 3 3 2" xfId="39651"/>
    <cellStyle name="Normal 6 2 2 3 3 2 2" xfId="39652"/>
    <cellStyle name="Normal 6 2 2 3 3 3" xfId="39653"/>
    <cellStyle name="Normal 6 2 2 3 3 4" xfId="39654"/>
    <cellStyle name="Normal 6 2 2 3 3 5" xfId="39655"/>
    <cellStyle name="Normal 6 2 2 3 3 6" xfId="39656"/>
    <cellStyle name="Normal 6 2 2 3 3 7" xfId="39657"/>
    <cellStyle name="Normal 6 2 2 3 4" xfId="10045"/>
    <cellStyle name="Normal 6 2 2 3 4 2" xfId="39658"/>
    <cellStyle name="Normal 6 2 2 3 4 3" xfId="39659"/>
    <cellStyle name="Normal 6 2 2 3 5" xfId="10046"/>
    <cellStyle name="Normal 6 2 2 3 5 2" xfId="39660"/>
    <cellStyle name="Normal 6 2 2 3 5 3" xfId="39661"/>
    <cellStyle name="Normal 6 2 2 3 6" xfId="10047"/>
    <cellStyle name="Normal 6 2 2 3 6 2" xfId="39662"/>
    <cellStyle name="Normal 6 2 2 3 6 3" xfId="39663"/>
    <cellStyle name="Normal 6 2 2 3 7" xfId="10048"/>
    <cellStyle name="Normal 6 2 2 3 7 2" xfId="39664"/>
    <cellStyle name="Normal 6 2 2 3 7 3" xfId="39665"/>
    <cellStyle name="Normal 6 2 2 3 8" xfId="10049"/>
    <cellStyle name="Normal 6 2 2 3 9" xfId="10050"/>
    <cellStyle name="Normal 6 2 2 4" xfId="819"/>
    <cellStyle name="Normal 6 2 2 4 10" xfId="10052"/>
    <cellStyle name="Normal 6 2 2 4 11" xfId="10053"/>
    <cellStyle name="Normal 6 2 2 4 12" xfId="10054"/>
    <cellStyle name="Normal 6 2 2 4 13" xfId="10055"/>
    <cellStyle name="Normal 6 2 2 4 14" xfId="10056"/>
    <cellStyle name="Normal 6 2 2 4 15" xfId="11918"/>
    <cellStyle name="Normal 6 2 2 4 16" xfId="39666"/>
    <cellStyle name="Normal 6 2 2 4 17" xfId="39667"/>
    <cellStyle name="Normal 6 2 2 4 2" xfId="10051"/>
    <cellStyle name="Normal 6 2 2 4 2 2" xfId="39668"/>
    <cellStyle name="Normal 6 2 2 4 2 2 2" xfId="39669"/>
    <cellStyle name="Normal 6 2 2 4 2 3" xfId="39670"/>
    <cellStyle name="Normal 6 2 2 4 2 3 2" xfId="39671"/>
    <cellStyle name="Normal 6 2 2 4 2 4" xfId="39672"/>
    <cellStyle name="Normal 6 2 2 4 2 4 2" xfId="39673"/>
    <cellStyle name="Normal 6 2 2 4 2 5" xfId="39674"/>
    <cellStyle name="Normal 6 2 2 4 2 5 2" xfId="39675"/>
    <cellStyle name="Normal 6 2 2 4 2 6" xfId="39676"/>
    <cellStyle name="Normal 6 2 2 4 2 7" xfId="39677"/>
    <cellStyle name="Normal 6 2 2 4 2 8" xfId="39678"/>
    <cellStyle name="Normal 6 2 2 4 2 9" xfId="39679"/>
    <cellStyle name="Normal 6 2 2 4 3" xfId="10058"/>
    <cellStyle name="Normal 6 2 2 4 3 2" xfId="39680"/>
    <cellStyle name="Normal 6 2 2 4 3 2 2" xfId="39681"/>
    <cellStyle name="Normal 6 2 2 4 3 3" xfId="39682"/>
    <cellStyle name="Normal 6 2 2 4 3 4" xfId="39683"/>
    <cellStyle name="Normal 6 2 2 4 3 5" xfId="39684"/>
    <cellStyle name="Normal 6 2 2 4 4" xfId="10059"/>
    <cellStyle name="Normal 6 2 2 4 4 2" xfId="39685"/>
    <cellStyle name="Normal 6 2 2 4 5" xfId="10060"/>
    <cellStyle name="Normal 6 2 2 4 5 2" xfId="39686"/>
    <cellStyle name="Normal 6 2 2 4 6" xfId="10061"/>
    <cellStyle name="Normal 6 2 2 4 6 2" xfId="39687"/>
    <cellStyle name="Normal 6 2 2 4 7" xfId="10062"/>
    <cellStyle name="Normal 6 2 2 4 7 2" xfId="39688"/>
    <cellStyle name="Normal 6 2 2 4 8" xfId="10063"/>
    <cellStyle name="Normal 6 2 2 4 9" xfId="10064"/>
    <cellStyle name="Normal 6 2 2 5" xfId="820"/>
    <cellStyle name="Normal 6 2 2 5 10" xfId="10066"/>
    <cellStyle name="Normal 6 2 2 5 11" xfId="10067"/>
    <cellStyle name="Normal 6 2 2 5 12" xfId="10068"/>
    <cellStyle name="Normal 6 2 2 5 13" xfId="10069"/>
    <cellStyle name="Normal 6 2 2 5 14" xfId="10070"/>
    <cellStyle name="Normal 6 2 2 5 15" xfId="11919"/>
    <cellStyle name="Normal 6 2 2 5 16" xfId="39689"/>
    <cellStyle name="Normal 6 2 2 5 2" xfId="10065"/>
    <cellStyle name="Normal 6 2 2 5 2 2" xfId="39690"/>
    <cellStyle name="Normal 6 2 2 5 2 2 2" xfId="39691"/>
    <cellStyle name="Normal 6 2 2 5 2 3" xfId="39692"/>
    <cellStyle name="Normal 6 2 2 5 2 3 2" xfId="39693"/>
    <cellStyle name="Normal 6 2 2 5 2 4" xfId="39694"/>
    <cellStyle name="Normal 6 2 2 5 2 4 2" xfId="39695"/>
    <cellStyle name="Normal 6 2 2 5 2 5" xfId="39696"/>
    <cellStyle name="Normal 6 2 2 5 2 5 2" xfId="39697"/>
    <cellStyle name="Normal 6 2 2 5 2 6" xfId="39698"/>
    <cellStyle name="Normal 6 2 2 5 2 7" xfId="39699"/>
    <cellStyle name="Normal 6 2 2 5 2 8" xfId="39700"/>
    <cellStyle name="Normal 6 2 2 5 2 9" xfId="39701"/>
    <cellStyle name="Normal 6 2 2 5 3" xfId="10072"/>
    <cellStyle name="Normal 6 2 2 5 3 2" xfId="39702"/>
    <cellStyle name="Normal 6 2 2 5 3 2 2" xfId="39703"/>
    <cellStyle name="Normal 6 2 2 5 3 3" xfId="39704"/>
    <cellStyle name="Normal 6 2 2 5 3 4" xfId="39705"/>
    <cellStyle name="Normal 6 2 2 5 3 5" xfId="39706"/>
    <cellStyle name="Normal 6 2 2 5 4" xfId="10073"/>
    <cellStyle name="Normal 6 2 2 5 4 2" xfId="39707"/>
    <cellStyle name="Normal 6 2 2 5 5" xfId="10074"/>
    <cellStyle name="Normal 6 2 2 5 5 2" xfId="39708"/>
    <cellStyle name="Normal 6 2 2 5 6" xfId="10075"/>
    <cellStyle name="Normal 6 2 2 5 6 2" xfId="39709"/>
    <cellStyle name="Normal 6 2 2 5 7" xfId="10076"/>
    <cellStyle name="Normal 6 2 2 5 7 2" xfId="39710"/>
    <cellStyle name="Normal 6 2 2 5 8" xfId="10077"/>
    <cellStyle name="Normal 6 2 2 5 9" xfId="10078"/>
    <cellStyle name="Normal 6 2 2 6" xfId="821"/>
    <cellStyle name="Normal 6 2 2 6 10" xfId="10080"/>
    <cellStyle name="Normal 6 2 2 6 11" xfId="10081"/>
    <cellStyle name="Normal 6 2 2 6 12" xfId="10082"/>
    <cellStyle name="Normal 6 2 2 6 13" xfId="10083"/>
    <cellStyle name="Normal 6 2 2 6 14" xfId="10084"/>
    <cellStyle name="Normal 6 2 2 6 15" xfId="11920"/>
    <cellStyle name="Normal 6 2 2 6 16" xfId="39711"/>
    <cellStyle name="Normal 6 2 2 6 2" xfId="10079"/>
    <cellStyle name="Normal 6 2 2 6 2 2" xfId="39712"/>
    <cellStyle name="Normal 6 2 2 6 3" xfId="10086"/>
    <cellStyle name="Normal 6 2 2 6 3 2" xfId="39713"/>
    <cellStyle name="Normal 6 2 2 6 4" xfId="10087"/>
    <cellStyle name="Normal 6 2 2 6 4 2" xfId="39714"/>
    <cellStyle name="Normal 6 2 2 6 5" xfId="10088"/>
    <cellStyle name="Normal 6 2 2 6 5 2" xfId="39715"/>
    <cellStyle name="Normal 6 2 2 6 6" xfId="10089"/>
    <cellStyle name="Normal 6 2 2 6 7" xfId="10090"/>
    <cellStyle name="Normal 6 2 2 6 8" xfId="10091"/>
    <cellStyle name="Normal 6 2 2 6 9" xfId="10092"/>
    <cellStyle name="Normal 6 2 2 7" xfId="822"/>
    <cellStyle name="Normal 6 2 2 7 10" xfId="10094"/>
    <cellStyle name="Normal 6 2 2 7 11" xfId="10095"/>
    <cellStyle name="Normal 6 2 2 7 12" xfId="10096"/>
    <cellStyle name="Normal 6 2 2 7 13" xfId="10097"/>
    <cellStyle name="Normal 6 2 2 7 14" xfId="10098"/>
    <cellStyle name="Normal 6 2 2 7 15" xfId="11921"/>
    <cellStyle name="Normal 6 2 2 7 16" xfId="39716"/>
    <cellStyle name="Normal 6 2 2 7 2" xfId="10093"/>
    <cellStyle name="Normal 6 2 2 7 2 2" xfId="39717"/>
    <cellStyle name="Normal 6 2 2 7 3" xfId="10100"/>
    <cellStyle name="Normal 6 2 2 7 4" xfId="10101"/>
    <cellStyle name="Normal 6 2 2 7 5" xfId="10102"/>
    <cellStyle name="Normal 6 2 2 7 6" xfId="10103"/>
    <cellStyle name="Normal 6 2 2 7 7" xfId="10104"/>
    <cellStyle name="Normal 6 2 2 7 8" xfId="10105"/>
    <cellStyle name="Normal 6 2 2 7 9" xfId="10106"/>
    <cellStyle name="Normal 6 2 2 8" xfId="823"/>
    <cellStyle name="Normal 6 2 2 8 10" xfId="10108"/>
    <cellStyle name="Normal 6 2 2 8 11" xfId="10109"/>
    <cellStyle name="Normal 6 2 2 8 12" xfId="10110"/>
    <cellStyle name="Normal 6 2 2 8 13" xfId="10111"/>
    <cellStyle name="Normal 6 2 2 8 14" xfId="10112"/>
    <cellStyle name="Normal 6 2 2 8 15" xfId="11922"/>
    <cellStyle name="Normal 6 2 2 8 16" xfId="39718"/>
    <cellStyle name="Normal 6 2 2 8 2" xfId="10107"/>
    <cellStyle name="Normal 6 2 2 8 3" xfId="10114"/>
    <cellStyle name="Normal 6 2 2 8 4" xfId="10115"/>
    <cellStyle name="Normal 6 2 2 8 5" xfId="10116"/>
    <cellStyle name="Normal 6 2 2 8 6" xfId="10117"/>
    <cellStyle name="Normal 6 2 2 8 7" xfId="10118"/>
    <cellStyle name="Normal 6 2 2 8 8" xfId="10119"/>
    <cellStyle name="Normal 6 2 2 8 9" xfId="10120"/>
    <cellStyle name="Normal 6 2 2 9" xfId="824"/>
    <cellStyle name="Normal 6 2 2 9 2" xfId="10121"/>
    <cellStyle name="Normal 6 2 2 9 3" xfId="11923"/>
    <cellStyle name="Normal 6 2 2 9 4" xfId="39719"/>
    <cellStyle name="Normal 6 2 20" xfId="10122"/>
    <cellStyle name="Normal 6 2 20 2" xfId="39720"/>
    <cellStyle name="Normal 6 2 21" xfId="10123"/>
    <cellStyle name="Normal 6 2 22" xfId="10124"/>
    <cellStyle name="Normal 6 2 23" xfId="10125"/>
    <cellStyle name="Normal 6 2 24" xfId="10126"/>
    <cellStyle name="Normal 6 2 25" xfId="10127"/>
    <cellStyle name="Normal 6 2 26" xfId="10128"/>
    <cellStyle name="Normal 6 2 27" xfId="10129"/>
    <cellStyle name="Normal 6 2 28" xfId="11907"/>
    <cellStyle name="Normal 6 2 29" xfId="12087"/>
    <cellStyle name="Normal 6 2 3" xfId="825"/>
    <cellStyle name="Normal 6 2 3 10" xfId="826"/>
    <cellStyle name="Normal 6 2 3 10 2" xfId="10131"/>
    <cellStyle name="Normal 6 2 3 10 3" xfId="11925"/>
    <cellStyle name="Normal 6 2 3 10 4" xfId="39722"/>
    <cellStyle name="Normal 6 2 3 11" xfId="10130"/>
    <cellStyle name="Normal 6 2 3 12" xfId="10133"/>
    <cellStyle name="Normal 6 2 3 13" xfId="10134"/>
    <cellStyle name="Normal 6 2 3 14" xfId="10135"/>
    <cellStyle name="Normal 6 2 3 15" xfId="10136"/>
    <cellStyle name="Normal 6 2 3 16" xfId="10137"/>
    <cellStyle name="Normal 6 2 3 17" xfId="10138"/>
    <cellStyle name="Normal 6 2 3 18" xfId="10139"/>
    <cellStyle name="Normal 6 2 3 19" xfId="10140"/>
    <cellStyle name="Normal 6 2 3 2" xfId="827"/>
    <cellStyle name="Normal 6 2 3 2 10" xfId="10142"/>
    <cellStyle name="Normal 6 2 3 2 11" xfId="10143"/>
    <cellStyle name="Normal 6 2 3 2 12" xfId="10144"/>
    <cellStyle name="Normal 6 2 3 2 13" xfId="10145"/>
    <cellStyle name="Normal 6 2 3 2 14" xfId="10146"/>
    <cellStyle name="Normal 6 2 3 2 15" xfId="11926"/>
    <cellStyle name="Normal 6 2 3 2 16" xfId="39723"/>
    <cellStyle name="Normal 6 2 3 2 2" xfId="10141"/>
    <cellStyle name="Normal 6 2 3 2 2 2" xfId="39724"/>
    <cellStyle name="Normal 6 2 3 2 2 2 2" xfId="39725"/>
    <cellStyle name="Normal 6 2 3 2 2 3" xfId="39726"/>
    <cellStyle name="Normal 6 2 3 2 2 4" xfId="39727"/>
    <cellStyle name="Normal 6 2 3 2 2 5" xfId="39728"/>
    <cellStyle name="Normal 6 2 3 2 2 6" xfId="39729"/>
    <cellStyle name="Normal 6 2 3 2 2 7" xfId="39730"/>
    <cellStyle name="Normal 6 2 3 2 3" xfId="10148"/>
    <cellStyle name="Normal 6 2 3 2 3 2" xfId="39731"/>
    <cellStyle name="Normal 6 2 3 2 3 3" xfId="39732"/>
    <cellStyle name="Normal 6 2 3 2 3 4" xfId="39733"/>
    <cellStyle name="Normal 6 2 3 2 4" xfId="10149"/>
    <cellStyle name="Normal 6 2 3 2 4 2" xfId="39734"/>
    <cellStyle name="Normal 6 2 3 2 4 3" xfId="39735"/>
    <cellStyle name="Normal 6 2 3 2 4 4" xfId="39736"/>
    <cellStyle name="Normal 6 2 3 2 5" xfId="10150"/>
    <cellStyle name="Normal 6 2 3 2 5 2" xfId="39737"/>
    <cellStyle name="Normal 6 2 3 2 5 3" xfId="39738"/>
    <cellStyle name="Normal 6 2 3 2 5 4" xfId="39739"/>
    <cellStyle name="Normal 6 2 3 2 6" xfId="10151"/>
    <cellStyle name="Normal 6 2 3 2 6 2" xfId="39740"/>
    <cellStyle name="Normal 6 2 3 2 6 3" xfId="39741"/>
    <cellStyle name="Normal 6 2 3 2 7" xfId="10152"/>
    <cellStyle name="Normal 6 2 3 2 7 2" xfId="39742"/>
    <cellStyle name="Normal 6 2 3 2 8" xfId="10153"/>
    <cellStyle name="Normal 6 2 3 2 8 2" xfId="39743"/>
    <cellStyle name="Normal 6 2 3 2 9" xfId="10154"/>
    <cellStyle name="Normal 6 2 3 2 9 2" xfId="39744"/>
    <cellStyle name="Normal 6 2 3 20" xfId="10155"/>
    <cellStyle name="Normal 6 2 3 21" xfId="10156"/>
    <cellStyle name="Normal 6 2 3 22" xfId="10157"/>
    <cellStyle name="Normal 6 2 3 23" xfId="11924"/>
    <cellStyle name="Normal 6 2 3 24" xfId="39721"/>
    <cellStyle name="Normal 6 2 3 3" xfId="828"/>
    <cellStyle name="Normal 6 2 3 3 10" xfId="10159"/>
    <cellStyle name="Normal 6 2 3 3 11" xfId="10160"/>
    <cellStyle name="Normal 6 2 3 3 12" xfId="10161"/>
    <cellStyle name="Normal 6 2 3 3 13" xfId="10162"/>
    <cellStyle name="Normal 6 2 3 3 14" xfId="10163"/>
    <cellStyle name="Normal 6 2 3 3 15" xfId="11927"/>
    <cellStyle name="Normal 6 2 3 3 16" xfId="39745"/>
    <cellStyle name="Normal 6 2 3 3 2" xfId="10158"/>
    <cellStyle name="Normal 6 2 3 3 2 2" xfId="39746"/>
    <cellStyle name="Normal 6 2 3 3 2 3" xfId="39747"/>
    <cellStyle name="Normal 6 2 3 3 2 4" xfId="39748"/>
    <cellStyle name="Normal 6 2 3 3 3" xfId="10165"/>
    <cellStyle name="Normal 6 2 3 3 3 2" xfId="39749"/>
    <cellStyle name="Normal 6 2 3 3 3 3" xfId="39750"/>
    <cellStyle name="Normal 6 2 3 3 4" xfId="10166"/>
    <cellStyle name="Normal 6 2 3 3 4 2" xfId="39751"/>
    <cellStyle name="Normal 6 2 3 3 5" xfId="10167"/>
    <cellStyle name="Normal 6 2 3 3 5 2" xfId="39752"/>
    <cellStyle name="Normal 6 2 3 3 6" xfId="10168"/>
    <cellStyle name="Normal 6 2 3 3 6 2" xfId="39753"/>
    <cellStyle name="Normal 6 2 3 3 7" xfId="10169"/>
    <cellStyle name="Normal 6 2 3 3 8" xfId="10170"/>
    <cellStyle name="Normal 6 2 3 3 9" xfId="10171"/>
    <cellStyle name="Normal 6 2 3 4" xfId="829"/>
    <cellStyle name="Normal 6 2 3 4 10" xfId="10173"/>
    <cellStyle name="Normal 6 2 3 4 11" xfId="10174"/>
    <cellStyle name="Normal 6 2 3 4 12" xfId="10175"/>
    <cellStyle name="Normal 6 2 3 4 13" xfId="10176"/>
    <cellStyle name="Normal 6 2 3 4 14" xfId="10177"/>
    <cellStyle name="Normal 6 2 3 4 15" xfId="11928"/>
    <cellStyle name="Normal 6 2 3 4 16" xfId="39754"/>
    <cellStyle name="Normal 6 2 3 4 2" xfId="10172"/>
    <cellStyle name="Normal 6 2 3 4 3" xfId="10179"/>
    <cellStyle name="Normal 6 2 3 4 4" xfId="10180"/>
    <cellStyle name="Normal 6 2 3 4 5" xfId="10181"/>
    <cellStyle name="Normal 6 2 3 4 6" xfId="10182"/>
    <cellStyle name="Normal 6 2 3 4 7" xfId="10183"/>
    <cellStyle name="Normal 6 2 3 4 8" xfId="10184"/>
    <cellStyle name="Normal 6 2 3 4 9" xfId="10185"/>
    <cellStyle name="Normal 6 2 3 5" xfId="830"/>
    <cellStyle name="Normal 6 2 3 5 10" xfId="10187"/>
    <cellStyle name="Normal 6 2 3 5 11" xfId="10188"/>
    <cellStyle name="Normal 6 2 3 5 12" xfId="10189"/>
    <cellStyle name="Normal 6 2 3 5 13" xfId="10190"/>
    <cellStyle name="Normal 6 2 3 5 14" xfId="10191"/>
    <cellStyle name="Normal 6 2 3 5 15" xfId="11929"/>
    <cellStyle name="Normal 6 2 3 5 16" xfId="39755"/>
    <cellStyle name="Normal 6 2 3 5 2" xfId="10186"/>
    <cellStyle name="Normal 6 2 3 5 3" xfId="10193"/>
    <cellStyle name="Normal 6 2 3 5 4" xfId="10194"/>
    <cellStyle name="Normal 6 2 3 5 5" xfId="10195"/>
    <cellStyle name="Normal 6 2 3 5 6" xfId="10196"/>
    <cellStyle name="Normal 6 2 3 5 7" xfId="10197"/>
    <cellStyle name="Normal 6 2 3 5 8" xfId="10198"/>
    <cellStyle name="Normal 6 2 3 5 9" xfId="10199"/>
    <cellStyle name="Normal 6 2 3 6" xfId="831"/>
    <cellStyle name="Normal 6 2 3 6 10" xfId="10201"/>
    <cellStyle name="Normal 6 2 3 6 11" xfId="10202"/>
    <cellStyle name="Normal 6 2 3 6 12" xfId="10203"/>
    <cellStyle name="Normal 6 2 3 6 13" xfId="10204"/>
    <cellStyle name="Normal 6 2 3 6 14" xfId="10205"/>
    <cellStyle name="Normal 6 2 3 6 15" xfId="11930"/>
    <cellStyle name="Normal 6 2 3 6 16" xfId="39756"/>
    <cellStyle name="Normal 6 2 3 6 2" xfId="10200"/>
    <cellStyle name="Normal 6 2 3 6 3" xfId="10207"/>
    <cellStyle name="Normal 6 2 3 6 4" xfId="10208"/>
    <cellStyle name="Normal 6 2 3 6 5" xfId="10209"/>
    <cellStyle name="Normal 6 2 3 6 6" xfId="10210"/>
    <cellStyle name="Normal 6 2 3 6 7" xfId="10211"/>
    <cellStyle name="Normal 6 2 3 6 8" xfId="10212"/>
    <cellStyle name="Normal 6 2 3 6 9" xfId="10213"/>
    <cellStyle name="Normal 6 2 3 7" xfId="832"/>
    <cellStyle name="Normal 6 2 3 7 10" xfId="10215"/>
    <cellStyle name="Normal 6 2 3 7 11" xfId="10216"/>
    <cellStyle name="Normal 6 2 3 7 12" xfId="10217"/>
    <cellStyle name="Normal 6 2 3 7 13" xfId="10218"/>
    <cellStyle name="Normal 6 2 3 7 14" xfId="10219"/>
    <cellStyle name="Normal 6 2 3 7 15" xfId="11931"/>
    <cellStyle name="Normal 6 2 3 7 16" xfId="39757"/>
    <cellStyle name="Normal 6 2 3 7 2" xfId="10214"/>
    <cellStyle name="Normal 6 2 3 7 3" xfId="10221"/>
    <cellStyle name="Normal 6 2 3 7 4" xfId="10222"/>
    <cellStyle name="Normal 6 2 3 7 5" xfId="10223"/>
    <cellStyle name="Normal 6 2 3 7 6" xfId="10224"/>
    <cellStyle name="Normal 6 2 3 7 7" xfId="10225"/>
    <cellStyle name="Normal 6 2 3 7 8" xfId="10226"/>
    <cellStyle name="Normal 6 2 3 7 9" xfId="10227"/>
    <cellStyle name="Normal 6 2 3 8" xfId="833"/>
    <cellStyle name="Normal 6 2 3 8 10" xfId="10229"/>
    <cellStyle name="Normal 6 2 3 8 11" xfId="10230"/>
    <cellStyle name="Normal 6 2 3 8 12" xfId="10231"/>
    <cellStyle name="Normal 6 2 3 8 13" xfId="10232"/>
    <cellStyle name="Normal 6 2 3 8 14" xfId="10233"/>
    <cellStyle name="Normal 6 2 3 8 15" xfId="11932"/>
    <cellStyle name="Normal 6 2 3 8 16" xfId="39758"/>
    <cellStyle name="Normal 6 2 3 8 2" xfId="10228"/>
    <cellStyle name="Normal 6 2 3 8 3" xfId="10235"/>
    <cellStyle name="Normal 6 2 3 8 4" xfId="10236"/>
    <cellStyle name="Normal 6 2 3 8 5" xfId="10237"/>
    <cellStyle name="Normal 6 2 3 8 6" xfId="10238"/>
    <cellStyle name="Normal 6 2 3 8 7" xfId="10239"/>
    <cellStyle name="Normal 6 2 3 8 8" xfId="10240"/>
    <cellStyle name="Normal 6 2 3 8 9" xfId="10241"/>
    <cellStyle name="Normal 6 2 3 9" xfId="834"/>
    <cellStyle name="Normal 6 2 3 9 2" xfId="10242"/>
    <cellStyle name="Normal 6 2 3 9 3" xfId="11933"/>
    <cellStyle name="Normal 6 2 3 9 4" xfId="39759"/>
    <cellStyle name="Normal 6 2 30" xfId="39480"/>
    <cellStyle name="Normal 6 2 31" xfId="39760"/>
    <cellStyle name="Normal 6 2 32" xfId="44186"/>
    <cellStyle name="Normal 6 2 4" xfId="835"/>
    <cellStyle name="Normal 6 2 4 10" xfId="836"/>
    <cellStyle name="Normal 6 2 4 10 2" xfId="10244"/>
    <cellStyle name="Normal 6 2 4 10 3" xfId="11935"/>
    <cellStyle name="Normal 6 2 4 10 4" xfId="39762"/>
    <cellStyle name="Normal 6 2 4 11" xfId="10243"/>
    <cellStyle name="Normal 6 2 4 12" xfId="10246"/>
    <cellStyle name="Normal 6 2 4 13" xfId="10247"/>
    <cellStyle name="Normal 6 2 4 14" xfId="10248"/>
    <cellStyle name="Normal 6 2 4 15" xfId="10249"/>
    <cellStyle name="Normal 6 2 4 16" xfId="10250"/>
    <cellStyle name="Normal 6 2 4 17" xfId="10251"/>
    <cellStyle name="Normal 6 2 4 18" xfId="10252"/>
    <cellStyle name="Normal 6 2 4 19" xfId="10253"/>
    <cellStyle name="Normal 6 2 4 2" xfId="837"/>
    <cellStyle name="Normal 6 2 4 2 10" xfId="10255"/>
    <cellStyle name="Normal 6 2 4 2 11" xfId="10256"/>
    <cellStyle name="Normal 6 2 4 2 12" xfId="10257"/>
    <cellStyle name="Normal 6 2 4 2 13" xfId="10258"/>
    <cellStyle name="Normal 6 2 4 2 14" xfId="10259"/>
    <cellStyle name="Normal 6 2 4 2 15" xfId="11936"/>
    <cellStyle name="Normal 6 2 4 2 16" xfId="39763"/>
    <cellStyle name="Normal 6 2 4 2 2" xfId="10254"/>
    <cellStyle name="Normal 6 2 4 2 2 2" xfId="39764"/>
    <cellStyle name="Normal 6 2 4 2 2 2 2" xfId="39765"/>
    <cellStyle name="Normal 6 2 4 2 2 3" xfId="39766"/>
    <cellStyle name="Normal 6 2 4 2 2 4" xfId="39767"/>
    <cellStyle name="Normal 6 2 4 2 2 5" xfId="39768"/>
    <cellStyle name="Normal 6 2 4 2 2 6" xfId="39769"/>
    <cellStyle name="Normal 6 2 4 2 2 7" xfId="39770"/>
    <cellStyle name="Normal 6 2 4 2 3" xfId="10261"/>
    <cellStyle name="Normal 6 2 4 2 3 2" xfId="39771"/>
    <cellStyle name="Normal 6 2 4 2 3 3" xfId="39772"/>
    <cellStyle name="Normal 6 2 4 2 3 4" xfId="39773"/>
    <cellStyle name="Normal 6 2 4 2 4" xfId="10262"/>
    <cellStyle name="Normal 6 2 4 2 4 2" xfId="39774"/>
    <cellStyle name="Normal 6 2 4 2 4 3" xfId="39775"/>
    <cellStyle name="Normal 6 2 4 2 4 4" xfId="39776"/>
    <cellStyle name="Normal 6 2 4 2 5" xfId="10263"/>
    <cellStyle name="Normal 6 2 4 2 5 2" xfId="39777"/>
    <cellStyle name="Normal 6 2 4 2 5 3" xfId="39778"/>
    <cellStyle name="Normal 6 2 4 2 5 4" xfId="39779"/>
    <cellStyle name="Normal 6 2 4 2 6" xfId="10264"/>
    <cellStyle name="Normal 6 2 4 2 6 2" xfId="39780"/>
    <cellStyle name="Normal 6 2 4 2 6 3" xfId="39781"/>
    <cellStyle name="Normal 6 2 4 2 7" xfId="10265"/>
    <cellStyle name="Normal 6 2 4 2 7 2" xfId="39782"/>
    <cellStyle name="Normal 6 2 4 2 8" xfId="10266"/>
    <cellStyle name="Normal 6 2 4 2 8 2" xfId="39783"/>
    <cellStyle name="Normal 6 2 4 2 9" xfId="10267"/>
    <cellStyle name="Normal 6 2 4 2 9 2" xfId="39784"/>
    <cellStyle name="Normal 6 2 4 20" xfId="10268"/>
    <cellStyle name="Normal 6 2 4 21" xfId="10269"/>
    <cellStyle name="Normal 6 2 4 22" xfId="10270"/>
    <cellStyle name="Normal 6 2 4 23" xfId="11934"/>
    <cellStyle name="Normal 6 2 4 24" xfId="39761"/>
    <cellStyle name="Normal 6 2 4 3" xfId="838"/>
    <cellStyle name="Normal 6 2 4 3 10" xfId="10272"/>
    <cellStyle name="Normal 6 2 4 3 11" xfId="10273"/>
    <cellStyle name="Normal 6 2 4 3 12" xfId="10274"/>
    <cellStyle name="Normal 6 2 4 3 13" xfId="10275"/>
    <cellStyle name="Normal 6 2 4 3 14" xfId="10276"/>
    <cellStyle name="Normal 6 2 4 3 15" xfId="11937"/>
    <cellStyle name="Normal 6 2 4 3 16" xfId="39785"/>
    <cellStyle name="Normal 6 2 4 3 2" xfId="10271"/>
    <cellStyle name="Normal 6 2 4 3 2 2" xfId="39786"/>
    <cellStyle name="Normal 6 2 4 3 2 3" xfId="39787"/>
    <cellStyle name="Normal 6 2 4 3 2 4" xfId="39788"/>
    <cellStyle name="Normal 6 2 4 3 3" xfId="10278"/>
    <cellStyle name="Normal 6 2 4 3 3 2" xfId="39789"/>
    <cellStyle name="Normal 6 2 4 3 3 3" xfId="39790"/>
    <cellStyle name="Normal 6 2 4 3 4" xfId="10279"/>
    <cellStyle name="Normal 6 2 4 3 4 2" xfId="39791"/>
    <cellStyle name="Normal 6 2 4 3 5" xfId="10280"/>
    <cellStyle name="Normal 6 2 4 3 5 2" xfId="39792"/>
    <cellStyle name="Normal 6 2 4 3 6" xfId="10281"/>
    <cellStyle name="Normal 6 2 4 3 6 2" xfId="39793"/>
    <cellStyle name="Normal 6 2 4 3 7" xfId="10282"/>
    <cellStyle name="Normal 6 2 4 3 8" xfId="10283"/>
    <cellStyle name="Normal 6 2 4 3 9" xfId="10284"/>
    <cellStyle name="Normal 6 2 4 4" xfId="839"/>
    <cellStyle name="Normal 6 2 4 4 10" xfId="10286"/>
    <cellStyle name="Normal 6 2 4 4 11" xfId="10287"/>
    <cellStyle name="Normal 6 2 4 4 12" xfId="10288"/>
    <cellStyle name="Normal 6 2 4 4 13" xfId="10289"/>
    <cellStyle name="Normal 6 2 4 4 14" xfId="10290"/>
    <cellStyle name="Normal 6 2 4 4 15" xfId="11938"/>
    <cellStyle name="Normal 6 2 4 4 16" xfId="39794"/>
    <cellStyle name="Normal 6 2 4 4 2" xfId="10285"/>
    <cellStyle name="Normal 6 2 4 4 3" xfId="10292"/>
    <cellStyle name="Normal 6 2 4 4 4" xfId="10293"/>
    <cellStyle name="Normal 6 2 4 4 5" xfId="10294"/>
    <cellStyle name="Normal 6 2 4 4 6" xfId="10295"/>
    <cellStyle name="Normal 6 2 4 4 7" xfId="10296"/>
    <cellStyle name="Normal 6 2 4 4 8" xfId="10297"/>
    <cellStyle name="Normal 6 2 4 4 9" xfId="10298"/>
    <cellStyle name="Normal 6 2 4 5" xfId="840"/>
    <cellStyle name="Normal 6 2 4 5 10" xfId="10300"/>
    <cellStyle name="Normal 6 2 4 5 11" xfId="10301"/>
    <cellStyle name="Normal 6 2 4 5 12" xfId="10302"/>
    <cellStyle name="Normal 6 2 4 5 13" xfId="10303"/>
    <cellStyle name="Normal 6 2 4 5 14" xfId="10304"/>
    <cellStyle name="Normal 6 2 4 5 15" xfId="11939"/>
    <cellStyle name="Normal 6 2 4 5 16" xfId="39795"/>
    <cellStyle name="Normal 6 2 4 5 2" xfId="10299"/>
    <cellStyle name="Normal 6 2 4 5 3" xfId="10306"/>
    <cellStyle name="Normal 6 2 4 5 4" xfId="10307"/>
    <cellStyle name="Normal 6 2 4 5 5" xfId="10308"/>
    <cellStyle name="Normal 6 2 4 5 6" xfId="10309"/>
    <cellStyle name="Normal 6 2 4 5 7" xfId="10310"/>
    <cellStyle name="Normal 6 2 4 5 8" xfId="10311"/>
    <cellStyle name="Normal 6 2 4 5 9" xfId="10312"/>
    <cellStyle name="Normal 6 2 4 6" xfId="841"/>
    <cellStyle name="Normal 6 2 4 6 10" xfId="10314"/>
    <cellStyle name="Normal 6 2 4 6 11" xfId="10315"/>
    <cellStyle name="Normal 6 2 4 6 12" xfId="10316"/>
    <cellStyle name="Normal 6 2 4 6 13" xfId="10317"/>
    <cellStyle name="Normal 6 2 4 6 14" xfId="10318"/>
    <cellStyle name="Normal 6 2 4 6 15" xfId="11940"/>
    <cellStyle name="Normal 6 2 4 6 16" xfId="39796"/>
    <cellStyle name="Normal 6 2 4 6 2" xfId="10313"/>
    <cellStyle name="Normal 6 2 4 6 3" xfId="10320"/>
    <cellStyle name="Normal 6 2 4 6 4" xfId="10321"/>
    <cellStyle name="Normal 6 2 4 6 5" xfId="10322"/>
    <cellStyle name="Normal 6 2 4 6 6" xfId="10323"/>
    <cellStyle name="Normal 6 2 4 6 7" xfId="10324"/>
    <cellStyle name="Normal 6 2 4 6 8" xfId="10325"/>
    <cellStyle name="Normal 6 2 4 6 9" xfId="10326"/>
    <cellStyle name="Normal 6 2 4 7" xfId="842"/>
    <cellStyle name="Normal 6 2 4 7 10" xfId="10328"/>
    <cellStyle name="Normal 6 2 4 7 11" xfId="10329"/>
    <cellStyle name="Normal 6 2 4 7 12" xfId="10330"/>
    <cellStyle name="Normal 6 2 4 7 13" xfId="10331"/>
    <cellStyle name="Normal 6 2 4 7 14" xfId="10332"/>
    <cellStyle name="Normal 6 2 4 7 15" xfId="11941"/>
    <cellStyle name="Normal 6 2 4 7 16" xfId="39797"/>
    <cellStyle name="Normal 6 2 4 7 2" xfId="10327"/>
    <cellStyle name="Normal 6 2 4 7 3" xfId="10334"/>
    <cellStyle name="Normal 6 2 4 7 4" xfId="10335"/>
    <cellStyle name="Normal 6 2 4 7 5" xfId="10336"/>
    <cellStyle name="Normal 6 2 4 7 6" xfId="10337"/>
    <cellStyle name="Normal 6 2 4 7 7" xfId="10338"/>
    <cellStyle name="Normal 6 2 4 7 8" xfId="10339"/>
    <cellStyle name="Normal 6 2 4 7 9" xfId="10340"/>
    <cellStyle name="Normal 6 2 4 8" xfId="843"/>
    <cellStyle name="Normal 6 2 4 8 10" xfId="10342"/>
    <cellStyle name="Normal 6 2 4 8 11" xfId="10343"/>
    <cellStyle name="Normal 6 2 4 8 12" xfId="10344"/>
    <cellStyle name="Normal 6 2 4 8 13" xfId="10345"/>
    <cellStyle name="Normal 6 2 4 8 14" xfId="10346"/>
    <cellStyle name="Normal 6 2 4 8 15" xfId="11942"/>
    <cellStyle name="Normal 6 2 4 8 16" xfId="39798"/>
    <cellStyle name="Normal 6 2 4 8 2" xfId="10341"/>
    <cellStyle name="Normal 6 2 4 8 3" xfId="10348"/>
    <cellStyle name="Normal 6 2 4 8 4" xfId="10349"/>
    <cellStyle name="Normal 6 2 4 8 5" xfId="10350"/>
    <cellStyle name="Normal 6 2 4 8 6" xfId="10351"/>
    <cellStyle name="Normal 6 2 4 8 7" xfId="10352"/>
    <cellStyle name="Normal 6 2 4 8 8" xfId="10353"/>
    <cellStyle name="Normal 6 2 4 8 9" xfId="10354"/>
    <cellStyle name="Normal 6 2 4 9" xfId="844"/>
    <cellStyle name="Normal 6 2 4 9 2" xfId="10355"/>
    <cellStyle name="Normal 6 2 4 9 3" xfId="11943"/>
    <cellStyle name="Normal 6 2 4 9 4" xfId="39799"/>
    <cellStyle name="Normal 6 2 5" xfId="845"/>
    <cellStyle name="Normal 6 2 5 10" xfId="846"/>
    <cellStyle name="Normal 6 2 5 10 2" xfId="10357"/>
    <cellStyle name="Normal 6 2 5 10 3" xfId="11945"/>
    <cellStyle name="Normal 6 2 5 10 4" xfId="39801"/>
    <cellStyle name="Normal 6 2 5 11" xfId="10356"/>
    <cellStyle name="Normal 6 2 5 12" xfId="10359"/>
    <cellStyle name="Normal 6 2 5 13" xfId="10360"/>
    <cellStyle name="Normal 6 2 5 14" xfId="10361"/>
    <cellStyle name="Normal 6 2 5 15" xfId="10362"/>
    <cellStyle name="Normal 6 2 5 16" xfId="10363"/>
    <cellStyle name="Normal 6 2 5 17" xfId="10364"/>
    <cellStyle name="Normal 6 2 5 18" xfId="10365"/>
    <cellStyle name="Normal 6 2 5 19" xfId="10366"/>
    <cellStyle name="Normal 6 2 5 2" xfId="847"/>
    <cellStyle name="Normal 6 2 5 2 10" xfId="10368"/>
    <cellStyle name="Normal 6 2 5 2 11" xfId="10369"/>
    <cellStyle name="Normal 6 2 5 2 12" xfId="10370"/>
    <cellStyle name="Normal 6 2 5 2 13" xfId="10371"/>
    <cellStyle name="Normal 6 2 5 2 14" xfId="10372"/>
    <cellStyle name="Normal 6 2 5 2 15" xfId="11946"/>
    <cellStyle name="Normal 6 2 5 2 16" xfId="39802"/>
    <cellStyle name="Normal 6 2 5 2 2" xfId="10367"/>
    <cellStyle name="Normal 6 2 5 2 2 2" xfId="39803"/>
    <cellStyle name="Normal 6 2 5 2 2 2 2" xfId="39804"/>
    <cellStyle name="Normal 6 2 5 2 2 3" xfId="39805"/>
    <cellStyle name="Normal 6 2 5 2 2 4" xfId="39806"/>
    <cellStyle name="Normal 6 2 5 2 2 5" xfId="39807"/>
    <cellStyle name="Normal 6 2 5 2 2 6" xfId="39808"/>
    <cellStyle name="Normal 6 2 5 2 2 7" xfId="39809"/>
    <cellStyle name="Normal 6 2 5 2 3" xfId="10374"/>
    <cellStyle name="Normal 6 2 5 2 3 2" xfId="39810"/>
    <cellStyle name="Normal 6 2 5 2 3 3" xfId="39811"/>
    <cellStyle name="Normal 6 2 5 2 3 4" xfId="39812"/>
    <cellStyle name="Normal 6 2 5 2 4" xfId="10375"/>
    <cellStyle name="Normal 6 2 5 2 4 2" xfId="39813"/>
    <cellStyle name="Normal 6 2 5 2 4 3" xfId="39814"/>
    <cellStyle name="Normal 6 2 5 2 4 4" xfId="39815"/>
    <cellStyle name="Normal 6 2 5 2 5" xfId="10376"/>
    <cellStyle name="Normal 6 2 5 2 5 2" xfId="39816"/>
    <cellStyle name="Normal 6 2 5 2 5 3" xfId="39817"/>
    <cellStyle name="Normal 6 2 5 2 5 4" xfId="39818"/>
    <cellStyle name="Normal 6 2 5 2 6" xfId="10377"/>
    <cellStyle name="Normal 6 2 5 2 6 2" xfId="39819"/>
    <cellStyle name="Normal 6 2 5 2 6 3" xfId="39820"/>
    <cellStyle name="Normal 6 2 5 2 7" xfId="10378"/>
    <cellStyle name="Normal 6 2 5 2 7 2" xfId="39821"/>
    <cellStyle name="Normal 6 2 5 2 8" xfId="10379"/>
    <cellStyle name="Normal 6 2 5 2 8 2" xfId="39822"/>
    <cellStyle name="Normal 6 2 5 2 9" xfId="10380"/>
    <cellStyle name="Normal 6 2 5 2 9 2" xfId="39823"/>
    <cellStyle name="Normal 6 2 5 20" xfId="10381"/>
    <cellStyle name="Normal 6 2 5 21" xfId="10382"/>
    <cellStyle name="Normal 6 2 5 22" xfId="10383"/>
    <cellStyle name="Normal 6 2 5 23" xfId="11944"/>
    <cellStyle name="Normal 6 2 5 24" xfId="39800"/>
    <cellStyle name="Normal 6 2 5 3" xfId="848"/>
    <cellStyle name="Normal 6 2 5 3 10" xfId="10385"/>
    <cellStyle name="Normal 6 2 5 3 11" xfId="10386"/>
    <cellStyle name="Normal 6 2 5 3 12" xfId="10387"/>
    <cellStyle name="Normal 6 2 5 3 13" xfId="10388"/>
    <cellStyle name="Normal 6 2 5 3 14" xfId="10389"/>
    <cellStyle name="Normal 6 2 5 3 15" xfId="11947"/>
    <cellStyle name="Normal 6 2 5 3 16" xfId="39824"/>
    <cellStyle name="Normal 6 2 5 3 2" xfId="10384"/>
    <cellStyle name="Normal 6 2 5 3 2 2" xfId="39825"/>
    <cellStyle name="Normal 6 2 5 3 2 3" xfId="39826"/>
    <cellStyle name="Normal 6 2 5 3 2 4" xfId="39827"/>
    <cellStyle name="Normal 6 2 5 3 3" xfId="10391"/>
    <cellStyle name="Normal 6 2 5 3 3 2" xfId="39828"/>
    <cellStyle name="Normal 6 2 5 3 3 3" xfId="39829"/>
    <cellStyle name="Normal 6 2 5 3 4" xfId="10392"/>
    <cellStyle name="Normal 6 2 5 3 4 2" xfId="39830"/>
    <cellStyle name="Normal 6 2 5 3 5" xfId="10393"/>
    <cellStyle name="Normal 6 2 5 3 5 2" xfId="39831"/>
    <cellStyle name="Normal 6 2 5 3 6" xfId="10394"/>
    <cellStyle name="Normal 6 2 5 3 6 2" xfId="39832"/>
    <cellStyle name="Normal 6 2 5 3 7" xfId="10395"/>
    <cellStyle name="Normal 6 2 5 3 8" xfId="10396"/>
    <cellStyle name="Normal 6 2 5 3 9" xfId="10397"/>
    <cellStyle name="Normal 6 2 5 4" xfId="849"/>
    <cellStyle name="Normal 6 2 5 4 10" xfId="10399"/>
    <cellStyle name="Normal 6 2 5 4 11" xfId="10400"/>
    <cellStyle name="Normal 6 2 5 4 12" xfId="10401"/>
    <cellStyle name="Normal 6 2 5 4 13" xfId="10402"/>
    <cellStyle name="Normal 6 2 5 4 14" xfId="10403"/>
    <cellStyle name="Normal 6 2 5 4 15" xfId="11948"/>
    <cellStyle name="Normal 6 2 5 4 16" xfId="39833"/>
    <cellStyle name="Normal 6 2 5 4 2" xfId="10398"/>
    <cellStyle name="Normal 6 2 5 4 3" xfId="10405"/>
    <cellStyle name="Normal 6 2 5 4 4" xfId="10406"/>
    <cellStyle name="Normal 6 2 5 4 5" xfId="10407"/>
    <cellStyle name="Normal 6 2 5 4 6" xfId="10408"/>
    <cellStyle name="Normal 6 2 5 4 7" xfId="10409"/>
    <cellStyle name="Normal 6 2 5 4 8" xfId="10410"/>
    <cellStyle name="Normal 6 2 5 4 9" xfId="10411"/>
    <cellStyle name="Normal 6 2 5 5" xfId="850"/>
    <cellStyle name="Normal 6 2 5 5 10" xfId="10413"/>
    <cellStyle name="Normal 6 2 5 5 11" xfId="10414"/>
    <cellStyle name="Normal 6 2 5 5 12" xfId="10415"/>
    <cellStyle name="Normal 6 2 5 5 13" xfId="10416"/>
    <cellStyle name="Normal 6 2 5 5 14" xfId="10417"/>
    <cellStyle name="Normal 6 2 5 5 15" xfId="11949"/>
    <cellStyle name="Normal 6 2 5 5 16" xfId="39834"/>
    <cellStyle name="Normal 6 2 5 5 2" xfId="10412"/>
    <cellStyle name="Normal 6 2 5 5 3" xfId="10419"/>
    <cellStyle name="Normal 6 2 5 5 4" xfId="10420"/>
    <cellStyle name="Normal 6 2 5 5 5" xfId="10421"/>
    <cellStyle name="Normal 6 2 5 5 6" xfId="10422"/>
    <cellStyle name="Normal 6 2 5 5 7" xfId="10423"/>
    <cellStyle name="Normal 6 2 5 5 8" xfId="10424"/>
    <cellStyle name="Normal 6 2 5 5 9" xfId="10425"/>
    <cellStyle name="Normal 6 2 5 6" xfId="851"/>
    <cellStyle name="Normal 6 2 5 6 10" xfId="10427"/>
    <cellStyle name="Normal 6 2 5 6 11" xfId="10428"/>
    <cellStyle name="Normal 6 2 5 6 12" xfId="10429"/>
    <cellStyle name="Normal 6 2 5 6 13" xfId="10430"/>
    <cellStyle name="Normal 6 2 5 6 14" xfId="10431"/>
    <cellStyle name="Normal 6 2 5 6 15" xfId="11950"/>
    <cellStyle name="Normal 6 2 5 6 16" xfId="39835"/>
    <cellStyle name="Normal 6 2 5 6 2" xfId="10426"/>
    <cellStyle name="Normal 6 2 5 6 3" xfId="10433"/>
    <cellStyle name="Normal 6 2 5 6 4" xfId="10434"/>
    <cellStyle name="Normal 6 2 5 6 5" xfId="10435"/>
    <cellStyle name="Normal 6 2 5 6 6" xfId="10436"/>
    <cellStyle name="Normal 6 2 5 6 7" xfId="10437"/>
    <cellStyle name="Normal 6 2 5 6 8" xfId="10438"/>
    <cellStyle name="Normal 6 2 5 6 9" xfId="10439"/>
    <cellStyle name="Normal 6 2 5 7" xfId="852"/>
    <cellStyle name="Normal 6 2 5 7 10" xfId="10441"/>
    <cellStyle name="Normal 6 2 5 7 11" xfId="10442"/>
    <cellStyle name="Normal 6 2 5 7 12" xfId="10443"/>
    <cellStyle name="Normal 6 2 5 7 13" xfId="10444"/>
    <cellStyle name="Normal 6 2 5 7 14" xfId="10445"/>
    <cellStyle name="Normal 6 2 5 7 15" xfId="11951"/>
    <cellStyle name="Normal 6 2 5 7 16" xfId="39836"/>
    <cellStyle name="Normal 6 2 5 7 2" xfId="10440"/>
    <cellStyle name="Normal 6 2 5 7 3" xfId="10447"/>
    <cellStyle name="Normal 6 2 5 7 4" xfId="10448"/>
    <cellStyle name="Normal 6 2 5 7 5" xfId="10449"/>
    <cellStyle name="Normal 6 2 5 7 6" xfId="10450"/>
    <cellStyle name="Normal 6 2 5 7 7" xfId="10451"/>
    <cellStyle name="Normal 6 2 5 7 8" xfId="10452"/>
    <cellStyle name="Normal 6 2 5 7 9" xfId="10453"/>
    <cellStyle name="Normal 6 2 5 8" xfId="853"/>
    <cellStyle name="Normal 6 2 5 8 10" xfId="10455"/>
    <cellStyle name="Normal 6 2 5 8 11" xfId="10456"/>
    <cellStyle name="Normal 6 2 5 8 12" xfId="10457"/>
    <cellStyle name="Normal 6 2 5 8 13" xfId="10458"/>
    <cellStyle name="Normal 6 2 5 8 14" xfId="10459"/>
    <cellStyle name="Normal 6 2 5 8 15" xfId="11952"/>
    <cellStyle name="Normal 6 2 5 8 16" xfId="39837"/>
    <cellStyle name="Normal 6 2 5 8 2" xfId="10454"/>
    <cellStyle name="Normal 6 2 5 8 3" xfId="10461"/>
    <cellStyle name="Normal 6 2 5 8 4" xfId="10462"/>
    <cellStyle name="Normal 6 2 5 8 5" xfId="10463"/>
    <cellStyle name="Normal 6 2 5 8 6" xfId="10464"/>
    <cellStyle name="Normal 6 2 5 8 7" xfId="10465"/>
    <cellStyle name="Normal 6 2 5 8 8" xfId="10466"/>
    <cellStyle name="Normal 6 2 5 8 9" xfId="10467"/>
    <cellStyle name="Normal 6 2 5 9" xfId="854"/>
    <cellStyle name="Normal 6 2 5 9 2" xfId="10468"/>
    <cellStyle name="Normal 6 2 5 9 3" xfId="11953"/>
    <cellStyle name="Normal 6 2 5 9 4" xfId="39838"/>
    <cellStyle name="Normal 6 2 6" xfId="855"/>
    <cellStyle name="Normal 6 2 6 10" xfId="856"/>
    <cellStyle name="Normal 6 2 6 10 2" xfId="10470"/>
    <cellStyle name="Normal 6 2 6 10 3" xfId="11955"/>
    <cellStyle name="Normal 6 2 6 10 4" xfId="39840"/>
    <cellStyle name="Normal 6 2 6 11" xfId="10469"/>
    <cellStyle name="Normal 6 2 6 12" xfId="10472"/>
    <cellStyle name="Normal 6 2 6 13" xfId="10473"/>
    <cellStyle name="Normal 6 2 6 14" xfId="10474"/>
    <cellStyle name="Normal 6 2 6 15" xfId="10475"/>
    <cellStyle name="Normal 6 2 6 16" xfId="10476"/>
    <cellStyle name="Normal 6 2 6 17" xfId="10477"/>
    <cellStyle name="Normal 6 2 6 18" xfId="10478"/>
    <cellStyle name="Normal 6 2 6 19" xfId="10479"/>
    <cellStyle name="Normal 6 2 6 2" xfId="857"/>
    <cellStyle name="Normal 6 2 6 2 10" xfId="10481"/>
    <cellStyle name="Normal 6 2 6 2 11" xfId="10482"/>
    <cellStyle name="Normal 6 2 6 2 12" xfId="10483"/>
    <cellStyle name="Normal 6 2 6 2 13" xfId="10484"/>
    <cellStyle name="Normal 6 2 6 2 14" xfId="10485"/>
    <cellStyle name="Normal 6 2 6 2 15" xfId="11956"/>
    <cellStyle name="Normal 6 2 6 2 16" xfId="39841"/>
    <cellStyle name="Normal 6 2 6 2 2" xfId="10480"/>
    <cellStyle name="Normal 6 2 6 2 2 2" xfId="39842"/>
    <cellStyle name="Normal 6 2 6 2 2 2 2" xfId="39843"/>
    <cellStyle name="Normal 6 2 6 2 2 3" xfId="39844"/>
    <cellStyle name="Normal 6 2 6 2 2 4" xfId="39845"/>
    <cellStyle name="Normal 6 2 6 2 2 5" xfId="39846"/>
    <cellStyle name="Normal 6 2 6 2 2 6" xfId="39847"/>
    <cellStyle name="Normal 6 2 6 2 2 7" xfId="39848"/>
    <cellStyle name="Normal 6 2 6 2 3" xfId="10487"/>
    <cellStyle name="Normal 6 2 6 2 3 2" xfId="39849"/>
    <cellStyle name="Normal 6 2 6 2 3 3" xfId="39850"/>
    <cellStyle name="Normal 6 2 6 2 3 4" xfId="39851"/>
    <cellStyle name="Normal 6 2 6 2 4" xfId="10488"/>
    <cellStyle name="Normal 6 2 6 2 4 2" xfId="39852"/>
    <cellStyle name="Normal 6 2 6 2 4 3" xfId="39853"/>
    <cellStyle name="Normal 6 2 6 2 4 4" xfId="39854"/>
    <cellStyle name="Normal 6 2 6 2 5" xfId="10489"/>
    <cellStyle name="Normal 6 2 6 2 5 2" xfId="39855"/>
    <cellStyle name="Normal 6 2 6 2 5 3" xfId="39856"/>
    <cellStyle name="Normal 6 2 6 2 5 4" xfId="39857"/>
    <cellStyle name="Normal 6 2 6 2 6" xfId="10490"/>
    <cellStyle name="Normal 6 2 6 2 6 2" xfId="39858"/>
    <cellStyle name="Normal 6 2 6 2 6 3" xfId="39859"/>
    <cellStyle name="Normal 6 2 6 2 7" xfId="10491"/>
    <cellStyle name="Normal 6 2 6 2 7 2" xfId="39860"/>
    <cellStyle name="Normal 6 2 6 2 8" xfId="10492"/>
    <cellStyle name="Normal 6 2 6 2 8 2" xfId="39861"/>
    <cellStyle name="Normal 6 2 6 2 9" xfId="10493"/>
    <cellStyle name="Normal 6 2 6 2 9 2" xfId="39862"/>
    <cellStyle name="Normal 6 2 6 20" xfId="10494"/>
    <cellStyle name="Normal 6 2 6 21" xfId="10495"/>
    <cellStyle name="Normal 6 2 6 22" xfId="10496"/>
    <cellStyle name="Normal 6 2 6 23" xfId="11954"/>
    <cellStyle name="Normal 6 2 6 24" xfId="39839"/>
    <cellStyle name="Normal 6 2 6 3" xfId="858"/>
    <cellStyle name="Normal 6 2 6 3 10" xfId="10498"/>
    <cellStyle name="Normal 6 2 6 3 11" xfId="10499"/>
    <cellStyle name="Normal 6 2 6 3 12" xfId="10500"/>
    <cellStyle name="Normal 6 2 6 3 13" xfId="10501"/>
    <cellStyle name="Normal 6 2 6 3 14" xfId="10502"/>
    <cellStyle name="Normal 6 2 6 3 15" xfId="11957"/>
    <cellStyle name="Normal 6 2 6 3 16" xfId="39863"/>
    <cellStyle name="Normal 6 2 6 3 2" xfId="10497"/>
    <cellStyle name="Normal 6 2 6 3 2 2" xfId="39864"/>
    <cellStyle name="Normal 6 2 6 3 2 3" xfId="39865"/>
    <cellStyle name="Normal 6 2 6 3 2 4" xfId="39866"/>
    <cellStyle name="Normal 6 2 6 3 3" xfId="10504"/>
    <cellStyle name="Normal 6 2 6 3 3 2" xfId="39867"/>
    <cellStyle name="Normal 6 2 6 3 3 3" xfId="39868"/>
    <cellStyle name="Normal 6 2 6 3 4" xfId="10505"/>
    <cellStyle name="Normal 6 2 6 3 4 2" xfId="39869"/>
    <cellStyle name="Normal 6 2 6 3 5" xfId="10506"/>
    <cellStyle name="Normal 6 2 6 3 5 2" xfId="39870"/>
    <cellStyle name="Normal 6 2 6 3 6" xfId="10507"/>
    <cellStyle name="Normal 6 2 6 3 6 2" xfId="39871"/>
    <cellStyle name="Normal 6 2 6 3 7" xfId="10508"/>
    <cellStyle name="Normal 6 2 6 3 8" xfId="10509"/>
    <cellStyle name="Normal 6 2 6 3 9" xfId="10510"/>
    <cellStyle name="Normal 6 2 6 4" xfId="859"/>
    <cellStyle name="Normal 6 2 6 4 10" xfId="10512"/>
    <cellStyle name="Normal 6 2 6 4 11" xfId="10513"/>
    <cellStyle name="Normal 6 2 6 4 12" xfId="10514"/>
    <cellStyle name="Normal 6 2 6 4 13" xfId="10515"/>
    <cellStyle name="Normal 6 2 6 4 14" xfId="10516"/>
    <cellStyle name="Normal 6 2 6 4 15" xfId="11958"/>
    <cellStyle name="Normal 6 2 6 4 16" xfId="39872"/>
    <cellStyle name="Normal 6 2 6 4 2" xfId="10511"/>
    <cellStyle name="Normal 6 2 6 4 3" xfId="10518"/>
    <cellStyle name="Normal 6 2 6 4 4" xfId="10519"/>
    <cellStyle name="Normal 6 2 6 4 5" xfId="10520"/>
    <cellStyle name="Normal 6 2 6 4 6" xfId="10521"/>
    <cellStyle name="Normal 6 2 6 4 7" xfId="10522"/>
    <cellStyle name="Normal 6 2 6 4 8" xfId="10523"/>
    <cellStyle name="Normal 6 2 6 4 9" xfId="10524"/>
    <cellStyle name="Normal 6 2 6 5" xfId="860"/>
    <cellStyle name="Normal 6 2 6 5 10" xfId="10526"/>
    <cellStyle name="Normal 6 2 6 5 11" xfId="10527"/>
    <cellStyle name="Normal 6 2 6 5 12" xfId="10528"/>
    <cellStyle name="Normal 6 2 6 5 13" xfId="10529"/>
    <cellStyle name="Normal 6 2 6 5 14" xfId="10530"/>
    <cellStyle name="Normal 6 2 6 5 15" xfId="11959"/>
    <cellStyle name="Normal 6 2 6 5 16" xfId="39873"/>
    <cellStyle name="Normal 6 2 6 5 2" xfId="10525"/>
    <cellStyle name="Normal 6 2 6 5 3" xfId="10532"/>
    <cellStyle name="Normal 6 2 6 5 4" xfId="10533"/>
    <cellStyle name="Normal 6 2 6 5 5" xfId="10534"/>
    <cellStyle name="Normal 6 2 6 5 6" xfId="10535"/>
    <cellStyle name="Normal 6 2 6 5 7" xfId="10536"/>
    <cellStyle name="Normal 6 2 6 5 8" xfId="10537"/>
    <cellStyle name="Normal 6 2 6 5 9" xfId="10538"/>
    <cellStyle name="Normal 6 2 6 6" xfId="861"/>
    <cellStyle name="Normal 6 2 6 6 10" xfId="10540"/>
    <cellStyle name="Normal 6 2 6 6 11" xfId="10541"/>
    <cellStyle name="Normal 6 2 6 6 12" xfId="10542"/>
    <cellStyle name="Normal 6 2 6 6 13" xfId="10543"/>
    <cellStyle name="Normal 6 2 6 6 14" xfId="10544"/>
    <cellStyle name="Normal 6 2 6 6 15" xfId="11960"/>
    <cellStyle name="Normal 6 2 6 6 16" xfId="39874"/>
    <cellStyle name="Normal 6 2 6 6 2" xfId="10539"/>
    <cellStyle name="Normal 6 2 6 6 3" xfId="10546"/>
    <cellStyle name="Normal 6 2 6 6 4" xfId="10547"/>
    <cellStyle name="Normal 6 2 6 6 5" xfId="10548"/>
    <cellStyle name="Normal 6 2 6 6 6" xfId="10549"/>
    <cellStyle name="Normal 6 2 6 6 7" xfId="10550"/>
    <cellStyle name="Normal 6 2 6 6 8" xfId="10551"/>
    <cellStyle name="Normal 6 2 6 6 9" xfId="10552"/>
    <cellStyle name="Normal 6 2 6 7" xfId="862"/>
    <cellStyle name="Normal 6 2 6 7 10" xfId="10554"/>
    <cellStyle name="Normal 6 2 6 7 11" xfId="10555"/>
    <cellStyle name="Normal 6 2 6 7 12" xfId="10556"/>
    <cellStyle name="Normal 6 2 6 7 13" xfId="10557"/>
    <cellStyle name="Normal 6 2 6 7 14" xfId="10558"/>
    <cellStyle name="Normal 6 2 6 7 15" xfId="11961"/>
    <cellStyle name="Normal 6 2 6 7 16" xfId="39875"/>
    <cellStyle name="Normal 6 2 6 7 2" xfId="10553"/>
    <cellStyle name="Normal 6 2 6 7 3" xfId="10560"/>
    <cellStyle name="Normal 6 2 6 7 4" xfId="10561"/>
    <cellStyle name="Normal 6 2 6 7 5" xfId="10562"/>
    <cellStyle name="Normal 6 2 6 7 6" xfId="10563"/>
    <cellStyle name="Normal 6 2 6 7 7" xfId="10564"/>
    <cellStyle name="Normal 6 2 6 7 8" xfId="10565"/>
    <cellStyle name="Normal 6 2 6 7 9" xfId="10566"/>
    <cellStyle name="Normal 6 2 6 8" xfId="863"/>
    <cellStyle name="Normal 6 2 6 8 10" xfId="10568"/>
    <cellStyle name="Normal 6 2 6 8 11" xfId="10569"/>
    <cellStyle name="Normal 6 2 6 8 12" xfId="10570"/>
    <cellStyle name="Normal 6 2 6 8 13" xfId="10571"/>
    <cellStyle name="Normal 6 2 6 8 14" xfId="10572"/>
    <cellStyle name="Normal 6 2 6 8 15" xfId="11962"/>
    <cellStyle name="Normal 6 2 6 8 16" xfId="39876"/>
    <cellStyle name="Normal 6 2 6 8 2" xfId="10567"/>
    <cellStyle name="Normal 6 2 6 8 3" xfId="10574"/>
    <cellStyle name="Normal 6 2 6 8 4" xfId="10575"/>
    <cellStyle name="Normal 6 2 6 8 5" xfId="10576"/>
    <cellStyle name="Normal 6 2 6 8 6" xfId="10577"/>
    <cellStyle name="Normal 6 2 6 8 7" xfId="10578"/>
    <cellStyle name="Normal 6 2 6 8 8" xfId="10579"/>
    <cellStyle name="Normal 6 2 6 8 9" xfId="10580"/>
    <cellStyle name="Normal 6 2 6 9" xfId="864"/>
    <cellStyle name="Normal 6 2 6 9 2" xfId="10581"/>
    <cellStyle name="Normal 6 2 6 9 3" xfId="11963"/>
    <cellStyle name="Normal 6 2 6 9 4" xfId="39877"/>
    <cellStyle name="Normal 6 2 7" xfId="865"/>
    <cellStyle name="Normal 6 2 7 10" xfId="10583"/>
    <cellStyle name="Normal 6 2 7 10 2" xfId="39879"/>
    <cellStyle name="Normal 6 2 7 11" xfId="10584"/>
    <cellStyle name="Normal 6 2 7 12" xfId="10585"/>
    <cellStyle name="Normal 6 2 7 13" xfId="10586"/>
    <cellStyle name="Normal 6 2 7 14" xfId="10587"/>
    <cellStyle name="Normal 6 2 7 15" xfId="11964"/>
    <cellStyle name="Normal 6 2 7 16" xfId="39878"/>
    <cellStyle name="Normal 6 2 7 17" xfId="39880"/>
    <cellStyle name="Normal 6 2 7 18" xfId="39881"/>
    <cellStyle name="Normal 6 2 7 19" xfId="39882"/>
    <cellStyle name="Normal 6 2 7 2" xfId="10582"/>
    <cellStyle name="Normal 6 2 7 2 10" xfId="39883"/>
    <cellStyle name="Normal 6 2 7 2 11" xfId="39884"/>
    <cellStyle name="Normal 6 2 7 2 12" xfId="39885"/>
    <cellStyle name="Normal 6 2 7 2 13" xfId="39886"/>
    <cellStyle name="Normal 6 2 7 2 14" xfId="39887"/>
    <cellStyle name="Normal 6 2 7 2 15" xfId="39888"/>
    <cellStyle name="Normal 6 2 7 2 2" xfId="39889"/>
    <cellStyle name="Normal 6 2 7 2 2 2" xfId="39890"/>
    <cellStyle name="Normal 6 2 7 2 2 2 2" xfId="39891"/>
    <cellStyle name="Normal 6 2 7 2 2 3" xfId="39892"/>
    <cellStyle name="Normal 6 2 7 2 2 4" xfId="39893"/>
    <cellStyle name="Normal 6 2 7 2 2 5" xfId="39894"/>
    <cellStyle name="Normal 6 2 7 2 2 6" xfId="39895"/>
    <cellStyle name="Normal 6 2 7 2 2 7" xfId="39896"/>
    <cellStyle name="Normal 6 2 7 2 3" xfId="39897"/>
    <cellStyle name="Normal 6 2 7 2 3 2" xfId="39898"/>
    <cellStyle name="Normal 6 2 7 2 3 3" xfId="39899"/>
    <cellStyle name="Normal 6 2 7 2 3 4" xfId="39900"/>
    <cellStyle name="Normal 6 2 7 2 4" xfId="39901"/>
    <cellStyle name="Normal 6 2 7 2 4 2" xfId="39902"/>
    <cellStyle name="Normal 6 2 7 2 4 3" xfId="39903"/>
    <cellStyle name="Normal 6 2 7 2 4 4" xfId="39904"/>
    <cellStyle name="Normal 6 2 7 2 5" xfId="39905"/>
    <cellStyle name="Normal 6 2 7 2 5 2" xfId="39906"/>
    <cellStyle name="Normal 6 2 7 2 5 3" xfId="39907"/>
    <cellStyle name="Normal 6 2 7 2 5 4" xfId="39908"/>
    <cellStyle name="Normal 6 2 7 2 6" xfId="39909"/>
    <cellStyle name="Normal 6 2 7 2 6 2" xfId="39910"/>
    <cellStyle name="Normal 6 2 7 2 6 3" xfId="39911"/>
    <cellStyle name="Normal 6 2 7 2 7" xfId="39912"/>
    <cellStyle name="Normal 6 2 7 2 7 2" xfId="39913"/>
    <cellStyle name="Normal 6 2 7 2 8" xfId="39914"/>
    <cellStyle name="Normal 6 2 7 2 8 2" xfId="39915"/>
    <cellStyle name="Normal 6 2 7 2 9" xfId="39916"/>
    <cellStyle name="Normal 6 2 7 2 9 2" xfId="39917"/>
    <cellStyle name="Normal 6 2 7 20" xfId="39918"/>
    <cellStyle name="Normal 6 2 7 3" xfId="10589"/>
    <cellStyle name="Normal 6 2 7 3 2" xfId="39919"/>
    <cellStyle name="Normal 6 2 7 3 2 2" xfId="39920"/>
    <cellStyle name="Normal 6 2 7 3 2 3" xfId="39921"/>
    <cellStyle name="Normal 6 2 7 3 2 4" xfId="39922"/>
    <cellStyle name="Normal 6 2 7 3 3" xfId="39923"/>
    <cellStyle name="Normal 6 2 7 3 3 2" xfId="39924"/>
    <cellStyle name="Normal 6 2 7 3 3 3" xfId="39925"/>
    <cellStyle name="Normal 6 2 7 3 4" xfId="39926"/>
    <cellStyle name="Normal 6 2 7 3 4 2" xfId="39927"/>
    <cellStyle name="Normal 6 2 7 3 5" xfId="39928"/>
    <cellStyle name="Normal 6 2 7 3 5 2" xfId="39929"/>
    <cellStyle name="Normal 6 2 7 3 6" xfId="39930"/>
    <cellStyle name="Normal 6 2 7 3 6 2" xfId="39931"/>
    <cellStyle name="Normal 6 2 7 3 7" xfId="39932"/>
    <cellStyle name="Normal 6 2 7 4" xfId="10590"/>
    <cellStyle name="Normal 6 2 7 4 2" xfId="39933"/>
    <cellStyle name="Normal 6 2 7 4 3" xfId="39934"/>
    <cellStyle name="Normal 6 2 7 4 4" xfId="39935"/>
    <cellStyle name="Normal 6 2 7 5" xfId="10591"/>
    <cellStyle name="Normal 6 2 7 5 2" xfId="39936"/>
    <cellStyle name="Normal 6 2 7 5 3" xfId="39937"/>
    <cellStyle name="Normal 6 2 7 5 4" xfId="39938"/>
    <cellStyle name="Normal 6 2 7 6" xfId="10592"/>
    <cellStyle name="Normal 6 2 7 6 2" xfId="39939"/>
    <cellStyle name="Normal 6 2 7 6 3" xfId="39940"/>
    <cellStyle name="Normal 6 2 7 6 4" xfId="39941"/>
    <cellStyle name="Normal 6 2 7 7" xfId="10593"/>
    <cellStyle name="Normal 6 2 7 7 2" xfId="39942"/>
    <cellStyle name="Normal 6 2 7 7 3" xfId="39943"/>
    <cellStyle name="Normal 6 2 7 8" xfId="10594"/>
    <cellStyle name="Normal 6 2 7 8 2" xfId="39944"/>
    <cellStyle name="Normal 6 2 7 9" xfId="10595"/>
    <cellStyle name="Normal 6 2 7 9 2" xfId="39945"/>
    <cellStyle name="Normal 6 2 8" xfId="866"/>
    <cellStyle name="Normal 6 2 8 10" xfId="10597"/>
    <cellStyle name="Normal 6 2 8 10 2" xfId="39947"/>
    <cellStyle name="Normal 6 2 8 11" xfId="10598"/>
    <cellStyle name="Normal 6 2 8 12" xfId="10599"/>
    <cellStyle name="Normal 6 2 8 13" xfId="10600"/>
    <cellStyle name="Normal 6 2 8 14" xfId="10601"/>
    <cellStyle name="Normal 6 2 8 15" xfId="11965"/>
    <cellStyle name="Normal 6 2 8 16" xfId="39946"/>
    <cellStyle name="Normal 6 2 8 17" xfId="39948"/>
    <cellStyle name="Normal 6 2 8 18" xfId="39949"/>
    <cellStyle name="Normal 6 2 8 2" xfId="10596"/>
    <cellStyle name="Normal 6 2 8 2 10" xfId="39950"/>
    <cellStyle name="Normal 6 2 8 2 11" xfId="39951"/>
    <cellStyle name="Normal 6 2 8 2 2" xfId="39952"/>
    <cellStyle name="Normal 6 2 8 2 2 2" xfId="39953"/>
    <cellStyle name="Normal 6 2 8 2 2 3" xfId="39954"/>
    <cellStyle name="Normal 6 2 8 2 2 4" xfId="39955"/>
    <cellStyle name="Normal 6 2 8 2 3" xfId="39956"/>
    <cellStyle name="Normal 6 2 8 2 3 2" xfId="39957"/>
    <cellStyle name="Normal 6 2 8 2 3 3" xfId="39958"/>
    <cellStyle name="Normal 6 2 8 2 3 4" xfId="39959"/>
    <cellStyle name="Normal 6 2 8 2 4" xfId="39960"/>
    <cellStyle name="Normal 6 2 8 2 4 2" xfId="39961"/>
    <cellStyle name="Normal 6 2 8 2 4 3" xfId="39962"/>
    <cellStyle name="Normal 6 2 8 2 4 4" xfId="39963"/>
    <cellStyle name="Normal 6 2 8 2 5" xfId="39964"/>
    <cellStyle name="Normal 6 2 8 2 5 2" xfId="39965"/>
    <cellStyle name="Normal 6 2 8 2 5 3" xfId="39966"/>
    <cellStyle name="Normal 6 2 8 2 5 4" xfId="39967"/>
    <cellStyle name="Normal 6 2 8 2 6" xfId="39968"/>
    <cellStyle name="Normal 6 2 8 2 6 2" xfId="39969"/>
    <cellStyle name="Normal 6 2 8 2 7" xfId="39970"/>
    <cellStyle name="Normal 6 2 8 2 7 2" xfId="39971"/>
    <cellStyle name="Normal 6 2 8 2 8" xfId="39972"/>
    <cellStyle name="Normal 6 2 8 2 8 2" xfId="39973"/>
    <cellStyle name="Normal 6 2 8 2 9" xfId="39974"/>
    <cellStyle name="Normal 6 2 8 2 9 2" xfId="39975"/>
    <cellStyle name="Normal 6 2 8 3" xfId="10603"/>
    <cellStyle name="Normal 6 2 8 3 2" xfId="39976"/>
    <cellStyle name="Normal 6 2 8 3 2 2" xfId="39977"/>
    <cellStyle name="Normal 6 2 8 3 2 3" xfId="39978"/>
    <cellStyle name="Normal 6 2 8 3 2 4" xfId="39979"/>
    <cellStyle name="Normal 6 2 8 3 3" xfId="39980"/>
    <cellStyle name="Normal 6 2 8 3 3 2" xfId="39981"/>
    <cellStyle name="Normal 6 2 8 3 3 3" xfId="39982"/>
    <cellStyle name="Normal 6 2 8 3 4" xfId="39983"/>
    <cellStyle name="Normal 6 2 8 3 4 2" xfId="39984"/>
    <cellStyle name="Normal 6 2 8 3 5" xfId="39985"/>
    <cellStyle name="Normal 6 2 8 3 5 2" xfId="39986"/>
    <cellStyle name="Normal 6 2 8 3 6" xfId="39987"/>
    <cellStyle name="Normal 6 2 8 3 6 2" xfId="39988"/>
    <cellStyle name="Normal 6 2 8 3 7" xfId="39989"/>
    <cellStyle name="Normal 6 2 8 4" xfId="10604"/>
    <cellStyle name="Normal 6 2 8 4 2" xfId="39990"/>
    <cellStyle name="Normal 6 2 8 4 3" xfId="39991"/>
    <cellStyle name="Normal 6 2 8 4 4" xfId="39992"/>
    <cellStyle name="Normal 6 2 8 5" xfId="10605"/>
    <cellStyle name="Normal 6 2 8 5 2" xfId="39993"/>
    <cellStyle name="Normal 6 2 8 5 3" xfId="39994"/>
    <cellStyle name="Normal 6 2 8 5 4" xfId="39995"/>
    <cellStyle name="Normal 6 2 8 6" xfId="10606"/>
    <cellStyle name="Normal 6 2 8 6 2" xfId="39996"/>
    <cellStyle name="Normal 6 2 8 6 3" xfId="39997"/>
    <cellStyle name="Normal 6 2 8 6 4" xfId="39998"/>
    <cellStyle name="Normal 6 2 8 7" xfId="10607"/>
    <cellStyle name="Normal 6 2 8 7 2" xfId="39999"/>
    <cellStyle name="Normal 6 2 8 7 3" xfId="40000"/>
    <cellStyle name="Normal 6 2 8 8" xfId="10608"/>
    <cellStyle name="Normal 6 2 8 8 2" xfId="40001"/>
    <cellStyle name="Normal 6 2 8 9" xfId="10609"/>
    <cellStyle name="Normal 6 2 8 9 2" xfId="40002"/>
    <cellStyle name="Normal 6 2 9" xfId="867"/>
    <cellStyle name="Normal 6 2 9 10" xfId="10611"/>
    <cellStyle name="Normal 6 2 9 10 2" xfId="40004"/>
    <cellStyle name="Normal 6 2 9 11" xfId="10612"/>
    <cellStyle name="Normal 6 2 9 12" xfId="10613"/>
    <cellStyle name="Normal 6 2 9 13" xfId="10614"/>
    <cellStyle name="Normal 6 2 9 14" xfId="10615"/>
    <cellStyle name="Normal 6 2 9 15" xfId="11966"/>
    <cellStyle name="Normal 6 2 9 16" xfId="40003"/>
    <cellStyle name="Normal 6 2 9 17" xfId="40005"/>
    <cellStyle name="Normal 6 2 9 18" xfId="40006"/>
    <cellStyle name="Normal 6 2 9 2" xfId="10610"/>
    <cellStyle name="Normal 6 2 9 2 10" xfId="40007"/>
    <cellStyle name="Normal 6 2 9 2 11" xfId="40008"/>
    <cellStyle name="Normal 6 2 9 2 2" xfId="40009"/>
    <cellStyle name="Normal 6 2 9 2 2 2" xfId="40010"/>
    <cellStyle name="Normal 6 2 9 2 2 3" xfId="40011"/>
    <cellStyle name="Normal 6 2 9 2 2 4" xfId="40012"/>
    <cellStyle name="Normal 6 2 9 2 3" xfId="40013"/>
    <cellStyle name="Normal 6 2 9 2 3 2" xfId="40014"/>
    <cellStyle name="Normal 6 2 9 2 3 3" xfId="40015"/>
    <cellStyle name="Normal 6 2 9 2 3 4" xfId="40016"/>
    <cellStyle name="Normal 6 2 9 2 4" xfId="40017"/>
    <cellStyle name="Normal 6 2 9 2 4 2" xfId="40018"/>
    <cellStyle name="Normal 6 2 9 2 4 3" xfId="40019"/>
    <cellStyle name="Normal 6 2 9 2 4 4" xfId="40020"/>
    <cellStyle name="Normal 6 2 9 2 5" xfId="40021"/>
    <cellStyle name="Normal 6 2 9 2 5 2" xfId="40022"/>
    <cellStyle name="Normal 6 2 9 2 5 3" xfId="40023"/>
    <cellStyle name="Normal 6 2 9 2 5 4" xfId="40024"/>
    <cellStyle name="Normal 6 2 9 2 6" xfId="40025"/>
    <cellStyle name="Normal 6 2 9 2 6 2" xfId="40026"/>
    <cellStyle name="Normal 6 2 9 2 7" xfId="40027"/>
    <cellStyle name="Normal 6 2 9 2 7 2" xfId="40028"/>
    <cellStyle name="Normal 6 2 9 2 8" xfId="40029"/>
    <cellStyle name="Normal 6 2 9 2 8 2" xfId="40030"/>
    <cellStyle name="Normal 6 2 9 2 9" xfId="40031"/>
    <cellStyle name="Normal 6 2 9 2 9 2" xfId="40032"/>
    <cellStyle name="Normal 6 2 9 3" xfId="10617"/>
    <cellStyle name="Normal 6 2 9 3 2" xfId="40033"/>
    <cellStyle name="Normal 6 2 9 3 2 2" xfId="40034"/>
    <cellStyle name="Normal 6 2 9 3 2 3" xfId="40035"/>
    <cellStyle name="Normal 6 2 9 3 2 4" xfId="40036"/>
    <cellStyle name="Normal 6 2 9 3 3" xfId="40037"/>
    <cellStyle name="Normal 6 2 9 3 3 2" xfId="40038"/>
    <cellStyle name="Normal 6 2 9 3 3 3" xfId="40039"/>
    <cellStyle name="Normal 6 2 9 3 4" xfId="40040"/>
    <cellStyle name="Normal 6 2 9 3 4 2" xfId="40041"/>
    <cellStyle name="Normal 6 2 9 3 5" xfId="40042"/>
    <cellStyle name="Normal 6 2 9 3 5 2" xfId="40043"/>
    <cellStyle name="Normal 6 2 9 3 6" xfId="40044"/>
    <cellStyle name="Normal 6 2 9 3 6 2" xfId="40045"/>
    <cellStyle name="Normal 6 2 9 3 7" xfId="40046"/>
    <cellStyle name="Normal 6 2 9 4" xfId="10618"/>
    <cellStyle name="Normal 6 2 9 4 2" xfId="40047"/>
    <cellStyle name="Normal 6 2 9 4 3" xfId="40048"/>
    <cellStyle name="Normal 6 2 9 4 4" xfId="40049"/>
    <cellStyle name="Normal 6 2 9 5" xfId="10619"/>
    <cellStyle name="Normal 6 2 9 5 2" xfId="40050"/>
    <cellStyle name="Normal 6 2 9 5 3" xfId="40051"/>
    <cellStyle name="Normal 6 2 9 5 4" xfId="40052"/>
    <cellStyle name="Normal 6 2 9 6" xfId="10620"/>
    <cellStyle name="Normal 6 2 9 6 2" xfId="40053"/>
    <cellStyle name="Normal 6 2 9 6 3" xfId="40054"/>
    <cellStyle name="Normal 6 2 9 6 4" xfId="40055"/>
    <cellStyle name="Normal 6 2 9 7" xfId="10621"/>
    <cellStyle name="Normal 6 2 9 7 2" xfId="40056"/>
    <cellStyle name="Normal 6 2 9 7 3" xfId="40057"/>
    <cellStyle name="Normal 6 2 9 8" xfId="10622"/>
    <cellStyle name="Normal 6 2 9 8 2" xfId="40058"/>
    <cellStyle name="Normal 6 2 9 9" xfId="10623"/>
    <cellStyle name="Normal 6 2 9 9 2" xfId="40059"/>
    <cellStyle name="Normal 6 20" xfId="1029"/>
    <cellStyle name="Normal 6 20 10" xfId="40060"/>
    <cellStyle name="Normal 6 20 11" xfId="40061"/>
    <cellStyle name="Normal 6 20 2" xfId="40062"/>
    <cellStyle name="Normal 6 20 2 2" xfId="40063"/>
    <cellStyle name="Normal 6 20 2 3" xfId="40064"/>
    <cellStyle name="Normal 6 20 2 4" xfId="40065"/>
    <cellStyle name="Normal 6 20 3" xfId="40066"/>
    <cellStyle name="Normal 6 20 3 2" xfId="40067"/>
    <cellStyle name="Normal 6 20 3 3" xfId="40068"/>
    <cellStyle name="Normal 6 20 3 4" xfId="40069"/>
    <cellStyle name="Normal 6 20 4" xfId="40070"/>
    <cellStyle name="Normal 6 20 4 2" xfId="40071"/>
    <cellStyle name="Normal 6 20 4 3" xfId="40072"/>
    <cellStyle name="Normal 6 20 5" xfId="40073"/>
    <cellStyle name="Normal 6 20 5 2" xfId="40074"/>
    <cellStyle name="Normal 6 20 5 3" xfId="40075"/>
    <cellStyle name="Normal 6 20 6" xfId="40076"/>
    <cellStyle name="Normal 6 20 6 2" xfId="40077"/>
    <cellStyle name="Normal 6 20 7" xfId="40078"/>
    <cellStyle name="Normal 6 20 7 2" xfId="40079"/>
    <cellStyle name="Normal 6 20 8" xfId="40080"/>
    <cellStyle name="Normal 6 20 9" xfId="40081"/>
    <cellStyle name="Normal 6 21" xfId="9857"/>
    <cellStyle name="Normal 6 21 2" xfId="40082"/>
    <cellStyle name="Normal 6 21 2 2" xfId="40083"/>
    <cellStyle name="Normal 6 21 3" xfId="40084"/>
    <cellStyle name="Normal 6 21 4" xfId="40085"/>
    <cellStyle name="Normal 6 21 5" xfId="40086"/>
    <cellStyle name="Normal 6 21 6" xfId="40087"/>
    <cellStyle name="Normal 6 21 7" xfId="40088"/>
    <cellStyle name="Normal 6 22" xfId="10626"/>
    <cellStyle name="Normal 6 22 2" xfId="40089"/>
    <cellStyle name="Normal 6 22 3" xfId="40090"/>
    <cellStyle name="Normal 6 22 4" xfId="40091"/>
    <cellStyle name="Normal 6 23" xfId="10627"/>
    <cellStyle name="Normal 6 23 2" xfId="40092"/>
    <cellStyle name="Normal 6 23 3" xfId="40093"/>
    <cellStyle name="Normal 6 23 4" xfId="40094"/>
    <cellStyle name="Normal 6 24" xfId="10628"/>
    <cellStyle name="Normal 6 24 2" xfId="40095"/>
    <cellStyle name="Normal 6 24 3" xfId="40096"/>
    <cellStyle name="Normal 6 25" xfId="10629"/>
    <cellStyle name="Normal 6 25 2" xfId="40097"/>
    <cellStyle name="Normal 6 25 3" xfId="40098"/>
    <cellStyle name="Normal 6 26" xfId="10630"/>
    <cellStyle name="Normal 6 26 2" xfId="40099"/>
    <cellStyle name="Normal 6 27" xfId="10631"/>
    <cellStyle name="Normal 6 27 2" xfId="40100"/>
    <cellStyle name="Normal 6 28" xfId="10632"/>
    <cellStyle name="Normal 6 29" xfId="10633"/>
    <cellStyle name="Normal 6 3" xfId="868"/>
    <cellStyle name="Normal 6 3 10" xfId="869"/>
    <cellStyle name="Normal 6 3 10 10" xfId="10636"/>
    <cellStyle name="Normal 6 3 10 10 2" xfId="40103"/>
    <cellStyle name="Normal 6 3 10 11" xfId="10637"/>
    <cellStyle name="Normal 6 3 10 12" xfId="10638"/>
    <cellStyle name="Normal 6 3 10 13" xfId="10639"/>
    <cellStyle name="Normal 6 3 10 14" xfId="10640"/>
    <cellStyle name="Normal 6 3 10 15" xfId="11968"/>
    <cellStyle name="Normal 6 3 10 16" xfId="40102"/>
    <cellStyle name="Normal 6 3 10 2" xfId="10635"/>
    <cellStyle name="Normal 6 3 10 2 10" xfId="40104"/>
    <cellStyle name="Normal 6 3 10 2 11" xfId="40105"/>
    <cellStyle name="Normal 6 3 10 2 2" xfId="40106"/>
    <cellStyle name="Normal 6 3 10 2 2 2" xfId="40107"/>
    <cellStyle name="Normal 6 3 10 2 2 3" xfId="40108"/>
    <cellStyle name="Normal 6 3 10 2 2 4" xfId="40109"/>
    <cellStyle name="Normal 6 3 10 2 3" xfId="40110"/>
    <cellStyle name="Normal 6 3 10 2 3 2" xfId="40111"/>
    <cellStyle name="Normal 6 3 10 2 3 3" xfId="40112"/>
    <cellStyle name="Normal 6 3 10 2 3 4" xfId="40113"/>
    <cellStyle name="Normal 6 3 10 2 4" xfId="40114"/>
    <cellStyle name="Normal 6 3 10 2 4 2" xfId="40115"/>
    <cellStyle name="Normal 6 3 10 2 4 3" xfId="40116"/>
    <cellStyle name="Normal 6 3 10 2 4 4" xfId="40117"/>
    <cellStyle name="Normal 6 3 10 2 5" xfId="40118"/>
    <cellStyle name="Normal 6 3 10 2 5 2" xfId="40119"/>
    <cellStyle name="Normal 6 3 10 2 5 3" xfId="40120"/>
    <cellStyle name="Normal 6 3 10 2 5 4" xfId="40121"/>
    <cellStyle name="Normal 6 3 10 2 6" xfId="40122"/>
    <cellStyle name="Normal 6 3 10 2 6 2" xfId="40123"/>
    <cellStyle name="Normal 6 3 10 2 7" xfId="40124"/>
    <cellStyle name="Normal 6 3 10 2 7 2" xfId="40125"/>
    <cellStyle name="Normal 6 3 10 2 8" xfId="40126"/>
    <cellStyle name="Normal 6 3 10 2 8 2" xfId="40127"/>
    <cellStyle name="Normal 6 3 10 2 9" xfId="40128"/>
    <cellStyle name="Normal 6 3 10 2 9 2" xfId="40129"/>
    <cellStyle name="Normal 6 3 10 3" xfId="10642"/>
    <cellStyle name="Normal 6 3 10 3 2" xfId="40130"/>
    <cellStyle name="Normal 6 3 10 3 2 2" xfId="40131"/>
    <cellStyle name="Normal 6 3 10 3 2 3" xfId="40132"/>
    <cellStyle name="Normal 6 3 10 3 2 4" xfId="40133"/>
    <cellStyle name="Normal 6 3 10 3 3" xfId="40134"/>
    <cellStyle name="Normal 6 3 10 3 3 2" xfId="40135"/>
    <cellStyle name="Normal 6 3 10 3 3 3" xfId="40136"/>
    <cellStyle name="Normal 6 3 10 3 4" xfId="40137"/>
    <cellStyle name="Normal 6 3 10 3 4 2" xfId="40138"/>
    <cellStyle name="Normal 6 3 10 3 5" xfId="40139"/>
    <cellStyle name="Normal 6 3 10 3 5 2" xfId="40140"/>
    <cellStyle name="Normal 6 3 10 3 6" xfId="40141"/>
    <cellStyle name="Normal 6 3 10 3 6 2" xfId="40142"/>
    <cellStyle name="Normal 6 3 10 3 7" xfId="40143"/>
    <cellStyle name="Normal 6 3 10 4" xfId="10643"/>
    <cellStyle name="Normal 6 3 10 4 2" xfId="40144"/>
    <cellStyle name="Normal 6 3 10 4 3" xfId="40145"/>
    <cellStyle name="Normal 6 3 10 4 4" xfId="40146"/>
    <cellStyle name="Normal 6 3 10 5" xfId="10644"/>
    <cellStyle name="Normal 6 3 10 5 2" xfId="40147"/>
    <cellStyle name="Normal 6 3 10 5 3" xfId="40148"/>
    <cellStyle name="Normal 6 3 10 5 4" xfId="40149"/>
    <cellStyle name="Normal 6 3 10 6" xfId="10645"/>
    <cellStyle name="Normal 6 3 10 6 2" xfId="40150"/>
    <cellStyle name="Normal 6 3 10 6 3" xfId="40151"/>
    <cellStyle name="Normal 6 3 10 6 4" xfId="40152"/>
    <cellStyle name="Normal 6 3 10 7" xfId="10646"/>
    <cellStyle name="Normal 6 3 10 7 2" xfId="40153"/>
    <cellStyle name="Normal 6 3 10 7 3" xfId="40154"/>
    <cellStyle name="Normal 6 3 10 8" xfId="10647"/>
    <cellStyle name="Normal 6 3 10 8 2" xfId="40155"/>
    <cellStyle name="Normal 6 3 10 9" xfId="10648"/>
    <cellStyle name="Normal 6 3 10 9 2" xfId="40156"/>
    <cellStyle name="Normal 6 3 11" xfId="870"/>
    <cellStyle name="Normal 6 3 11 10" xfId="10650"/>
    <cellStyle name="Normal 6 3 11 10 2" xfId="40158"/>
    <cellStyle name="Normal 6 3 11 11" xfId="10651"/>
    <cellStyle name="Normal 6 3 11 12" xfId="10652"/>
    <cellStyle name="Normal 6 3 11 13" xfId="10653"/>
    <cellStyle name="Normal 6 3 11 14" xfId="10654"/>
    <cellStyle name="Normal 6 3 11 15" xfId="11969"/>
    <cellStyle name="Normal 6 3 11 16" xfId="40157"/>
    <cellStyle name="Normal 6 3 11 2" xfId="10649"/>
    <cellStyle name="Normal 6 3 11 2 2" xfId="40159"/>
    <cellStyle name="Normal 6 3 11 2 2 2" xfId="40160"/>
    <cellStyle name="Normal 6 3 11 2 2 3" xfId="40161"/>
    <cellStyle name="Normal 6 3 11 2 3" xfId="40162"/>
    <cellStyle name="Normal 6 3 11 2 3 2" xfId="40163"/>
    <cellStyle name="Normal 6 3 11 2 4" xfId="40164"/>
    <cellStyle name="Normal 6 3 11 2 4 2" xfId="40165"/>
    <cellStyle name="Normal 6 3 11 2 5" xfId="40166"/>
    <cellStyle name="Normal 6 3 11 2 5 2" xfId="40167"/>
    <cellStyle name="Normal 6 3 11 2 6" xfId="40168"/>
    <cellStyle name="Normal 6 3 11 2 7" xfId="40169"/>
    <cellStyle name="Normal 6 3 11 2 8" xfId="40170"/>
    <cellStyle name="Normal 6 3 11 2 9" xfId="40171"/>
    <cellStyle name="Normal 6 3 11 3" xfId="10656"/>
    <cellStyle name="Normal 6 3 11 3 2" xfId="40172"/>
    <cellStyle name="Normal 6 3 11 3 2 2" xfId="40173"/>
    <cellStyle name="Normal 6 3 11 3 2 3" xfId="40174"/>
    <cellStyle name="Normal 6 3 11 3 3" xfId="40175"/>
    <cellStyle name="Normal 6 3 11 3 3 2" xfId="40176"/>
    <cellStyle name="Normal 6 3 11 3 4" xfId="40177"/>
    <cellStyle name="Normal 6 3 11 3 5" xfId="40178"/>
    <cellStyle name="Normal 6 3 11 3 6" xfId="40179"/>
    <cellStyle name="Normal 6 3 11 3 7" xfId="40180"/>
    <cellStyle name="Normal 6 3 11 4" xfId="10657"/>
    <cellStyle name="Normal 6 3 11 4 2" xfId="40181"/>
    <cellStyle name="Normal 6 3 11 4 3" xfId="40182"/>
    <cellStyle name="Normal 6 3 11 4 4" xfId="40183"/>
    <cellStyle name="Normal 6 3 11 5" xfId="10658"/>
    <cellStyle name="Normal 6 3 11 5 2" xfId="40184"/>
    <cellStyle name="Normal 6 3 11 5 3" xfId="40185"/>
    <cellStyle name="Normal 6 3 11 5 4" xfId="40186"/>
    <cellStyle name="Normal 6 3 11 6" xfId="10659"/>
    <cellStyle name="Normal 6 3 11 6 2" xfId="40187"/>
    <cellStyle name="Normal 6 3 11 6 3" xfId="40188"/>
    <cellStyle name="Normal 6 3 11 7" xfId="10660"/>
    <cellStyle name="Normal 6 3 11 7 2" xfId="40189"/>
    <cellStyle name="Normal 6 3 11 8" xfId="10661"/>
    <cellStyle name="Normal 6 3 11 8 2" xfId="40190"/>
    <cellStyle name="Normal 6 3 11 9" xfId="10662"/>
    <cellStyle name="Normal 6 3 11 9 2" xfId="40191"/>
    <cellStyle name="Normal 6 3 12" xfId="871"/>
    <cellStyle name="Normal 6 3 12 10" xfId="10664"/>
    <cellStyle name="Normal 6 3 12 11" xfId="10665"/>
    <cellStyle name="Normal 6 3 12 12" xfId="10666"/>
    <cellStyle name="Normal 6 3 12 13" xfId="10667"/>
    <cellStyle name="Normal 6 3 12 14" xfId="10668"/>
    <cellStyle name="Normal 6 3 12 15" xfId="11970"/>
    <cellStyle name="Normal 6 3 12 16" xfId="40192"/>
    <cellStyle name="Normal 6 3 12 2" xfId="10663"/>
    <cellStyle name="Normal 6 3 12 2 2" xfId="40193"/>
    <cellStyle name="Normal 6 3 12 2 3" xfId="40194"/>
    <cellStyle name="Normal 6 3 12 2 4" xfId="40195"/>
    <cellStyle name="Normal 6 3 12 3" xfId="10670"/>
    <cellStyle name="Normal 6 3 12 3 2" xfId="40196"/>
    <cellStyle name="Normal 6 3 12 3 3" xfId="40197"/>
    <cellStyle name="Normal 6 3 12 4" xfId="10671"/>
    <cellStyle name="Normal 6 3 12 4 2" xfId="40198"/>
    <cellStyle name="Normal 6 3 12 4 3" xfId="40199"/>
    <cellStyle name="Normal 6 3 12 5" xfId="10672"/>
    <cellStyle name="Normal 6 3 12 5 2" xfId="40200"/>
    <cellStyle name="Normal 6 3 12 5 3" xfId="40201"/>
    <cellStyle name="Normal 6 3 12 6" xfId="10673"/>
    <cellStyle name="Normal 6 3 12 6 2" xfId="40202"/>
    <cellStyle name="Normal 6 3 12 7" xfId="10674"/>
    <cellStyle name="Normal 6 3 12 8" xfId="10675"/>
    <cellStyle name="Normal 6 3 12 9" xfId="10676"/>
    <cellStyle name="Normal 6 3 13" xfId="872"/>
    <cellStyle name="Normal 6 3 13 10" xfId="10678"/>
    <cellStyle name="Normal 6 3 13 11" xfId="10679"/>
    <cellStyle name="Normal 6 3 13 12" xfId="10680"/>
    <cellStyle name="Normal 6 3 13 13" xfId="10681"/>
    <cellStyle name="Normal 6 3 13 14" xfId="10682"/>
    <cellStyle name="Normal 6 3 13 15" xfId="11971"/>
    <cellStyle name="Normal 6 3 13 16" xfId="40203"/>
    <cellStyle name="Normal 6 3 13 2" xfId="10677"/>
    <cellStyle name="Normal 6 3 13 2 2" xfId="40204"/>
    <cellStyle name="Normal 6 3 13 2 3" xfId="40205"/>
    <cellStyle name="Normal 6 3 13 3" xfId="10684"/>
    <cellStyle name="Normal 6 3 13 3 2" xfId="40206"/>
    <cellStyle name="Normal 6 3 13 4" xfId="10685"/>
    <cellStyle name="Normal 6 3 13 5" xfId="10686"/>
    <cellStyle name="Normal 6 3 13 6" xfId="10687"/>
    <cellStyle name="Normal 6 3 13 7" xfId="10688"/>
    <cellStyle name="Normal 6 3 13 8" xfId="10689"/>
    <cellStyle name="Normal 6 3 13 9" xfId="10690"/>
    <cellStyle name="Normal 6 3 14" xfId="873"/>
    <cellStyle name="Normal 6 3 14 2" xfId="10691"/>
    <cellStyle name="Normal 6 3 14 3" xfId="11972"/>
    <cellStyle name="Normal 6 3 14 4" xfId="40207"/>
    <cellStyle name="Normal 6 3 15" xfId="874"/>
    <cellStyle name="Normal 6 3 15 2" xfId="10692"/>
    <cellStyle name="Normal 6 3 15 3" xfId="11973"/>
    <cellStyle name="Normal 6 3 15 4" xfId="40208"/>
    <cellStyle name="Normal 6 3 16" xfId="10634"/>
    <cellStyle name="Normal 6 3 16 2" xfId="40209"/>
    <cellStyle name="Normal 6 3 16 3" xfId="40210"/>
    <cellStyle name="Normal 6 3 16 4" xfId="40211"/>
    <cellStyle name="Normal 6 3 17" xfId="10694"/>
    <cellStyle name="Normal 6 3 17 2" xfId="40212"/>
    <cellStyle name="Normal 6 3 18" xfId="10695"/>
    <cellStyle name="Normal 6 3 18 2" xfId="40213"/>
    <cellStyle name="Normal 6 3 19" xfId="10696"/>
    <cellStyle name="Normal 6 3 19 2" xfId="40214"/>
    <cellStyle name="Normal 6 3 2" xfId="875"/>
    <cellStyle name="Normal 6 3 2 10" xfId="876"/>
    <cellStyle name="Normal 6 3 2 10 2" xfId="10698"/>
    <cellStyle name="Normal 6 3 2 10 3" xfId="11975"/>
    <cellStyle name="Normal 6 3 2 10 4" xfId="40216"/>
    <cellStyle name="Normal 6 3 2 11" xfId="10697"/>
    <cellStyle name="Normal 6 3 2 11 2" xfId="40217"/>
    <cellStyle name="Normal 6 3 2 12" xfId="10700"/>
    <cellStyle name="Normal 6 3 2 13" xfId="10701"/>
    <cellStyle name="Normal 6 3 2 14" xfId="10702"/>
    <cellStyle name="Normal 6 3 2 15" xfId="10703"/>
    <cellStyle name="Normal 6 3 2 16" xfId="10704"/>
    <cellStyle name="Normal 6 3 2 17" xfId="10705"/>
    <cellStyle name="Normal 6 3 2 18" xfId="10706"/>
    <cellStyle name="Normal 6 3 2 19" xfId="10707"/>
    <cellStyle name="Normal 6 3 2 2" xfId="877"/>
    <cellStyle name="Normal 6 3 2 2 10" xfId="10709"/>
    <cellStyle name="Normal 6 3 2 2 11" xfId="10710"/>
    <cellStyle name="Normal 6 3 2 2 12" xfId="10711"/>
    <cellStyle name="Normal 6 3 2 2 13" xfId="10712"/>
    <cellStyle name="Normal 6 3 2 2 14" xfId="10713"/>
    <cellStyle name="Normal 6 3 2 2 15" xfId="11976"/>
    <cellStyle name="Normal 6 3 2 2 16" xfId="40218"/>
    <cellStyle name="Normal 6 3 2 2 17" xfId="40219"/>
    <cellStyle name="Normal 6 3 2 2 18" xfId="40220"/>
    <cellStyle name="Normal 6 3 2 2 2" xfId="10708"/>
    <cellStyle name="Normal 6 3 2 2 2 10" xfId="40221"/>
    <cellStyle name="Normal 6 3 2 2 2 11" xfId="40222"/>
    <cellStyle name="Normal 6 3 2 2 2 2" xfId="40223"/>
    <cellStyle name="Normal 6 3 2 2 2 2 2" xfId="40224"/>
    <cellStyle name="Normal 6 3 2 2 2 3" xfId="40225"/>
    <cellStyle name="Normal 6 3 2 2 2 3 2" xfId="40226"/>
    <cellStyle name="Normal 6 3 2 2 2 4" xfId="40227"/>
    <cellStyle name="Normal 6 3 2 2 2 4 2" xfId="40228"/>
    <cellStyle name="Normal 6 3 2 2 2 5" xfId="40229"/>
    <cellStyle name="Normal 6 3 2 2 2 5 2" xfId="40230"/>
    <cellStyle name="Normal 6 3 2 2 2 6" xfId="40231"/>
    <cellStyle name="Normal 6 3 2 2 2 7" xfId="40232"/>
    <cellStyle name="Normal 6 3 2 2 2 8" xfId="40233"/>
    <cellStyle name="Normal 6 3 2 2 2 9" xfId="40234"/>
    <cellStyle name="Normal 6 3 2 2 3" xfId="10715"/>
    <cellStyle name="Normal 6 3 2 2 3 2" xfId="40235"/>
    <cellStyle name="Normal 6 3 2 2 3 2 2" xfId="40236"/>
    <cellStyle name="Normal 6 3 2 2 3 3" xfId="40237"/>
    <cellStyle name="Normal 6 3 2 2 3 4" xfId="40238"/>
    <cellStyle name="Normal 6 3 2 2 3 5" xfId="40239"/>
    <cellStyle name="Normal 6 3 2 2 3 6" xfId="40240"/>
    <cellStyle name="Normal 6 3 2 2 3 7" xfId="40241"/>
    <cellStyle name="Normal 6 3 2 2 4" xfId="10716"/>
    <cellStyle name="Normal 6 3 2 2 4 2" xfId="40242"/>
    <cellStyle name="Normal 6 3 2 2 4 3" xfId="40243"/>
    <cellStyle name="Normal 6 3 2 2 4 4" xfId="40244"/>
    <cellStyle name="Normal 6 3 2 2 5" xfId="10717"/>
    <cellStyle name="Normal 6 3 2 2 5 2" xfId="40245"/>
    <cellStyle name="Normal 6 3 2 2 5 3" xfId="40246"/>
    <cellStyle name="Normal 6 3 2 2 5 4" xfId="40247"/>
    <cellStyle name="Normal 6 3 2 2 6" xfId="10718"/>
    <cellStyle name="Normal 6 3 2 2 6 2" xfId="40248"/>
    <cellStyle name="Normal 6 3 2 2 6 3" xfId="40249"/>
    <cellStyle name="Normal 6 3 2 2 7" xfId="10719"/>
    <cellStyle name="Normal 6 3 2 2 7 2" xfId="40250"/>
    <cellStyle name="Normal 6 3 2 2 7 3" xfId="40251"/>
    <cellStyle name="Normal 6 3 2 2 8" xfId="10720"/>
    <cellStyle name="Normal 6 3 2 2 8 2" xfId="40252"/>
    <cellStyle name="Normal 6 3 2 2 9" xfId="10721"/>
    <cellStyle name="Normal 6 3 2 2 9 2" xfId="40253"/>
    <cellStyle name="Normal 6 3 2 20" xfId="10722"/>
    <cellStyle name="Normal 6 3 2 21" xfId="10723"/>
    <cellStyle name="Normal 6 3 2 22" xfId="10724"/>
    <cellStyle name="Normal 6 3 2 23" xfId="11974"/>
    <cellStyle name="Normal 6 3 2 24" xfId="40215"/>
    <cellStyle name="Normal 6 3 2 3" xfId="878"/>
    <cellStyle name="Normal 6 3 2 3 10" xfId="10726"/>
    <cellStyle name="Normal 6 3 2 3 11" xfId="10727"/>
    <cellStyle name="Normal 6 3 2 3 12" xfId="10728"/>
    <cellStyle name="Normal 6 3 2 3 13" xfId="10729"/>
    <cellStyle name="Normal 6 3 2 3 14" xfId="10730"/>
    <cellStyle name="Normal 6 3 2 3 15" xfId="11977"/>
    <cellStyle name="Normal 6 3 2 3 16" xfId="40254"/>
    <cellStyle name="Normal 6 3 2 3 17" xfId="40255"/>
    <cellStyle name="Normal 6 3 2 3 18" xfId="40256"/>
    <cellStyle name="Normal 6 3 2 3 2" xfId="10725"/>
    <cellStyle name="Normal 6 3 2 3 2 10" xfId="40257"/>
    <cellStyle name="Normal 6 3 2 3 2 11" xfId="40258"/>
    <cellStyle name="Normal 6 3 2 3 2 2" xfId="40259"/>
    <cellStyle name="Normal 6 3 2 3 2 2 2" xfId="40260"/>
    <cellStyle name="Normal 6 3 2 3 2 3" xfId="40261"/>
    <cellStyle name="Normal 6 3 2 3 2 3 2" xfId="40262"/>
    <cellStyle name="Normal 6 3 2 3 2 4" xfId="40263"/>
    <cellStyle name="Normal 6 3 2 3 2 4 2" xfId="40264"/>
    <cellStyle name="Normal 6 3 2 3 2 5" xfId="40265"/>
    <cellStyle name="Normal 6 3 2 3 2 5 2" xfId="40266"/>
    <cellStyle name="Normal 6 3 2 3 2 6" xfId="40267"/>
    <cellStyle name="Normal 6 3 2 3 2 7" xfId="40268"/>
    <cellStyle name="Normal 6 3 2 3 2 8" xfId="40269"/>
    <cellStyle name="Normal 6 3 2 3 2 9" xfId="40270"/>
    <cellStyle name="Normal 6 3 2 3 3" xfId="10732"/>
    <cellStyle name="Normal 6 3 2 3 3 2" xfId="40271"/>
    <cellStyle name="Normal 6 3 2 3 3 2 2" xfId="40272"/>
    <cellStyle name="Normal 6 3 2 3 3 3" xfId="40273"/>
    <cellStyle name="Normal 6 3 2 3 3 4" xfId="40274"/>
    <cellStyle name="Normal 6 3 2 3 3 5" xfId="40275"/>
    <cellStyle name="Normal 6 3 2 3 3 6" xfId="40276"/>
    <cellStyle name="Normal 6 3 2 3 3 7" xfId="40277"/>
    <cellStyle name="Normal 6 3 2 3 4" xfId="10733"/>
    <cellStyle name="Normal 6 3 2 3 4 2" xfId="40278"/>
    <cellStyle name="Normal 6 3 2 3 4 3" xfId="40279"/>
    <cellStyle name="Normal 6 3 2 3 5" xfId="10734"/>
    <cellStyle name="Normal 6 3 2 3 5 2" xfId="40280"/>
    <cellStyle name="Normal 6 3 2 3 5 3" xfId="40281"/>
    <cellStyle name="Normal 6 3 2 3 6" xfId="10735"/>
    <cellStyle name="Normal 6 3 2 3 6 2" xfId="40282"/>
    <cellStyle name="Normal 6 3 2 3 6 3" xfId="40283"/>
    <cellStyle name="Normal 6 3 2 3 7" xfId="10736"/>
    <cellStyle name="Normal 6 3 2 3 7 2" xfId="40284"/>
    <cellStyle name="Normal 6 3 2 3 7 3" xfId="40285"/>
    <cellStyle name="Normal 6 3 2 3 8" xfId="10737"/>
    <cellStyle name="Normal 6 3 2 3 9" xfId="10738"/>
    <cellStyle name="Normal 6 3 2 4" xfId="879"/>
    <cellStyle name="Normal 6 3 2 4 10" xfId="10740"/>
    <cellStyle name="Normal 6 3 2 4 11" xfId="10741"/>
    <cellStyle name="Normal 6 3 2 4 12" xfId="10742"/>
    <cellStyle name="Normal 6 3 2 4 13" xfId="10743"/>
    <cellStyle name="Normal 6 3 2 4 14" xfId="10744"/>
    <cellStyle name="Normal 6 3 2 4 15" xfId="11978"/>
    <cellStyle name="Normal 6 3 2 4 16" xfId="40286"/>
    <cellStyle name="Normal 6 3 2 4 17" xfId="40287"/>
    <cellStyle name="Normal 6 3 2 4 2" xfId="10739"/>
    <cellStyle name="Normal 6 3 2 4 2 2" xfId="40288"/>
    <cellStyle name="Normal 6 3 2 4 2 2 2" xfId="40289"/>
    <cellStyle name="Normal 6 3 2 4 2 3" xfId="40290"/>
    <cellStyle name="Normal 6 3 2 4 2 3 2" xfId="40291"/>
    <cellStyle name="Normal 6 3 2 4 2 4" xfId="40292"/>
    <cellStyle name="Normal 6 3 2 4 2 4 2" xfId="40293"/>
    <cellStyle name="Normal 6 3 2 4 2 5" xfId="40294"/>
    <cellStyle name="Normal 6 3 2 4 2 5 2" xfId="40295"/>
    <cellStyle name="Normal 6 3 2 4 2 6" xfId="40296"/>
    <cellStyle name="Normal 6 3 2 4 2 7" xfId="40297"/>
    <cellStyle name="Normal 6 3 2 4 2 8" xfId="40298"/>
    <cellStyle name="Normal 6 3 2 4 2 9" xfId="40299"/>
    <cellStyle name="Normal 6 3 2 4 3" xfId="10746"/>
    <cellStyle name="Normal 6 3 2 4 3 2" xfId="40300"/>
    <cellStyle name="Normal 6 3 2 4 3 2 2" xfId="40301"/>
    <cellStyle name="Normal 6 3 2 4 3 3" xfId="40302"/>
    <cellStyle name="Normal 6 3 2 4 3 4" xfId="40303"/>
    <cellStyle name="Normal 6 3 2 4 3 5" xfId="40304"/>
    <cellStyle name="Normal 6 3 2 4 4" xfId="10747"/>
    <cellStyle name="Normal 6 3 2 4 4 2" xfId="40305"/>
    <cellStyle name="Normal 6 3 2 4 5" xfId="10748"/>
    <cellStyle name="Normal 6 3 2 4 5 2" xfId="40306"/>
    <cellStyle name="Normal 6 3 2 4 6" xfId="10749"/>
    <cellStyle name="Normal 6 3 2 4 6 2" xfId="40307"/>
    <cellStyle name="Normal 6 3 2 4 7" xfId="10750"/>
    <cellStyle name="Normal 6 3 2 4 7 2" xfId="40308"/>
    <cellStyle name="Normal 6 3 2 4 8" xfId="10751"/>
    <cellStyle name="Normal 6 3 2 4 9" xfId="10752"/>
    <cellStyle name="Normal 6 3 2 5" xfId="880"/>
    <cellStyle name="Normal 6 3 2 5 10" xfId="10754"/>
    <cellStyle name="Normal 6 3 2 5 11" xfId="10755"/>
    <cellStyle name="Normal 6 3 2 5 12" xfId="10756"/>
    <cellStyle name="Normal 6 3 2 5 13" xfId="10757"/>
    <cellStyle name="Normal 6 3 2 5 14" xfId="10758"/>
    <cellStyle name="Normal 6 3 2 5 15" xfId="11979"/>
    <cellStyle name="Normal 6 3 2 5 16" xfId="40309"/>
    <cellStyle name="Normal 6 3 2 5 2" xfId="10753"/>
    <cellStyle name="Normal 6 3 2 5 2 2" xfId="40310"/>
    <cellStyle name="Normal 6 3 2 5 2 2 2" xfId="40311"/>
    <cellStyle name="Normal 6 3 2 5 2 3" xfId="40312"/>
    <cellStyle name="Normal 6 3 2 5 2 3 2" xfId="40313"/>
    <cellStyle name="Normal 6 3 2 5 2 4" xfId="40314"/>
    <cellStyle name="Normal 6 3 2 5 2 4 2" xfId="40315"/>
    <cellStyle name="Normal 6 3 2 5 2 5" xfId="40316"/>
    <cellStyle name="Normal 6 3 2 5 2 5 2" xfId="40317"/>
    <cellStyle name="Normal 6 3 2 5 2 6" xfId="40318"/>
    <cellStyle name="Normal 6 3 2 5 2 7" xfId="40319"/>
    <cellStyle name="Normal 6 3 2 5 2 8" xfId="40320"/>
    <cellStyle name="Normal 6 3 2 5 2 9" xfId="40321"/>
    <cellStyle name="Normal 6 3 2 5 3" xfId="10760"/>
    <cellStyle name="Normal 6 3 2 5 3 2" xfId="40322"/>
    <cellStyle name="Normal 6 3 2 5 3 2 2" xfId="40323"/>
    <cellStyle name="Normal 6 3 2 5 3 3" xfId="40324"/>
    <cellStyle name="Normal 6 3 2 5 3 4" xfId="40325"/>
    <cellStyle name="Normal 6 3 2 5 3 5" xfId="40326"/>
    <cellStyle name="Normal 6 3 2 5 4" xfId="10761"/>
    <cellStyle name="Normal 6 3 2 5 4 2" xfId="40327"/>
    <cellStyle name="Normal 6 3 2 5 5" xfId="10762"/>
    <cellStyle name="Normal 6 3 2 5 5 2" xfId="40328"/>
    <cellStyle name="Normal 6 3 2 5 6" xfId="10763"/>
    <cellStyle name="Normal 6 3 2 5 6 2" xfId="40329"/>
    <cellStyle name="Normal 6 3 2 5 7" xfId="10764"/>
    <cellStyle name="Normal 6 3 2 5 7 2" xfId="40330"/>
    <cellStyle name="Normal 6 3 2 5 8" xfId="10765"/>
    <cellStyle name="Normal 6 3 2 5 9" xfId="10766"/>
    <cellStyle name="Normal 6 3 2 6" xfId="881"/>
    <cellStyle name="Normal 6 3 2 6 10" xfId="10768"/>
    <cellStyle name="Normal 6 3 2 6 11" xfId="10769"/>
    <cellStyle name="Normal 6 3 2 6 12" xfId="10770"/>
    <cellStyle name="Normal 6 3 2 6 13" xfId="10771"/>
    <cellStyle name="Normal 6 3 2 6 14" xfId="10772"/>
    <cellStyle name="Normal 6 3 2 6 15" xfId="11980"/>
    <cellStyle name="Normal 6 3 2 6 16" xfId="40331"/>
    <cellStyle name="Normal 6 3 2 6 2" xfId="10767"/>
    <cellStyle name="Normal 6 3 2 6 2 2" xfId="40332"/>
    <cellStyle name="Normal 6 3 2 6 3" xfId="10774"/>
    <cellStyle name="Normal 6 3 2 6 3 2" xfId="40333"/>
    <cellStyle name="Normal 6 3 2 6 4" xfId="10775"/>
    <cellStyle name="Normal 6 3 2 6 4 2" xfId="40334"/>
    <cellStyle name="Normal 6 3 2 6 5" xfId="10776"/>
    <cellStyle name="Normal 6 3 2 6 5 2" xfId="40335"/>
    <cellStyle name="Normal 6 3 2 6 6" xfId="10777"/>
    <cellStyle name="Normal 6 3 2 6 7" xfId="10778"/>
    <cellStyle name="Normal 6 3 2 6 8" xfId="10779"/>
    <cellStyle name="Normal 6 3 2 6 9" xfId="10780"/>
    <cellStyle name="Normal 6 3 2 7" xfId="882"/>
    <cellStyle name="Normal 6 3 2 7 10" xfId="10782"/>
    <cellStyle name="Normal 6 3 2 7 11" xfId="10783"/>
    <cellStyle name="Normal 6 3 2 7 12" xfId="10784"/>
    <cellStyle name="Normal 6 3 2 7 13" xfId="10785"/>
    <cellStyle name="Normal 6 3 2 7 14" xfId="10786"/>
    <cellStyle name="Normal 6 3 2 7 15" xfId="11981"/>
    <cellStyle name="Normal 6 3 2 7 16" xfId="40336"/>
    <cellStyle name="Normal 6 3 2 7 2" xfId="10781"/>
    <cellStyle name="Normal 6 3 2 7 2 2" xfId="40337"/>
    <cellStyle name="Normal 6 3 2 7 3" xfId="10788"/>
    <cellStyle name="Normal 6 3 2 7 4" xfId="10789"/>
    <cellStyle name="Normal 6 3 2 7 5" xfId="10790"/>
    <cellStyle name="Normal 6 3 2 7 6" xfId="10791"/>
    <cellStyle name="Normal 6 3 2 7 7" xfId="10792"/>
    <cellStyle name="Normal 6 3 2 7 8" xfId="10793"/>
    <cellStyle name="Normal 6 3 2 7 9" xfId="10794"/>
    <cellStyle name="Normal 6 3 2 8" xfId="883"/>
    <cellStyle name="Normal 6 3 2 8 10" xfId="10796"/>
    <cellStyle name="Normal 6 3 2 8 11" xfId="10797"/>
    <cellStyle name="Normal 6 3 2 8 12" xfId="10798"/>
    <cellStyle name="Normal 6 3 2 8 13" xfId="10799"/>
    <cellStyle name="Normal 6 3 2 8 14" xfId="10800"/>
    <cellStyle name="Normal 6 3 2 8 15" xfId="11982"/>
    <cellStyle name="Normal 6 3 2 8 16" xfId="40338"/>
    <cellStyle name="Normal 6 3 2 8 2" xfId="10795"/>
    <cellStyle name="Normal 6 3 2 8 3" xfId="10802"/>
    <cellStyle name="Normal 6 3 2 8 4" xfId="10803"/>
    <cellStyle name="Normal 6 3 2 8 5" xfId="10804"/>
    <cellStyle name="Normal 6 3 2 8 6" xfId="10805"/>
    <cellStyle name="Normal 6 3 2 8 7" xfId="10806"/>
    <cellStyle name="Normal 6 3 2 8 8" xfId="10807"/>
    <cellStyle name="Normal 6 3 2 8 9" xfId="10808"/>
    <cellStyle name="Normal 6 3 2 9" xfId="884"/>
    <cellStyle name="Normal 6 3 2 9 2" xfId="10809"/>
    <cellStyle name="Normal 6 3 2 9 3" xfId="11983"/>
    <cellStyle name="Normal 6 3 2 9 4" xfId="40339"/>
    <cellStyle name="Normal 6 3 20" xfId="10810"/>
    <cellStyle name="Normal 6 3 20 2" xfId="40340"/>
    <cellStyle name="Normal 6 3 21" xfId="10811"/>
    <cellStyle name="Normal 6 3 22" xfId="10812"/>
    <cellStyle name="Normal 6 3 23" xfId="10813"/>
    <cellStyle name="Normal 6 3 24" xfId="10814"/>
    <cellStyle name="Normal 6 3 25" xfId="10815"/>
    <cellStyle name="Normal 6 3 26" xfId="10816"/>
    <cellStyle name="Normal 6 3 27" xfId="10817"/>
    <cellStyle name="Normal 6 3 28" xfId="11967"/>
    <cellStyle name="Normal 6 3 29" xfId="12088"/>
    <cellStyle name="Normal 6 3 3" xfId="885"/>
    <cellStyle name="Normal 6 3 3 10" xfId="886"/>
    <cellStyle name="Normal 6 3 3 10 2" xfId="10819"/>
    <cellStyle name="Normal 6 3 3 10 3" xfId="11985"/>
    <cellStyle name="Normal 6 3 3 10 4" xfId="40342"/>
    <cellStyle name="Normal 6 3 3 11" xfId="10818"/>
    <cellStyle name="Normal 6 3 3 12" xfId="10821"/>
    <cellStyle name="Normal 6 3 3 13" xfId="10822"/>
    <cellStyle name="Normal 6 3 3 14" xfId="10823"/>
    <cellStyle name="Normal 6 3 3 15" xfId="10824"/>
    <cellStyle name="Normal 6 3 3 16" xfId="10825"/>
    <cellStyle name="Normal 6 3 3 17" xfId="10826"/>
    <cellStyle name="Normal 6 3 3 18" xfId="10827"/>
    <cellStyle name="Normal 6 3 3 19" xfId="10828"/>
    <cellStyle name="Normal 6 3 3 2" xfId="887"/>
    <cellStyle name="Normal 6 3 3 2 10" xfId="10830"/>
    <cellStyle name="Normal 6 3 3 2 11" xfId="10831"/>
    <cellStyle name="Normal 6 3 3 2 12" xfId="10832"/>
    <cellStyle name="Normal 6 3 3 2 13" xfId="10833"/>
    <cellStyle name="Normal 6 3 3 2 14" xfId="10834"/>
    <cellStyle name="Normal 6 3 3 2 15" xfId="11986"/>
    <cellStyle name="Normal 6 3 3 2 16" xfId="40343"/>
    <cellStyle name="Normal 6 3 3 2 2" xfId="10829"/>
    <cellStyle name="Normal 6 3 3 2 2 2" xfId="40344"/>
    <cellStyle name="Normal 6 3 3 2 2 2 2" xfId="40345"/>
    <cellStyle name="Normal 6 3 3 2 2 3" xfId="40346"/>
    <cellStyle name="Normal 6 3 3 2 2 4" xfId="40347"/>
    <cellStyle name="Normal 6 3 3 2 2 5" xfId="40348"/>
    <cellStyle name="Normal 6 3 3 2 2 6" xfId="40349"/>
    <cellStyle name="Normal 6 3 3 2 2 7" xfId="40350"/>
    <cellStyle name="Normal 6 3 3 2 3" xfId="10836"/>
    <cellStyle name="Normal 6 3 3 2 3 2" xfId="40351"/>
    <cellStyle name="Normal 6 3 3 2 3 3" xfId="40352"/>
    <cellStyle name="Normal 6 3 3 2 3 4" xfId="40353"/>
    <cellStyle name="Normal 6 3 3 2 4" xfId="10837"/>
    <cellStyle name="Normal 6 3 3 2 4 2" xfId="40354"/>
    <cellStyle name="Normal 6 3 3 2 4 3" xfId="40355"/>
    <cellStyle name="Normal 6 3 3 2 4 4" xfId="40356"/>
    <cellStyle name="Normal 6 3 3 2 5" xfId="10838"/>
    <cellStyle name="Normal 6 3 3 2 5 2" xfId="40357"/>
    <cellStyle name="Normal 6 3 3 2 5 3" xfId="40358"/>
    <cellStyle name="Normal 6 3 3 2 5 4" xfId="40359"/>
    <cellStyle name="Normal 6 3 3 2 6" xfId="10839"/>
    <cellStyle name="Normal 6 3 3 2 6 2" xfId="40360"/>
    <cellStyle name="Normal 6 3 3 2 6 3" xfId="40361"/>
    <cellStyle name="Normal 6 3 3 2 7" xfId="10840"/>
    <cellStyle name="Normal 6 3 3 2 7 2" xfId="40362"/>
    <cellStyle name="Normal 6 3 3 2 8" xfId="10841"/>
    <cellStyle name="Normal 6 3 3 2 8 2" xfId="40363"/>
    <cellStyle name="Normal 6 3 3 2 9" xfId="10842"/>
    <cellStyle name="Normal 6 3 3 2 9 2" xfId="40364"/>
    <cellStyle name="Normal 6 3 3 20" xfId="10843"/>
    <cellStyle name="Normal 6 3 3 21" xfId="10844"/>
    <cellStyle name="Normal 6 3 3 22" xfId="10845"/>
    <cellStyle name="Normal 6 3 3 23" xfId="11984"/>
    <cellStyle name="Normal 6 3 3 24" xfId="40341"/>
    <cellStyle name="Normal 6 3 3 3" xfId="888"/>
    <cellStyle name="Normal 6 3 3 3 10" xfId="10847"/>
    <cellStyle name="Normal 6 3 3 3 11" xfId="10848"/>
    <cellStyle name="Normal 6 3 3 3 12" xfId="10849"/>
    <cellStyle name="Normal 6 3 3 3 13" xfId="10850"/>
    <cellStyle name="Normal 6 3 3 3 14" xfId="10851"/>
    <cellStyle name="Normal 6 3 3 3 15" xfId="11987"/>
    <cellStyle name="Normal 6 3 3 3 16" xfId="40365"/>
    <cellStyle name="Normal 6 3 3 3 2" xfId="10846"/>
    <cellStyle name="Normal 6 3 3 3 2 2" xfId="40366"/>
    <cellStyle name="Normal 6 3 3 3 2 3" xfId="40367"/>
    <cellStyle name="Normal 6 3 3 3 2 4" xfId="40368"/>
    <cellStyle name="Normal 6 3 3 3 3" xfId="10853"/>
    <cellStyle name="Normal 6 3 3 3 3 2" xfId="40369"/>
    <cellStyle name="Normal 6 3 3 3 3 3" xfId="40370"/>
    <cellStyle name="Normal 6 3 3 3 4" xfId="10854"/>
    <cellStyle name="Normal 6 3 3 3 4 2" xfId="40371"/>
    <cellStyle name="Normal 6 3 3 3 5" xfId="10855"/>
    <cellStyle name="Normal 6 3 3 3 5 2" xfId="40372"/>
    <cellStyle name="Normal 6 3 3 3 6" xfId="10856"/>
    <cellStyle name="Normal 6 3 3 3 6 2" xfId="40373"/>
    <cellStyle name="Normal 6 3 3 3 7" xfId="10857"/>
    <cellStyle name="Normal 6 3 3 3 8" xfId="10858"/>
    <cellStyle name="Normal 6 3 3 3 9" xfId="10859"/>
    <cellStyle name="Normal 6 3 3 4" xfId="889"/>
    <cellStyle name="Normal 6 3 3 4 10" xfId="10861"/>
    <cellStyle name="Normal 6 3 3 4 11" xfId="10862"/>
    <cellStyle name="Normal 6 3 3 4 12" xfId="10863"/>
    <cellStyle name="Normal 6 3 3 4 13" xfId="10864"/>
    <cellStyle name="Normal 6 3 3 4 14" xfId="10865"/>
    <cellStyle name="Normal 6 3 3 4 15" xfId="11988"/>
    <cellStyle name="Normal 6 3 3 4 16" xfId="40374"/>
    <cellStyle name="Normal 6 3 3 4 2" xfId="10860"/>
    <cellStyle name="Normal 6 3 3 4 3" xfId="10867"/>
    <cellStyle name="Normal 6 3 3 4 4" xfId="10868"/>
    <cellStyle name="Normal 6 3 3 4 5" xfId="10869"/>
    <cellStyle name="Normal 6 3 3 4 6" xfId="10870"/>
    <cellStyle name="Normal 6 3 3 4 7" xfId="10871"/>
    <cellStyle name="Normal 6 3 3 4 8" xfId="10872"/>
    <cellStyle name="Normal 6 3 3 4 9" xfId="10873"/>
    <cellStyle name="Normal 6 3 3 5" xfId="890"/>
    <cellStyle name="Normal 6 3 3 5 10" xfId="10875"/>
    <cellStyle name="Normal 6 3 3 5 11" xfId="10876"/>
    <cellStyle name="Normal 6 3 3 5 12" xfId="10877"/>
    <cellStyle name="Normal 6 3 3 5 13" xfId="10878"/>
    <cellStyle name="Normal 6 3 3 5 14" xfId="10879"/>
    <cellStyle name="Normal 6 3 3 5 15" xfId="11989"/>
    <cellStyle name="Normal 6 3 3 5 16" xfId="40375"/>
    <cellStyle name="Normal 6 3 3 5 2" xfId="10874"/>
    <cellStyle name="Normal 6 3 3 5 3" xfId="10881"/>
    <cellStyle name="Normal 6 3 3 5 4" xfId="10882"/>
    <cellStyle name="Normal 6 3 3 5 5" xfId="10883"/>
    <cellStyle name="Normal 6 3 3 5 6" xfId="10884"/>
    <cellStyle name="Normal 6 3 3 5 7" xfId="10885"/>
    <cellStyle name="Normal 6 3 3 5 8" xfId="10886"/>
    <cellStyle name="Normal 6 3 3 5 9" xfId="10887"/>
    <cellStyle name="Normal 6 3 3 6" xfId="891"/>
    <cellStyle name="Normal 6 3 3 6 10" xfId="10889"/>
    <cellStyle name="Normal 6 3 3 6 11" xfId="10890"/>
    <cellStyle name="Normal 6 3 3 6 12" xfId="10891"/>
    <cellStyle name="Normal 6 3 3 6 13" xfId="10892"/>
    <cellStyle name="Normal 6 3 3 6 14" xfId="10893"/>
    <cellStyle name="Normal 6 3 3 6 15" xfId="11990"/>
    <cellStyle name="Normal 6 3 3 6 16" xfId="40376"/>
    <cellStyle name="Normal 6 3 3 6 2" xfId="10888"/>
    <cellStyle name="Normal 6 3 3 6 3" xfId="10895"/>
    <cellStyle name="Normal 6 3 3 6 4" xfId="10896"/>
    <cellStyle name="Normal 6 3 3 6 5" xfId="10897"/>
    <cellStyle name="Normal 6 3 3 6 6" xfId="10898"/>
    <cellStyle name="Normal 6 3 3 6 7" xfId="10899"/>
    <cellStyle name="Normal 6 3 3 6 8" xfId="10900"/>
    <cellStyle name="Normal 6 3 3 6 9" xfId="10901"/>
    <cellStyle name="Normal 6 3 3 7" xfId="892"/>
    <cellStyle name="Normal 6 3 3 7 10" xfId="10903"/>
    <cellStyle name="Normal 6 3 3 7 11" xfId="10904"/>
    <cellStyle name="Normal 6 3 3 7 12" xfId="10905"/>
    <cellStyle name="Normal 6 3 3 7 13" xfId="10906"/>
    <cellStyle name="Normal 6 3 3 7 14" xfId="10907"/>
    <cellStyle name="Normal 6 3 3 7 15" xfId="11991"/>
    <cellStyle name="Normal 6 3 3 7 16" xfId="40377"/>
    <cellStyle name="Normal 6 3 3 7 2" xfId="10902"/>
    <cellStyle name="Normal 6 3 3 7 3" xfId="10909"/>
    <cellStyle name="Normal 6 3 3 7 4" xfId="10910"/>
    <cellStyle name="Normal 6 3 3 7 5" xfId="10911"/>
    <cellStyle name="Normal 6 3 3 7 6" xfId="10912"/>
    <cellStyle name="Normal 6 3 3 7 7" xfId="10913"/>
    <cellStyle name="Normal 6 3 3 7 8" xfId="10914"/>
    <cellStyle name="Normal 6 3 3 7 9" xfId="10915"/>
    <cellStyle name="Normal 6 3 3 8" xfId="893"/>
    <cellStyle name="Normal 6 3 3 8 10" xfId="10917"/>
    <cellStyle name="Normal 6 3 3 8 11" xfId="10918"/>
    <cellStyle name="Normal 6 3 3 8 12" xfId="10919"/>
    <cellStyle name="Normal 6 3 3 8 13" xfId="10920"/>
    <cellStyle name="Normal 6 3 3 8 14" xfId="10921"/>
    <cellStyle name="Normal 6 3 3 8 15" xfId="11992"/>
    <cellStyle name="Normal 6 3 3 8 16" xfId="40378"/>
    <cellStyle name="Normal 6 3 3 8 2" xfId="10916"/>
    <cellStyle name="Normal 6 3 3 8 3" xfId="10923"/>
    <cellStyle name="Normal 6 3 3 8 4" xfId="10924"/>
    <cellStyle name="Normal 6 3 3 8 5" xfId="10925"/>
    <cellStyle name="Normal 6 3 3 8 6" xfId="10926"/>
    <cellStyle name="Normal 6 3 3 8 7" xfId="10927"/>
    <cellStyle name="Normal 6 3 3 8 8" xfId="10928"/>
    <cellStyle name="Normal 6 3 3 8 9" xfId="10929"/>
    <cellStyle name="Normal 6 3 3 9" xfId="894"/>
    <cellStyle name="Normal 6 3 3 9 2" xfId="10930"/>
    <cellStyle name="Normal 6 3 3 9 3" xfId="11993"/>
    <cellStyle name="Normal 6 3 3 9 4" xfId="40379"/>
    <cellStyle name="Normal 6 3 30" xfId="40101"/>
    <cellStyle name="Normal 6 3 31" xfId="44116"/>
    <cellStyle name="Normal 6 3 4" xfId="895"/>
    <cellStyle name="Normal 6 3 4 10" xfId="896"/>
    <cellStyle name="Normal 6 3 4 10 2" xfId="10932"/>
    <cellStyle name="Normal 6 3 4 10 3" xfId="11995"/>
    <cellStyle name="Normal 6 3 4 10 4" xfId="40381"/>
    <cellStyle name="Normal 6 3 4 11" xfId="10931"/>
    <cellStyle name="Normal 6 3 4 12" xfId="10934"/>
    <cellStyle name="Normal 6 3 4 13" xfId="10935"/>
    <cellStyle name="Normal 6 3 4 14" xfId="10936"/>
    <cellStyle name="Normal 6 3 4 15" xfId="10937"/>
    <cellStyle name="Normal 6 3 4 16" xfId="10938"/>
    <cellStyle name="Normal 6 3 4 17" xfId="10939"/>
    <cellStyle name="Normal 6 3 4 18" xfId="10940"/>
    <cellStyle name="Normal 6 3 4 19" xfId="10941"/>
    <cellStyle name="Normal 6 3 4 2" xfId="897"/>
    <cellStyle name="Normal 6 3 4 2 10" xfId="10943"/>
    <cellStyle name="Normal 6 3 4 2 11" xfId="10944"/>
    <cellStyle name="Normal 6 3 4 2 12" xfId="10945"/>
    <cellStyle name="Normal 6 3 4 2 13" xfId="10946"/>
    <cellStyle name="Normal 6 3 4 2 14" xfId="10947"/>
    <cellStyle name="Normal 6 3 4 2 15" xfId="11996"/>
    <cellStyle name="Normal 6 3 4 2 16" xfId="40382"/>
    <cellStyle name="Normal 6 3 4 2 2" xfId="10942"/>
    <cellStyle name="Normal 6 3 4 2 2 2" xfId="40383"/>
    <cellStyle name="Normal 6 3 4 2 2 2 2" xfId="40384"/>
    <cellStyle name="Normal 6 3 4 2 2 3" xfId="40385"/>
    <cellStyle name="Normal 6 3 4 2 2 4" xfId="40386"/>
    <cellStyle name="Normal 6 3 4 2 2 5" xfId="40387"/>
    <cellStyle name="Normal 6 3 4 2 2 6" xfId="40388"/>
    <cellStyle name="Normal 6 3 4 2 2 7" xfId="40389"/>
    <cellStyle name="Normal 6 3 4 2 3" xfId="10948"/>
    <cellStyle name="Normal 6 3 4 2 3 2" xfId="40390"/>
    <cellStyle name="Normal 6 3 4 2 3 3" xfId="40391"/>
    <cellStyle name="Normal 6 3 4 2 3 4" xfId="40392"/>
    <cellStyle name="Normal 6 3 4 2 4" xfId="10949"/>
    <cellStyle name="Normal 6 3 4 2 4 2" xfId="40393"/>
    <cellStyle name="Normal 6 3 4 2 4 3" xfId="40394"/>
    <cellStyle name="Normal 6 3 4 2 4 4" xfId="40395"/>
    <cellStyle name="Normal 6 3 4 2 5" xfId="10950"/>
    <cellStyle name="Normal 6 3 4 2 5 2" xfId="40396"/>
    <cellStyle name="Normal 6 3 4 2 5 3" xfId="40397"/>
    <cellStyle name="Normal 6 3 4 2 5 4" xfId="40398"/>
    <cellStyle name="Normal 6 3 4 2 6" xfId="10951"/>
    <cellStyle name="Normal 6 3 4 2 6 2" xfId="40399"/>
    <cellStyle name="Normal 6 3 4 2 6 3" xfId="40400"/>
    <cellStyle name="Normal 6 3 4 2 7" xfId="10952"/>
    <cellStyle name="Normal 6 3 4 2 7 2" xfId="40401"/>
    <cellStyle name="Normal 6 3 4 2 8" xfId="10953"/>
    <cellStyle name="Normal 6 3 4 2 8 2" xfId="40402"/>
    <cellStyle name="Normal 6 3 4 2 9" xfId="10954"/>
    <cellStyle name="Normal 6 3 4 2 9 2" xfId="40403"/>
    <cellStyle name="Normal 6 3 4 20" xfId="10955"/>
    <cellStyle name="Normal 6 3 4 21" xfId="10956"/>
    <cellStyle name="Normal 6 3 4 22" xfId="10957"/>
    <cellStyle name="Normal 6 3 4 23" xfId="11994"/>
    <cellStyle name="Normal 6 3 4 24" xfId="40380"/>
    <cellStyle name="Normal 6 3 4 3" xfId="898"/>
    <cellStyle name="Normal 6 3 4 3 10" xfId="10959"/>
    <cellStyle name="Normal 6 3 4 3 11" xfId="10960"/>
    <cellStyle name="Normal 6 3 4 3 12" xfId="10961"/>
    <cellStyle name="Normal 6 3 4 3 13" xfId="10962"/>
    <cellStyle name="Normal 6 3 4 3 14" xfId="10963"/>
    <cellStyle name="Normal 6 3 4 3 15" xfId="11997"/>
    <cellStyle name="Normal 6 3 4 3 16" xfId="40404"/>
    <cellStyle name="Normal 6 3 4 3 2" xfId="10958"/>
    <cellStyle name="Normal 6 3 4 3 2 2" xfId="40405"/>
    <cellStyle name="Normal 6 3 4 3 2 3" xfId="40406"/>
    <cellStyle name="Normal 6 3 4 3 2 4" xfId="40407"/>
    <cellStyle name="Normal 6 3 4 3 3" xfId="10964"/>
    <cellStyle name="Normal 6 3 4 3 3 2" xfId="40408"/>
    <cellStyle name="Normal 6 3 4 3 3 3" xfId="40409"/>
    <cellStyle name="Normal 6 3 4 3 4" xfId="10965"/>
    <cellStyle name="Normal 6 3 4 3 4 2" xfId="40410"/>
    <cellStyle name="Normal 6 3 4 3 5" xfId="10966"/>
    <cellStyle name="Normal 6 3 4 3 5 2" xfId="40411"/>
    <cellStyle name="Normal 6 3 4 3 6" xfId="10967"/>
    <cellStyle name="Normal 6 3 4 3 6 2" xfId="40412"/>
    <cellStyle name="Normal 6 3 4 3 7" xfId="10968"/>
    <cellStyle name="Normal 6 3 4 3 8" xfId="10969"/>
    <cellStyle name="Normal 6 3 4 3 9" xfId="10970"/>
    <cellStyle name="Normal 6 3 4 4" xfId="899"/>
    <cellStyle name="Normal 6 3 4 4 10" xfId="10972"/>
    <cellStyle name="Normal 6 3 4 4 11" xfId="10973"/>
    <cellStyle name="Normal 6 3 4 4 12" xfId="10974"/>
    <cellStyle name="Normal 6 3 4 4 13" xfId="10975"/>
    <cellStyle name="Normal 6 3 4 4 14" xfId="10976"/>
    <cellStyle name="Normal 6 3 4 4 15" xfId="11998"/>
    <cellStyle name="Normal 6 3 4 4 16" xfId="40413"/>
    <cellStyle name="Normal 6 3 4 4 2" xfId="10971"/>
    <cellStyle name="Normal 6 3 4 4 3" xfId="10977"/>
    <cellStyle name="Normal 6 3 4 4 4" xfId="10978"/>
    <cellStyle name="Normal 6 3 4 4 5" xfId="10979"/>
    <cellStyle name="Normal 6 3 4 4 6" xfId="10980"/>
    <cellStyle name="Normal 6 3 4 4 7" xfId="10981"/>
    <cellStyle name="Normal 6 3 4 4 8" xfId="10982"/>
    <cellStyle name="Normal 6 3 4 4 9" xfId="10983"/>
    <cellStyle name="Normal 6 3 4 5" xfId="900"/>
    <cellStyle name="Normal 6 3 4 5 10" xfId="10985"/>
    <cellStyle name="Normal 6 3 4 5 11" xfId="10986"/>
    <cellStyle name="Normal 6 3 4 5 12" xfId="10987"/>
    <cellStyle name="Normal 6 3 4 5 13" xfId="10988"/>
    <cellStyle name="Normal 6 3 4 5 14" xfId="10989"/>
    <cellStyle name="Normal 6 3 4 5 15" xfId="11999"/>
    <cellStyle name="Normal 6 3 4 5 16" xfId="40414"/>
    <cellStyle name="Normal 6 3 4 5 2" xfId="10984"/>
    <cellStyle name="Normal 6 3 4 5 3" xfId="10990"/>
    <cellStyle name="Normal 6 3 4 5 4" xfId="10991"/>
    <cellStyle name="Normal 6 3 4 5 5" xfId="10992"/>
    <cellStyle name="Normal 6 3 4 5 6" xfId="10993"/>
    <cellStyle name="Normal 6 3 4 5 7" xfId="10994"/>
    <cellStyle name="Normal 6 3 4 5 8" xfId="10995"/>
    <cellStyle name="Normal 6 3 4 5 9" xfId="10996"/>
    <cellStyle name="Normal 6 3 4 6" xfId="901"/>
    <cellStyle name="Normal 6 3 4 6 10" xfId="10998"/>
    <cellStyle name="Normal 6 3 4 6 11" xfId="10999"/>
    <cellStyle name="Normal 6 3 4 6 12" xfId="11000"/>
    <cellStyle name="Normal 6 3 4 6 13" xfId="11001"/>
    <cellStyle name="Normal 6 3 4 6 14" xfId="11002"/>
    <cellStyle name="Normal 6 3 4 6 15" xfId="12000"/>
    <cellStyle name="Normal 6 3 4 6 16" xfId="40415"/>
    <cellStyle name="Normal 6 3 4 6 2" xfId="10997"/>
    <cellStyle name="Normal 6 3 4 6 3" xfId="11004"/>
    <cellStyle name="Normal 6 3 4 6 4" xfId="11005"/>
    <cellStyle name="Normal 6 3 4 6 5" xfId="11006"/>
    <cellStyle name="Normal 6 3 4 6 6" xfId="11007"/>
    <cellStyle name="Normal 6 3 4 6 7" xfId="11008"/>
    <cellStyle name="Normal 6 3 4 6 8" xfId="11009"/>
    <cellStyle name="Normal 6 3 4 6 9" xfId="11010"/>
    <cellStyle name="Normal 6 3 4 7" xfId="902"/>
    <cellStyle name="Normal 6 3 4 7 10" xfId="11012"/>
    <cellStyle name="Normal 6 3 4 7 11" xfId="11013"/>
    <cellStyle name="Normal 6 3 4 7 12" xfId="11014"/>
    <cellStyle name="Normal 6 3 4 7 13" xfId="11015"/>
    <cellStyle name="Normal 6 3 4 7 14" xfId="11016"/>
    <cellStyle name="Normal 6 3 4 7 15" xfId="12001"/>
    <cellStyle name="Normal 6 3 4 7 16" xfId="40416"/>
    <cellStyle name="Normal 6 3 4 7 2" xfId="11011"/>
    <cellStyle name="Normal 6 3 4 7 3" xfId="11018"/>
    <cellStyle name="Normal 6 3 4 7 4" xfId="11019"/>
    <cellStyle name="Normal 6 3 4 7 5" xfId="11020"/>
    <cellStyle name="Normal 6 3 4 7 6" xfId="11021"/>
    <cellStyle name="Normal 6 3 4 7 7" xfId="11022"/>
    <cellStyle name="Normal 6 3 4 7 8" xfId="11023"/>
    <cellStyle name="Normal 6 3 4 7 9" xfId="11024"/>
    <cellStyle name="Normal 6 3 4 8" xfId="903"/>
    <cellStyle name="Normal 6 3 4 8 10" xfId="11026"/>
    <cellStyle name="Normal 6 3 4 8 11" xfId="11027"/>
    <cellStyle name="Normal 6 3 4 8 12" xfId="11028"/>
    <cellStyle name="Normal 6 3 4 8 13" xfId="11029"/>
    <cellStyle name="Normal 6 3 4 8 14" xfId="11030"/>
    <cellStyle name="Normal 6 3 4 8 15" xfId="12002"/>
    <cellStyle name="Normal 6 3 4 8 16" xfId="40417"/>
    <cellStyle name="Normal 6 3 4 8 2" xfId="11025"/>
    <cellStyle name="Normal 6 3 4 8 3" xfId="11032"/>
    <cellStyle name="Normal 6 3 4 8 4" xfId="11033"/>
    <cellStyle name="Normal 6 3 4 8 5" xfId="11034"/>
    <cellStyle name="Normal 6 3 4 8 6" xfId="11035"/>
    <cellStyle name="Normal 6 3 4 8 7" xfId="11036"/>
    <cellStyle name="Normal 6 3 4 8 8" xfId="11037"/>
    <cellStyle name="Normal 6 3 4 8 9" xfId="11038"/>
    <cellStyle name="Normal 6 3 4 9" xfId="904"/>
    <cellStyle name="Normal 6 3 4 9 2" xfId="11039"/>
    <cellStyle name="Normal 6 3 4 9 3" xfId="12003"/>
    <cellStyle name="Normal 6 3 4 9 4" xfId="40418"/>
    <cellStyle name="Normal 6 3 5" xfId="905"/>
    <cellStyle name="Normal 6 3 5 10" xfId="906"/>
    <cellStyle name="Normal 6 3 5 10 2" xfId="11041"/>
    <cellStyle name="Normal 6 3 5 10 3" xfId="12005"/>
    <cellStyle name="Normal 6 3 5 10 4" xfId="40420"/>
    <cellStyle name="Normal 6 3 5 11" xfId="11040"/>
    <cellStyle name="Normal 6 3 5 12" xfId="11043"/>
    <cellStyle name="Normal 6 3 5 13" xfId="11044"/>
    <cellStyle name="Normal 6 3 5 14" xfId="11045"/>
    <cellStyle name="Normal 6 3 5 15" xfId="11046"/>
    <cellStyle name="Normal 6 3 5 16" xfId="11047"/>
    <cellStyle name="Normal 6 3 5 17" xfId="11048"/>
    <cellStyle name="Normal 6 3 5 18" xfId="11049"/>
    <cellStyle name="Normal 6 3 5 19" xfId="11050"/>
    <cellStyle name="Normal 6 3 5 2" xfId="907"/>
    <cellStyle name="Normal 6 3 5 2 10" xfId="11052"/>
    <cellStyle name="Normal 6 3 5 2 11" xfId="11053"/>
    <cellStyle name="Normal 6 3 5 2 12" xfId="11054"/>
    <cellStyle name="Normal 6 3 5 2 13" xfId="11055"/>
    <cellStyle name="Normal 6 3 5 2 14" xfId="11056"/>
    <cellStyle name="Normal 6 3 5 2 15" xfId="12006"/>
    <cellStyle name="Normal 6 3 5 2 16" xfId="40421"/>
    <cellStyle name="Normal 6 3 5 2 2" xfId="11051"/>
    <cellStyle name="Normal 6 3 5 2 2 2" xfId="40422"/>
    <cellStyle name="Normal 6 3 5 2 2 2 2" xfId="40423"/>
    <cellStyle name="Normal 6 3 5 2 2 3" xfId="40424"/>
    <cellStyle name="Normal 6 3 5 2 2 4" xfId="40425"/>
    <cellStyle name="Normal 6 3 5 2 2 5" xfId="40426"/>
    <cellStyle name="Normal 6 3 5 2 2 6" xfId="40427"/>
    <cellStyle name="Normal 6 3 5 2 2 7" xfId="40428"/>
    <cellStyle name="Normal 6 3 5 2 3" xfId="11058"/>
    <cellStyle name="Normal 6 3 5 2 3 2" xfId="40429"/>
    <cellStyle name="Normal 6 3 5 2 3 3" xfId="40430"/>
    <cellStyle name="Normal 6 3 5 2 3 4" xfId="40431"/>
    <cellStyle name="Normal 6 3 5 2 4" xfId="11059"/>
    <cellStyle name="Normal 6 3 5 2 4 2" xfId="40432"/>
    <cellStyle name="Normal 6 3 5 2 4 3" xfId="40433"/>
    <cellStyle name="Normal 6 3 5 2 4 4" xfId="40434"/>
    <cellStyle name="Normal 6 3 5 2 5" xfId="11060"/>
    <cellStyle name="Normal 6 3 5 2 5 2" xfId="40435"/>
    <cellStyle name="Normal 6 3 5 2 5 3" xfId="40436"/>
    <cellStyle name="Normal 6 3 5 2 5 4" xfId="40437"/>
    <cellStyle name="Normal 6 3 5 2 6" xfId="11061"/>
    <cellStyle name="Normal 6 3 5 2 6 2" xfId="40438"/>
    <cellStyle name="Normal 6 3 5 2 6 3" xfId="40439"/>
    <cellStyle name="Normal 6 3 5 2 7" xfId="11062"/>
    <cellStyle name="Normal 6 3 5 2 7 2" xfId="40440"/>
    <cellStyle name="Normal 6 3 5 2 8" xfId="11063"/>
    <cellStyle name="Normal 6 3 5 2 8 2" xfId="40441"/>
    <cellStyle name="Normal 6 3 5 2 9" xfId="11064"/>
    <cellStyle name="Normal 6 3 5 2 9 2" xfId="40442"/>
    <cellStyle name="Normal 6 3 5 20" xfId="11065"/>
    <cellStyle name="Normal 6 3 5 21" xfId="11066"/>
    <cellStyle name="Normal 6 3 5 22" xfId="11067"/>
    <cellStyle name="Normal 6 3 5 23" xfId="12004"/>
    <cellStyle name="Normal 6 3 5 24" xfId="40419"/>
    <cellStyle name="Normal 6 3 5 3" xfId="908"/>
    <cellStyle name="Normal 6 3 5 3 10" xfId="11069"/>
    <cellStyle name="Normal 6 3 5 3 11" xfId="11070"/>
    <cellStyle name="Normal 6 3 5 3 12" xfId="11071"/>
    <cellStyle name="Normal 6 3 5 3 13" xfId="11072"/>
    <cellStyle name="Normal 6 3 5 3 14" xfId="11073"/>
    <cellStyle name="Normal 6 3 5 3 15" xfId="12007"/>
    <cellStyle name="Normal 6 3 5 3 16" xfId="40443"/>
    <cellStyle name="Normal 6 3 5 3 2" xfId="11068"/>
    <cellStyle name="Normal 6 3 5 3 2 2" xfId="40444"/>
    <cellStyle name="Normal 6 3 5 3 2 3" xfId="40445"/>
    <cellStyle name="Normal 6 3 5 3 2 4" xfId="40446"/>
    <cellStyle name="Normal 6 3 5 3 3" xfId="11075"/>
    <cellStyle name="Normal 6 3 5 3 3 2" xfId="40447"/>
    <cellStyle name="Normal 6 3 5 3 3 3" xfId="40448"/>
    <cellStyle name="Normal 6 3 5 3 4" xfId="11076"/>
    <cellStyle name="Normal 6 3 5 3 4 2" xfId="40449"/>
    <cellStyle name="Normal 6 3 5 3 5" xfId="11077"/>
    <cellStyle name="Normal 6 3 5 3 5 2" xfId="40450"/>
    <cellStyle name="Normal 6 3 5 3 6" xfId="11078"/>
    <cellStyle name="Normal 6 3 5 3 6 2" xfId="40451"/>
    <cellStyle name="Normal 6 3 5 3 7" xfId="11079"/>
    <cellStyle name="Normal 6 3 5 3 8" xfId="11080"/>
    <cellStyle name="Normal 6 3 5 3 9" xfId="11081"/>
    <cellStyle name="Normal 6 3 5 4" xfId="909"/>
    <cellStyle name="Normal 6 3 5 4 10" xfId="11083"/>
    <cellStyle name="Normal 6 3 5 4 11" xfId="11084"/>
    <cellStyle name="Normal 6 3 5 4 12" xfId="11085"/>
    <cellStyle name="Normal 6 3 5 4 13" xfId="11086"/>
    <cellStyle name="Normal 6 3 5 4 14" xfId="11087"/>
    <cellStyle name="Normal 6 3 5 4 15" xfId="12008"/>
    <cellStyle name="Normal 6 3 5 4 16" xfId="40452"/>
    <cellStyle name="Normal 6 3 5 4 2" xfId="11082"/>
    <cellStyle name="Normal 6 3 5 4 3" xfId="11089"/>
    <cellStyle name="Normal 6 3 5 4 4" xfId="11090"/>
    <cellStyle name="Normal 6 3 5 4 5" xfId="11091"/>
    <cellStyle name="Normal 6 3 5 4 6" xfId="11092"/>
    <cellStyle name="Normal 6 3 5 4 7" xfId="11093"/>
    <cellStyle name="Normal 6 3 5 4 8" xfId="11094"/>
    <cellStyle name="Normal 6 3 5 4 9" xfId="11095"/>
    <cellStyle name="Normal 6 3 5 5" xfId="910"/>
    <cellStyle name="Normal 6 3 5 5 10" xfId="11097"/>
    <cellStyle name="Normal 6 3 5 5 11" xfId="11098"/>
    <cellStyle name="Normal 6 3 5 5 12" xfId="11099"/>
    <cellStyle name="Normal 6 3 5 5 13" xfId="11100"/>
    <cellStyle name="Normal 6 3 5 5 14" xfId="11101"/>
    <cellStyle name="Normal 6 3 5 5 15" xfId="12009"/>
    <cellStyle name="Normal 6 3 5 5 16" xfId="40453"/>
    <cellStyle name="Normal 6 3 5 5 2" xfId="11096"/>
    <cellStyle name="Normal 6 3 5 5 3" xfId="11103"/>
    <cellStyle name="Normal 6 3 5 5 4" xfId="11104"/>
    <cellStyle name="Normal 6 3 5 5 5" xfId="11105"/>
    <cellStyle name="Normal 6 3 5 5 6" xfId="11106"/>
    <cellStyle name="Normal 6 3 5 5 7" xfId="11107"/>
    <cellStyle name="Normal 6 3 5 5 8" xfId="11108"/>
    <cellStyle name="Normal 6 3 5 5 9" xfId="11109"/>
    <cellStyle name="Normal 6 3 5 6" xfId="911"/>
    <cellStyle name="Normal 6 3 5 6 10" xfId="11111"/>
    <cellStyle name="Normal 6 3 5 6 11" xfId="11112"/>
    <cellStyle name="Normal 6 3 5 6 12" xfId="11113"/>
    <cellStyle name="Normal 6 3 5 6 13" xfId="11114"/>
    <cellStyle name="Normal 6 3 5 6 14" xfId="11115"/>
    <cellStyle name="Normal 6 3 5 6 15" xfId="12010"/>
    <cellStyle name="Normal 6 3 5 6 16" xfId="40454"/>
    <cellStyle name="Normal 6 3 5 6 2" xfId="11110"/>
    <cellStyle name="Normal 6 3 5 6 3" xfId="11117"/>
    <cellStyle name="Normal 6 3 5 6 4" xfId="11118"/>
    <cellStyle name="Normal 6 3 5 6 5" xfId="11119"/>
    <cellStyle name="Normal 6 3 5 6 6" xfId="11120"/>
    <cellStyle name="Normal 6 3 5 6 7" xfId="11121"/>
    <cellStyle name="Normal 6 3 5 6 8" xfId="11122"/>
    <cellStyle name="Normal 6 3 5 6 9" xfId="11123"/>
    <cellStyle name="Normal 6 3 5 7" xfId="912"/>
    <cellStyle name="Normal 6 3 5 7 10" xfId="11125"/>
    <cellStyle name="Normal 6 3 5 7 11" xfId="11126"/>
    <cellStyle name="Normal 6 3 5 7 12" xfId="11127"/>
    <cellStyle name="Normal 6 3 5 7 13" xfId="11128"/>
    <cellStyle name="Normal 6 3 5 7 14" xfId="11129"/>
    <cellStyle name="Normal 6 3 5 7 15" xfId="12011"/>
    <cellStyle name="Normal 6 3 5 7 16" xfId="40455"/>
    <cellStyle name="Normal 6 3 5 7 2" xfId="11124"/>
    <cellStyle name="Normal 6 3 5 7 3" xfId="11131"/>
    <cellStyle name="Normal 6 3 5 7 4" xfId="11132"/>
    <cellStyle name="Normal 6 3 5 7 5" xfId="11133"/>
    <cellStyle name="Normal 6 3 5 7 6" xfId="11134"/>
    <cellStyle name="Normal 6 3 5 7 7" xfId="11135"/>
    <cellStyle name="Normal 6 3 5 7 8" xfId="11136"/>
    <cellStyle name="Normal 6 3 5 7 9" xfId="11137"/>
    <cellStyle name="Normal 6 3 5 8" xfId="913"/>
    <cellStyle name="Normal 6 3 5 8 10" xfId="11139"/>
    <cellStyle name="Normal 6 3 5 8 11" xfId="11140"/>
    <cellStyle name="Normal 6 3 5 8 12" xfId="11141"/>
    <cellStyle name="Normal 6 3 5 8 13" xfId="11142"/>
    <cellStyle name="Normal 6 3 5 8 14" xfId="11143"/>
    <cellStyle name="Normal 6 3 5 8 15" xfId="12012"/>
    <cellStyle name="Normal 6 3 5 8 16" xfId="40456"/>
    <cellStyle name="Normal 6 3 5 8 2" xfId="11138"/>
    <cellStyle name="Normal 6 3 5 8 3" xfId="11145"/>
    <cellStyle name="Normal 6 3 5 8 4" xfId="11146"/>
    <cellStyle name="Normal 6 3 5 8 5" xfId="11147"/>
    <cellStyle name="Normal 6 3 5 8 6" xfId="11148"/>
    <cellStyle name="Normal 6 3 5 8 7" xfId="11149"/>
    <cellStyle name="Normal 6 3 5 8 8" xfId="11150"/>
    <cellStyle name="Normal 6 3 5 8 9" xfId="11151"/>
    <cellStyle name="Normal 6 3 5 9" xfId="914"/>
    <cellStyle name="Normal 6 3 5 9 2" xfId="11152"/>
    <cellStyle name="Normal 6 3 5 9 3" xfId="12013"/>
    <cellStyle name="Normal 6 3 5 9 4" xfId="40457"/>
    <cellStyle name="Normal 6 3 6" xfId="915"/>
    <cellStyle name="Normal 6 3 6 10" xfId="916"/>
    <cellStyle name="Normal 6 3 6 10 2" xfId="11154"/>
    <cellStyle name="Normal 6 3 6 10 3" xfId="12015"/>
    <cellStyle name="Normal 6 3 6 10 4" xfId="40459"/>
    <cellStyle name="Normal 6 3 6 11" xfId="11153"/>
    <cellStyle name="Normal 6 3 6 12" xfId="11156"/>
    <cellStyle name="Normal 6 3 6 13" xfId="11157"/>
    <cellStyle name="Normal 6 3 6 14" xfId="11158"/>
    <cellStyle name="Normal 6 3 6 15" xfId="11159"/>
    <cellStyle name="Normal 6 3 6 16" xfId="11160"/>
    <cellStyle name="Normal 6 3 6 17" xfId="11161"/>
    <cellStyle name="Normal 6 3 6 18" xfId="11162"/>
    <cellStyle name="Normal 6 3 6 19" xfId="11163"/>
    <cellStyle name="Normal 6 3 6 2" xfId="917"/>
    <cellStyle name="Normal 6 3 6 2 10" xfId="11165"/>
    <cellStyle name="Normal 6 3 6 2 11" xfId="11166"/>
    <cellStyle name="Normal 6 3 6 2 12" xfId="11167"/>
    <cellStyle name="Normal 6 3 6 2 13" xfId="11168"/>
    <cellStyle name="Normal 6 3 6 2 14" xfId="11169"/>
    <cellStyle name="Normal 6 3 6 2 15" xfId="12016"/>
    <cellStyle name="Normal 6 3 6 2 16" xfId="40460"/>
    <cellStyle name="Normal 6 3 6 2 2" xfId="11164"/>
    <cellStyle name="Normal 6 3 6 2 2 2" xfId="40461"/>
    <cellStyle name="Normal 6 3 6 2 2 2 2" xfId="40462"/>
    <cellStyle name="Normal 6 3 6 2 2 3" xfId="40463"/>
    <cellStyle name="Normal 6 3 6 2 2 4" xfId="40464"/>
    <cellStyle name="Normal 6 3 6 2 2 5" xfId="40465"/>
    <cellStyle name="Normal 6 3 6 2 2 6" xfId="40466"/>
    <cellStyle name="Normal 6 3 6 2 2 7" xfId="40467"/>
    <cellStyle name="Normal 6 3 6 2 3" xfId="11171"/>
    <cellStyle name="Normal 6 3 6 2 3 2" xfId="40468"/>
    <cellStyle name="Normal 6 3 6 2 3 3" xfId="40469"/>
    <cellStyle name="Normal 6 3 6 2 3 4" xfId="40470"/>
    <cellStyle name="Normal 6 3 6 2 4" xfId="11172"/>
    <cellStyle name="Normal 6 3 6 2 4 2" xfId="40471"/>
    <cellStyle name="Normal 6 3 6 2 4 3" xfId="40472"/>
    <cellStyle name="Normal 6 3 6 2 4 4" xfId="40473"/>
    <cellStyle name="Normal 6 3 6 2 5" xfId="11173"/>
    <cellStyle name="Normal 6 3 6 2 5 2" xfId="40474"/>
    <cellStyle name="Normal 6 3 6 2 5 3" xfId="40475"/>
    <cellStyle name="Normal 6 3 6 2 5 4" xfId="40476"/>
    <cellStyle name="Normal 6 3 6 2 6" xfId="11174"/>
    <cellStyle name="Normal 6 3 6 2 6 2" xfId="40477"/>
    <cellStyle name="Normal 6 3 6 2 6 3" xfId="40478"/>
    <cellStyle name="Normal 6 3 6 2 7" xfId="11175"/>
    <cellStyle name="Normal 6 3 6 2 7 2" xfId="40479"/>
    <cellStyle name="Normal 6 3 6 2 8" xfId="11176"/>
    <cellStyle name="Normal 6 3 6 2 8 2" xfId="40480"/>
    <cellStyle name="Normal 6 3 6 2 9" xfId="11177"/>
    <cellStyle name="Normal 6 3 6 2 9 2" xfId="40481"/>
    <cellStyle name="Normal 6 3 6 20" xfId="11178"/>
    <cellStyle name="Normal 6 3 6 21" xfId="11179"/>
    <cellStyle name="Normal 6 3 6 22" xfId="11180"/>
    <cellStyle name="Normal 6 3 6 23" xfId="12014"/>
    <cellStyle name="Normal 6 3 6 24" xfId="40458"/>
    <cellStyle name="Normal 6 3 6 3" xfId="918"/>
    <cellStyle name="Normal 6 3 6 3 10" xfId="11182"/>
    <cellStyle name="Normal 6 3 6 3 11" xfId="11183"/>
    <cellStyle name="Normal 6 3 6 3 12" xfId="11184"/>
    <cellStyle name="Normal 6 3 6 3 13" xfId="11185"/>
    <cellStyle name="Normal 6 3 6 3 14" xfId="11186"/>
    <cellStyle name="Normal 6 3 6 3 15" xfId="12017"/>
    <cellStyle name="Normal 6 3 6 3 16" xfId="40482"/>
    <cellStyle name="Normal 6 3 6 3 2" xfId="11181"/>
    <cellStyle name="Normal 6 3 6 3 2 2" xfId="40483"/>
    <cellStyle name="Normal 6 3 6 3 2 3" xfId="40484"/>
    <cellStyle name="Normal 6 3 6 3 2 4" xfId="40485"/>
    <cellStyle name="Normal 6 3 6 3 3" xfId="11188"/>
    <cellStyle name="Normal 6 3 6 3 3 2" xfId="40486"/>
    <cellStyle name="Normal 6 3 6 3 3 3" xfId="40487"/>
    <cellStyle name="Normal 6 3 6 3 4" xfId="11189"/>
    <cellStyle name="Normal 6 3 6 3 4 2" xfId="40488"/>
    <cellStyle name="Normal 6 3 6 3 5" xfId="11190"/>
    <cellStyle name="Normal 6 3 6 3 5 2" xfId="40489"/>
    <cellStyle name="Normal 6 3 6 3 6" xfId="11191"/>
    <cellStyle name="Normal 6 3 6 3 6 2" xfId="40490"/>
    <cellStyle name="Normal 6 3 6 3 7" xfId="11192"/>
    <cellStyle name="Normal 6 3 6 3 8" xfId="11193"/>
    <cellStyle name="Normal 6 3 6 3 9" xfId="11194"/>
    <cellStyle name="Normal 6 3 6 4" xfId="919"/>
    <cellStyle name="Normal 6 3 6 4 10" xfId="11196"/>
    <cellStyle name="Normal 6 3 6 4 11" xfId="11197"/>
    <cellStyle name="Normal 6 3 6 4 12" xfId="11198"/>
    <cellStyle name="Normal 6 3 6 4 13" xfId="11199"/>
    <cellStyle name="Normal 6 3 6 4 14" xfId="11200"/>
    <cellStyle name="Normal 6 3 6 4 15" xfId="12018"/>
    <cellStyle name="Normal 6 3 6 4 16" xfId="40491"/>
    <cellStyle name="Normal 6 3 6 4 2" xfId="11195"/>
    <cellStyle name="Normal 6 3 6 4 3" xfId="11202"/>
    <cellStyle name="Normal 6 3 6 4 4" xfId="11203"/>
    <cellStyle name="Normal 6 3 6 4 5" xfId="11204"/>
    <cellStyle name="Normal 6 3 6 4 6" xfId="11205"/>
    <cellStyle name="Normal 6 3 6 4 7" xfId="11206"/>
    <cellStyle name="Normal 6 3 6 4 8" xfId="11207"/>
    <cellStyle name="Normal 6 3 6 4 9" xfId="11208"/>
    <cellStyle name="Normal 6 3 6 5" xfId="920"/>
    <cellStyle name="Normal 6 3 6 5 10" xfId="11210"/>
    <cellStyle name="Normal 6 3 6 5 11" xfId="11211"/>
    <cellStyle name="Normal 6 3 6 5 12" xfId="11212"/>
    <cellStyle name="Normal 6 3 6 5 13" xfId="11213"/>
    <cellStyle name="Normal 6 3 6 5 14" xfId="11214"/>
    <cellStyle name="Normal 6 3 6 5 15" xfId="12019"/>
    <cellStyle name="Normal 6 3 6 5 16" xfId="40492"/>
    <cellStyle name="Normal 6 3 6 5 2" xfId="11209"/>
    <cellStyle name="Normal 6 3 6 5 3" xfId="11216"/>
    <cellStyle name="Normal 6 3 6 5 4" xfId="11217"/>
    <cellStyle name="Normal 6 3 6 5 5" xfId="11218"/>
    <cellStyle name="Normal 6 3 6 5 6" xfId="11219"/>
    <cellStyle name="Normal 6 3 6 5 7" xfId="11220"/>
    <cellStyle name="Normal 6 3 6 5 8" xfId="11221"/>
    <cellStyle name="Normal 6 3 6 5 9" xfId="11222"/>
    <cellStyle name="Normal 6 3 6 6" xfId="921"/>
    <cellStyle name="Normal 6 3 6 6 10" xfId="11224"/>
    <cellStyle name="Normal 6 3 6 6 11" xfId="11225"/>
    <cellStyle name="Normal 6 3 6 6 12" xfId="11226"/>
    <cellStyle name="Normal 6 3 6 6 13" xfId="11227"/>
    <cellStyle name="Normal 6 3 6 6 14" xfId="11228"/>
    <cellStyle name="Normal 6 3 6 6 15" xfId="12020"/>
    <cellStyle name="Normal 6 3 6 6 16" xfId="40493"/>
    <cellStyle name="Normal 6 3 6 6 2" xfId="11223"/>
    <cellStyle name="Normal 6 3 6 6 3" xfId="11230"/>
    <cellStyle name="Normal 6 3 6 6 4" xfId="11231"/>
    <cellStyle name="Normal 6 3 6 6 5" xfId="11232"/>
    <cellStyle name="Normal 6 3 6 6 6" xfId="11233"/>
    <cellStyle name="Normal 6 3 6 6 7" xfId="11234"/>
    <cellStyle name="Normal 6 3 6 6 8" xfId="11235"/>
    <cellStyle name="Normal 6 3 6 6 9" xfId="11236"/>
    <cellStyle name="Normal 6 3 6 7" xfId="922"/>
    <cellStyle name="Normal 6 3 6 7 10" xfId="11238"/>
    <cellStyle name="Normal 6 3 6 7 11" xfId="11239"/>
    <cellStyle name="Normal 6 3 6 7 12" xfId="11240"/>
    <cellStyle name="Normal 6 3 6 7 13" xfId="11241"/>
    <cellStyle name="Normal 6 3 6 7 14" xfId="11242"/>
    <cellStyle name="Normal 6 3 6 7 15" xfId="12021"/>
    <cellStyle name="Normal 6 3 6 7 16" xfId="40494"/>
    <cellStyle name="Normal 6 3 6 7 2" xfId="11237"/>
    <cellStyle name="Normal 6 3 6 7 3" xfId="11244"/>
    <cellStyle name="Normal 6 3 6 7 4" xfId="11245"/>
    <cellStyle name="Normal 6 3 6 7 5" xfId="11246"/>
    <cellStyle name="Normal 6 3 6 7 6" xfId="11247"/>
    <cellStyle name="Normal 6 3 6 7 7" xfId="11248"/>
    <cellStyle name="Normal 6 3 6 7 8" xfId="11249"/>
    <cellStyle name="Normal 6 3 6 7 9" xfId="11250"/>
    <cellStyle name="Normal 6 3 6 8" xfId="923"/>
    <cellStyle name="Normal 6 3 6 8 10" xfId="11252"/>
    <cellStyle name="Normal 6 3 6 8 11" xfId="11253"/>
    <cellStyle name="Normal 6 3 6 8 12" xfId="11254"/>
    <cellStyle name="Normal 6 3 6 8 13" xfId="11255"/>
    <cellStyle name="Normal 6 3 6 8 14" xfId="11256"/>
    <cellStyle name="Normal 6 3 6 8 15" xfId="12022"/>
    <cellStyle name="Normal 6 3 6 8 16" xfId="40495"/>
    <cellStyle name="Normal 6 3 6 8 2" xfId="11251"/>
    <cellStyle name="Normal 6 3 6 8 3" xfId="11258"/>
    <cellStyle name="Normal 6 3 6 8 4" xfId="11259"/>
    <cellStyle name="Normal 6 3 6 8 5" xfId="11260"/>
    <cellStyle name="Normal 6 3 6 8 6" xfId="11261"/>
    <cellStyle name="Normal 6 3 6 8 7" xfId="11262"/>
    <cellStyle name="Normal 6 3 6 8 8" xfId="11263"/>
    <cellStyle name="Normal 6 3 6 8 9" xfId="11264"/>
    <cellStyle name="Normal 6 3 6 9" xfId="924"/>
    <cellStyle name="Normal 6 3 6 9 2" xfId="11265"/>
    <cellStyle name="Normal 6 3 6 9 3" xfId="12023"/>
    <cellStyle name="Normal 6 3 6 9 4" xfId="40496"/>
    <cellStyle name="Normal 6 3 7" xfId="925"/>
    <cellStyle name="Normal 6 3 7 10" xfId="11267"/>
    <cellStyle name="Normal 6 3 7 10 2" xfId="40498"/>
    <cellStyle name="Normal 6 3 7 11" xfId="11268"/>
    <cellStyle name="Normal 6 3 7 12" xfId="11269"/>
    <cellStyle name="Normal 6 3 7 13" xfId="11270"/>
    <cellStyle name="Normal 6 3 7 14" xfId="11271"/>
    <cellStyle name="Normal 6 3 7 15" xfId="12024"/>
    <cellStyle name="Normal 6 3 7 16" xfId="40497"/>
    <cellStyle name="Normal 6 3 7 17" xfId="40499"/>
    <cellStyle name="Normal 6 3 7 18" xfId="40500"/>
    <cellStyle name="Normal 6 3 7 19" xfId="40501"/>
    <cellStyle name="Normal 6 3 7 2" xfId="11266"/>
    <cellStyle name="Normal 6 3 7 2 10" xfId="40502"/>
    <cellStyle name="Normal 6 3 7 2 11" xfId="40503"/>
    <cellStyle name="Normal 6 3 7 2 12" xfId="40504"/>
    <cellStyle name="Normal 6 3 7 2 13" xfId="40505"/>
    <cellStyle name="Normal 6 3 7 2 14" xfId="40506"/>
    <cellStyle name="Normal 6 3 7 2 15" xfId="40507"/>
    <cellStyle name="Normal 6 3 7 2 2" xfId="40508"/>
    <cellStyle name="Normal 6 3 7 2 2 2" xfId="40509"/>
    <cellStyle name="Normal 6 3 7 2 2 2 2" xfId="40510"/>
    <cellStyle name="Normal 6 3 7 2 2 3" xfId="40511"/>
    <cellStyle name="Normal 6 3 7 2 2 4" xfId="40512"/>
    <cellStyle name="Normal 6 3 7 2 2 5" xfId="40513"/>
    <cellStyle name="Normal 6 3 7 2 2 6" xfId="40514"/>
    <cellStyle name="Normal 6 3 7 2 2 7" xfId="40515"/>
    <cellStyle name="Normal 6 3 7 2 3" xfId="40516"/>
    <cellStyle name="Normal 6 3 7 2 3 2" xfId="40517"/>
    <cellStyle name="Normal 6 3 7 2 3 3" xfId="40518"/>
    <cellStyle name="Normal 6 3 7 2 3 4" xfId="40519"/>
    <cellStyle name="Normal 6 3 7 2 4" xfId="40520"/>
    <cellStyle name="Normal 6 3 7 2 4 2" xfId="40521"/>
    <cellStyle name="Normal 6 3 7 2 4 3" xfId="40522"/>
    <cellStyle name="Normal 6 3 7 2 4 4" xfId="40523"/>
    <cellStyle name="Normal 6 3 7 2 5" xfId="40524"/>
    <cellStyle name="Normal 6 3 7 2 5 2" xfId="40525"/>
    <cellStyle name="Normal 6 3 7 2 5 3" xfId="40526"/>
    <cellStyle name="Normal 6 3 7 2 5 4" xfId="40527"/>
    <cellStyle name="Normal 6 3 7 2 6" xfId="40528"/>
    <cellStyle name="Normal 6 3 7 2 6 2" xfId="40529"/>
    <cellStyle name="Normal 6 3 7 2 6 3" xfId="40530"/>
    <cellStyle name="Normal 6 3 7 2 7" xfId="40531"/>
    <cellStyle name="Normal 6 3 7 2 7 2" xfId="40532"/>
    <cellStyle name="Normal 6 3 7 2 8" xfId="40533"/>
    <cellStyle name="Normal 6 3 7 2 8 2" xfId="40534"/>
    <cellStyle name="Normal 6 3 7 2 9" xfId="40535"/>
    <cellStyle name="Normal 6 3 7 2 9 2" xfId="40536"/>
    <cellStyle name="Normal 6 3 7 20" xfId="40537"/>
    <cellStyle name="Normal 6 3 7 3" xfId="11273"/>
    <cellStyle name="Normal 6 3 7 3 2" xfId="40538"/>
    <cellStyle name="Normal 6 3 7 3 2 2" xfId="40539"/>
    <cellStyle name="Normal 6 3 7 3 2 3" xfId="40540"/>
    <cellStyle name="Normal 6 3 7 3 2 4" xfId="40541"/>
    <cellStyle name="Normal 6 3 7 3 3" xfId="40542"/>
    <cellStyle name="Normal 6 3 7 3 3 2" xfId="40543"/>
    <cellStyle name="Normal 6 3 7 3 3 3" xfId="40544"/>
    <cellStyle name="Normal 6 3 7 3 4" xfId="40545"/>
    <cellStyle name="Normal 6 3 7 3 4 2" xfId="40546"/>
    <cellStyle name="Normal 6 3 7 3 5" xfId="40547"/>
    <cellStyle name="Normal 6 3 7 3 5 2" xfId="40548"/>
    <cellStyle name="Normal 6 3 7 3 6" xfId="40549"/>
    <cellStyle name="Normal 6 3 7 3 6 2" xfId="40550"/>
    <cellStyle name="Normal 6 3 7 3 7" xfId="40551"/>
    <cellStyle name="Normal 6 3 7 4" xfId="11274"/>
    <cellStyle name="Normal 6 3 7 4 2" xfId="40552"/>
    <cellStyle name="Normal 6 3 7 4 3" xfId="40553"/>
    <cellStyle name="Normal 6 3 7 4 4" xfId="40554"/>
    <cellStyle name="Normal 6 3 7 5" xfId="11275"/>
    <cellStyle name="Normal 6 3 7 5 2" xfId="40555"/>
    <cellStyle name="Normal 6 3 7 5 3" xfId="40556"/>
    <cellStyle name="Normal 6 3 7 5 4" xfId="40557"/>
    <cellStyle name="Normal 6 3 7 6" xfId="11276"/>
    <cellStyle name="Normal 6 3 7 6 2" xfId="40558"/>
    <cellStyle name="Normal 6 3 7 6 3" xfId="40559"/>
    <cellStyle name="Normal 6 3 7 6 4" xfId="40560"/>
    <cellStyle name="Normal 6 3 7 7" xfId="11277"/>
    <cellStyle name="Normal 6 3 7 7 2" xfId="40561"/>
    <cellStyle name="Normal 6 3 7 7 3" xfId="40562"/>
    <cellStyle name="Normal 6 3 7 8" xfId="11278"/>
    <cellStyle name="Normal 6 3 7 8 2" xfId="40563"/>
    <cellStyle name="Normal 6 3 7 9" xfId="11279"/>
    <cellStyle name="Normal 6 3 7 9 2" xfId="40564"/>
    <cellStyle name="Normal 6 3 8" xfId="926"/>
    <cellStyle name="Normal 6 3 8 10" xfId="11281"/>
    <cellStyle name="Normal 6 3 8 10 2" xfId="40566"/>
    <cellStyle name="Normal 6 3 8 11" xfId="11282"/>
    <cellStyle name="Normal 6 3 8 12" xfId="11283"/>
    <cellStyle name="Normal 6 3 8 13" xfId="11284"/>
    <cellStyle name="Normal 6 3 8 14" xfId="11285"/>
    <cellStyle name="Normal 6 3 8 15" xfId="12025"/>
    <cellStyle name="Normal 6 3 8 16" xfId="40565"/>
    <cellStyle name="Normal 6 3 8 17" xfId="40567"/>
    <cellStyle name="Normal 6 3 8 18" xfId="40568"/>
    <cellStyle name="Normal 6 3 8 2" xfId="11280"/>
    <cellStyle name="Normal 6 3 8 2 10" xfId="40569"/>
    <cellStyle name="Normal 6 3 8 2 11" xfId="40570"/>
    <cellStyle name="Normal 6 3 8 2 2" xfId="40571"/>
    <cellStyle name="Normal 6 3 8 2 2 2" xfId="40572"/>
    <cellStyle name="Normal 6 3 8 2 2 3" xfId="40573"/>
    <cellStyle name="Normal 6 3 8 2 2 4" xfId="40574"/>
    <cellStyle name="Normal 6 3 8 2 3" xfId="40575"/>
    <cellStyle name="Normal 6 3 8 2 3 2" xfId="40576"/>
    <cellStyle name="Normal 6 3 8 2 3 3" xfId="40577"/>
    <cellStyle name="Normal 6 3 8 2 3 4" xfId="40578"/>
    <cellStyle name="Normal 6 3 8 2 4" xfId="40579"/>
    <cellStyle name="Normal 6 3 8 2 4 2" xfId="40580"/>
    <cellStyle name="Normal 6 3 8 2 4 3" xfId="40581"/>
    <cellStyle name="Normal 6 3 8 2 4 4" xfId="40582"/>
    <cellStyle name="Normal 6 3 8 2 5" xfId="40583"/>
    <cellStyle name="Normal 6 3 8 2 5 2" xfId="40584"/>
    <cellStyle name="Normal 6 3 8 2 5 3" xfId="40585"/>
    <cellStyle name="Normal 6 3 8 2 5 4" xfId="40586"/>
    <cellStyle name="Normal 6 3 8 2 6" xfId="40587"/>
    <cellStyle name="Normal 6 3 8 2 6 2" xfId="40588"/>
    <cellStyle name="Normal 6 3 8 2 7" xfId="40589"/>
    <cellStyle name="Normal 6 3 8 2 7 2" xfId="40590"/>
    <cellStyle name="Normal 6 3 8 2 8" xfId="40591"/>
    <cellStyle name="Normal 6 3 8 2 8 2" xfId="40592"/>
    <cellStyle name="Normal 6 3 8 2 9" xfId="40593"/>
    <cellStyle name="Normal 6 3 8 2 9 2" xfId="40594"/>
    <cellStyle name="Normal 6 3 8 3" xfId="11287"/>
    <cellStyle name="Normal 6 3 8 3 2" xfId="40595"/>
    <cellStyle name="Normal 6 3 8 3 2 2" xfId="40596"/>
    <cellStyle name="Normal 6 3 8 3 2 3" xfId="40597"/>
    <cellStyle name="Normal 6 3 8 3 2 4" xfId="40598"/>
    <cellStyle name="Normal 6 3 8 3 3" xfId="40599"/>
    <cellStyle name="Normal 6 3 8 3 3 2" xfId="40600"/>
    <cellStyle name="Normal 6 3 8 3 3 3" xfId="40601"/>
    <cellStyle name="Normal 6 3 8 3 4" xfId="40602"/>
    <cellStyle name="Normal 6 3 8 3 4 2" xfId="40603"/>
    <cellStyle name="Normal 6 3 8 3 5" xfId="40604"/>
    <cellStyle name="Normal 6 3 8 3 5 2" xfId="40605"/>
    <cellStyle name="Normal 6 3 8 3 6" xfId="40606"/>
    <cellStyle name="Normal 6 3 8 3 6 2" xfId="40607"/>
    <cellStyle name="Normal 6 3 8 3 7" xfId="40608"/>
    <cellStyle name="Normal 6 3 8 4" xfId="11288"/>
    <cellStyle name="Normal 6 3 8 4 2" xfId="40609"/>
    <cellStyle name="Normal 6 3 8 4 3" xfId="40610"/>
    <cellStyle name="Normal 6 3 8 4 4" xfId="40611"/>
    <cellStyle name="Normal 6 3 8 5" xfId="11289"/>
    <cellStyle name="Normal 6 3 8 5 2" xfId="40612"/>
    <cellStyle name="Normal 6 3 8 5 3" xfId="40613"/>
    <cellStyle name="Normal 6 3 8 5 4" xfId="40614"/>
    <cellStyle name="Normal 6 3 8 6" xfId="11290"/>
    <cellStyle name="Normal 6 3 8 6 2" xfId="40615"/>
    <cellStyle name="Normal 6 3 8 6 3" xfId="40616"/>
    <cellStyle name="Normal 6 3 8 6 4" xfId="40617"/>
    <cellStyle name="Normal 6 3 8 7" xfId="11291"/>
    <cellStyle name="Normal 6 3 8 7 2" xfId="40618"/>
    <cellStyle name="Normal 6 3 8 7 3" xfId="40619"/>
    <cellStyle name="Normal 6 3 8 8" xfId="11292"/>
    <cellStyle name="Normal 6 3 8 8 2" xfId="40620"/>
    <cellStyle name="Normal 6 3 8 9" xfId="11293"/>
    <cellStyle name="Normal 6 3 8 9 2" xfId="40621"/>
    <cellStyle name="Normal 6 3 9" xfId="927"/>
    <cellStyle name="Normal 6 3 9 10" xfId="11295"/>
    <cellStyle name="Normal 6 3 9 10 2" xfId="40623"/>
    <cellStyle name="Normal 6 3 9 11" xfId="11296"/>
    <cellStyle name="Normal 6 3 9 12" xfId="11297"/>
    <cellStyle name="Normal 6 3 9 13" xfId="11298"/>
    <cellStyle name="Normal 6 3 9 14" xfId="11299"/>
    <cellStyle name="Normal 6 3 9 15" xfId="12026"/>
    <cellStyle name="Normal 6 3 9 16" xfId="40622"/>
    <cellStyle name="Normal 6 3 9 17" xfId="40624"/>
    <cellStyle name="Normal 6 3 9 2" xfId="11294"/>
    <cellStyle name="Normal 6 3 9 2 10" xfId="40625"/>
    <cellStyle name="Normal 6 3 9 2 11" xfId="40626"/>
    <cellStyle name="Normal 6 3 9 2 2" xfId="40627"/>
    <cellStyle name="Normal 6 3 9 2 2 2" xfId="40628"/>
    <cellStyle name="Normal 6 3 9 2 2 3" xfId="40629"/>
    <cellStyle name="Normal 6 3 9 2 2 4" xfId="40630"/>
    <cellStyle name="Normal 6 3 9 2 3" xfId="40631"/>
    <cellStyle name="Normal 6 3 9 2 3 2" xfId="40632"/>
    <cellStyle name="Normal 6 3 9 2 3 3" xfId="40633"/>
    <cellStyle name="Normal 6 3 9 2 3 4" xfId="40634"/>
    <cellStyle name="Normal 6 3 9 2 4" xfId="40635"/>
    <cellStyle name="Normal 6 3 9 2 4 2" xfId="40636"/>
    <cellStyle name="Normal 6 3 9 2 4 3" xfId="40637"/>
    <cellStyle name="Normal 6 3 9 2 4 4" xfId="40638"/>
    <cellStyle name="Normal 6 3 9 2 5" xfId="40639"/>
    <cellStyle name="Normal 6 3 9 2 5 2" xfId="40640"/>
    <cellStyle name="Normal 6 3 9 2 5 3" xfId="40641"/>
    <cellStyle name="Normal 6 3 9 2 5 4" xfId="40642"/>
    <cellStyle name="Normal 6 3 9 2 6" xfId="40643"/>
    <cellStyle name="Normal 6 3 9 2 6 2" xfId="40644"/>
    <cellStyle name="Normal 6 3 9 2 7" xfId="40645"/>
    <cellStyle name="Normal 6 3 9 2 7 2" xfId="40646"/>
    <cellStyle name="Normal 6 3 9 2 8" xfId="40647"/>
    <cellStyle name="Normal 6 3 9 2 8 2" xfId="40648"/>
    <cellStyle name="Normal 6 3 9 2 9" xfId="40649"/>
    <cellStyle name="Normal 6 3 9 2 9 2" xfId="40650"/>
    <cellStyle name="Normal 6 3 9 3" xfId="11301"/>
    <cellStyle name="Normal 6 3 9 3 2" xfId="40651"/>
    <cellStyle name="Normal 6 3 9 3 2 2" xfId="40652"/>
    <cellStyle name="Normal 6 3 9 3 2 3" xfId="40653"/>
    <cellStyle name="Normal 6 3 9 3 2 4" xfId="40654"/>
    <cellStyle name="Normal 6 3 9 3 3" xfId="40655"/>
    <cellStyle name="Normal 6 3 9 3 3 2" xfId="40656"/>
    <cellStyle name="Normal 6 3 9 3 3 3" xfId="40657"/>
    <cellStyle name="Normal 6 3 9 3 4" xfId="40658"/>
    <cellStyle name="Normal 6 3 9 3 4 2" xfId="40659"/>
    <cellStyle name="Normal 6 3 9 3 5" xfId="40660"/>
    <cellStyle name="Normal 6 3 9 3 5 2" xfId="40661"/>
    <cellStyle name="Normal 6 3 9 3 6" xfId="40662"/>
    <cellStyle name="Normal 6 3 9 3 6 2" xfId="40663"/>
    <cellStyle name="Normal 6 3 9 3 7" xfId="40664"/>
    <cellStyle name="Normal 6 3 9 4" xfId="11302"/>
    <cellStyle name="Normal 6 3 9 4 2" xfId="40665"/>
    <cellStyle name="Normal 6 3 9 4 3" xfId="40666"/>
    <cellStyle name="Normal 6 3 9 4 4" xfId="40667"/>
    <cellStyle name="Normal 6 3 9 5" xfId="11303"/>
    <cellStyle name="Normal 6 3 9 5 2" xfId="40668"/>
    <cellStyle name="Normal 6 3 9 5 3" xfId="40669"/>
    <cellStyle name="Normal 6 3 9 5 4" xfId="40670"/>
    <cellStyle name="Normal 6 3 9 6" xfId="11304"/>
    <cellStyle name="Normal 6 3 9 6 2" xfId="40671"/>
    <cellStyle name="Normal 6 3 9 6 3" xfId="40672"/>
    <cellStyle name="Normal 6 3 9 6 4" xfId="40673"/>
    <cellStyle name="Normal 6 3 9 7" xfId="11305"/>
    <cellStyle name="Normal 6 3 9 7 2" xfId="40674"/>
    <cellStyle name="Normal 6 3 9 7 3" xfId="40675"/>
    <cellStyle name="Normal 6 3 9 8" xfId="11306"/>
    <cellStyle name="Normal 6 3 9 8 2" xfId="40676"/>
    <cellStyle name="Normal 6 3 9 9" xfId="11307"/>
    <cellStyle name="Normal 6 3 9 9 2" xfId="40677"/>
    <cellStyle name="Normal 6 30" xfId="11898"/>
    <cellStyle name="Normal 6 31" xfId="12086"/>
    <cellStyle name="Normal 6 32" xfId="38426"/>
    <cellStyle name="Normal 6 33" xfId="40678"/>
    <cellStyle name="Normal 6 34" xfId="40679"/>
    <cellStyle name="Normal 6 35" xfId="40680"/>
    <cellStyle name="Normal 6 36" xfId="40681"/>
    <cellStyle name="Normal 6 37" xfId="40682"/>
    <cellStyle name="Normal 6 38" xfId="40683"/>
    <cellStyle name="Normal 6 39" xfId="40684"/>
    <cellStyle name="Normal 6 4" xfId="928"/>
    <cellStyle name="Normal 6 4 10" xfId="929"/>
    <cellStyle name="Normal 6 4 10 10" xfId="40687"/>
    <cellStyle name="Normal 6 4 10 10 2" xfId="40688"/>
    <cellStyle name="Normal 6 4 10 11" xfId="40689"/>
    <cellStyle name="Normal 6 4 10 12" xfId="40690"/>
    <cellStyle name="Normal 6 4 10 13" xfId="40691"/>
    <cellStyle name="Normal 6 4 10 14" xfId="40692"/>
    <cellStyle name="Normal 6 4 10 15" xfId="40693"/>
    <cellStyle name="Normal 6 4 10 16" xfId="40694"/>
    <cellStyle name="Normal 6 4 10 2" xfId="11309"/>
    <cellStyle name="Normal 6 4 10 2 10" xfId="40695"/>
    <cellStyle name="Normal 6 4 10 2 11" xfId="40696"/>
    <cellStyle name="Normal 6 4 10 2 2" xfId="40697"/>
    <cellStyle name="Normal 6 4 10 2 2 2" xfId="40698"/>
    <cellStyle name="Normal 6 4 10 2 2 3" xfId="40699"/>
    <cellStyle name="Normal 6 4 10 2 2 4" xfId="40700"/>
    <cellStyle name="Normal 6 4 10 2 3" xfId="40701"/>
    <cellStyle name="Normal 6 4 10 2 3 2" xfId="40702"/>
    <cellStyle name="Normal 6 4 10 2 3 3" xfId="40703"/>
    <cellStyle name="Normal 6 4 10 2 3 4" xfId="40704"/>
    <cellStyle name="Normal 6 4 10 2 4" xfId="40705"/>
    <cellStyle name="Normal 6 4 10 2 4 2" xfId="40706"/>
    <cellStyle name="Normal 6 4 10 2 4 3" xfId="40707"/>
    <cellStyle name="Normal 6 4 10 2 4 4" xfId="40708"/>
    <cellStyle name="Normal 6 4 10 2 5" xfId="40709"/>
    <cellStyle name="Normal 6 4 10 2 5 2" xfId="40710"/>
    <cellStyle name="Normal 6 4 10 2 5 3" xfId="40711"/>
    <cellStyle name="Normal 6 4 10 2 5 4" xfId="40712"/>
    <cellStyle name="Normal 6 4 10 2 6" xfId="40713"/>
    <cellStyle name="Normal 6 4 10 2 6 2" xfId="40714"/>
    <cellStyle name="Normal 6 4 10 2 7" xfId="40715"/>
    <cellStyle name="Normal 6 4 10 2 7 2" xfId="40716"/>
    <cellStyle name="Normal 6 4 10 2 8" xfId="40717"/>
    <cellStyle name="Normal 6 4 10 2 8 2" xfId="40718"/>
    <cellStyle name="Normal 6 4 10 2 9" xfId="40719"/>
    <cellStyle name="Normal 6 4 10 2 9 2" xfId="40720"/>
    <cellStyle name="Normal 6 4 10 3" xfId="12028"/>
    <cellStyle name="Normal 6 4 10 3 2" xfId="40721"/>
    <cellStyle name="Normal 6 4 10 3 2 2" xfId="40722"/>
    <cellStyle name="Normal 6 4 10 3 2 3" xfId="40723"/>
    <cellStyle name="Normal 6 4 10 3 2 4" xfId="40724"/>
    <cellStyle name="Normal 6 4 10 3 3" xfId="40725"/>
    <cellStyle name="Normal 6 4 10 3 3 2" xfId="40726"/>
    <cellStyle name="Normal 6 4 10 3 3 3" xfId="40727"/>
    <cellStyle name="Normal 6 4 10 3 4" xfId="40728"/>
    <cellStyle name="Normal 6 4 10 3 4 2" xfId="40729"/>
    <cellStyle name="Normal 6 4 10 3 5" xfId="40730"/>
    <cellStyle name="Normal 6 4 10 3 5 2" xfId="40731"/>
    <cellStyle name="Normal 6 4 10 3 6" xfId="40732"/>
    <cellStyle name="Normal 6 4 10 3 6 2" xfId="40733"/>
    <cellStyle name="Normal 6 4 10 3 7" xfId="40734"/>
    <cellStyle name="Normal 6 4 10 4" xfId="40686"/>
    <cellStyle name="Normal 6 4 10 4 2" xfId="40735"/>
    <cellStyle name="Normal 6 4 10 4 3" xfId="40736"/>
    <cellStyle name="Normal 6 4 10 4 4" xfId="40737"/>
    <cellStyle name="Normal 6 4 10 5" xfId="40738"/>
    <cellStyle name="Normal 6 4 10 5 2" xfId="40739"/>
    <cellStyle name="Normal 6 4 10 5 3" xfId="40740"/>
    <cellStyle name="Normal 6 4 10 5 4" xfId="40741"/>
    <cellStyle name="Normal 6 4 10 6" xfId="40742"/>
    <cellStyle name="Normal 6 4 10 6 2" xfId="40743"/>
    <cellStyle name="Normal 6 4 10 6 3" xfId="40744"/>
    <cellStyle name="Normal 6 4 10 6 4" xfId="40745"/>
    <cellStyle name="Normal 6 4 10 7" xfId="40746"/>
    <cellStyle name="Normal 6 4 10 7 2" xfId="40747"/>
    <cellStyle name="Normal 6 4 10 7 3" xfId="40748"/>
    <cellStyle name="Normal 6 4 10 8" xfId="40749"/>
    <cellStyle name="Normal 6 4 10 8 2" xfId="40750"/>
    <cellStyle name="Normal 6 4 10 9" xfId="40751"/>
    <cellStyle name="Normal 6 4 10 9 2" xfId="40752"/>
    <cellStyle name="Normal 6 4 11" xfId="11308"/>
    <cellStyle name="Normal 6 4 11 10" xfId="40753"/>
    <cellStyle name="Normal 6 4 11 10 2" xfId="40754"/>
    <cellStyle name="Normal 6 4 11 11" xfId="40755"/>
    <cellStyle name="Normal 6 4 11 2" xfId="40756"/>
    <cellStyle name="Normal 6 4 11 2 2" xfId="40757"/>
    <cellStyle name="Normal 6 4 11 2 2 2" xfId="40758"/>
    <cellStyle name="Normal 6 4 11 2 2 3" xfId="40759"/>
    <cellStyle name="Normal 6 4 11 2 3" xfId="40760"/>
    <cellStyle name="Normal 6 4 11 2 3 2" xfId="40761"/>
    <cellStyle name="Normal 6 4 11 2 4" xfId="40762"/>
    <cellStyle name="Normal 6 4 11 2 4 2" xfId="40763"/>
    <cellStyle name="Normal 6 4 11 2 5" xfId="40764"/>
    <cellStyle name="Normal 6 4 11 2 5 2" xfId="40765"/>
    <cellStyle name="Normal 6 4 11 2 6" xfId="40766"/>
    <cellStyle name="Normal 6 4 11 2 7" xfId="40767"/>
    <cellStyle name="Normal 6 4 11 2 8" xfId="40768"/>
    <cellStyle name="Normal 6 4 11 2 9" xfId="40769"/>
    <cellStyle name="Normal 6 4 11 3" xfId="40770"/>
    <cellStyle name="Normal 6 4 11 3 2" xfId="40771"/>
    <cellStyle name="Normal 6 4 11 3 2 2" xfId="40772"/>
    <cellStyle name="Normal 6 4 11 3 2 3" xfId="40773"/>
    <cellStyle name="Normal 6 4 11 3 3" xfId="40774"/>
    <cellStyle name="Normal 6 4 11 3 3 2" xfId="40775"/>
    <cellStyle name="Normal 6 4 11 3 4" xfId="40776"/>
    <cellStyle name="Normal 6 4 11 3 5" xfId="40777"/>
    <cellStyle name="Normal 6 4 11 3 6" xfId="40778"/>
    <cellStyle name="Normal 6 4 11 3 7" xfId="40779"/>
    <cellStyle name="Normal 6 4 11 4" xfId="40780"/>
    <cellStyle name="Normal 6 4 11 4 2" xfId="40781"/>
    <cellStyle name="Normal 6 4 11 4 3" xfId="40782"/>
    <cellStyle name="Normal 6 4 11 4 4" xfId="40783"/>
    <cellStyle name="Normal 6 4 11 5" xfId="40784"/>
    <cellStyle name="Normal 6 4 11 5 2" xfId="40785"/>
    <cellStyle name="Normal 6 4 11 5 3" xfId="40786"/>
    <cellStyle name="Normal 6 4 11 5 4" xfId="40787"/>
    <cellStyle name="Normal 6 4 11 6" xfId="40788"/>
    <cellStyle name="Normal 6 4 11 6 2" xfId="40789"/>
    <cellStyle name="Normal 6 4 11 6 3" xfId="40790"/>
    <cellStyle name="Normal 6 4 11 7" xfId="40791"/>
    <cellStyle name="Normal 6 4 11 7 2" xfId="40792"/>
    <cellStyle name="Normal 6 4 11 8" xfId="40793"/>
    <cellStyle name="Normal 6 4 11 8 2" xfId="40794"/>
    <cellStyle name="Normal 6 4 11 9" xfId="40795"/>
    <cellStyle name="Normal 6 4 11 9 2" xfId="40796"/>
    <cellStyle name="Normal 6 4 12" xfId="11311"/>
    <cellStyle name="Normal 6 4 12 2" xfId="40797"/>
    <cellStyle name="Normal 6 4 12 2 2" xfId="40798"/>
    <cellStyle name="Normal 6 4 12 2 3" xfId="40799"/>
    <cellStyle name="Normal 6 4 12 2 4" xfId="40800"/>
    <cellStyle name="Normal 6 4 12 3" xfId="40801"/>
    <cellStyle name="Normal 6 4 12 3 2" xfId="40802"/>
    <cellStyle name="Normal 6 4 12 3 3" xfId="40803"/>
    <cellStyle name="Normal 6 4 12 4" xfId="40804"/>
    <cellStyle name="Normal 6 4 12 4 2" xfId="40805"/>
    <cellStyle name="Normal 6 4 12 4 3" xfId="40806"/>
    <cellStyle name="Normal 6 4 12 5" xfId="40807"/>
    <cellStyle name="Normal 6 4 12 5 2" xfId="40808"/>
    <cellStyle name="Normal 6 4 12 5 3" xfId="40809"/>
    <cellStyle name="Normal 6 4 12 6" xfId="40810"/>
    <cellStyle name="Normal 6 4 12 6 2" xfId="40811"/>
    <cellStyle name="Normal 6 4 12 7" xfId="40812"/>
    <cellStyle name="Normal 6 4 12 8" xfId="40813"/>
    <cellStyle name="Normal 6 4 12 9" xfId="40814"/>
    <cellStyle name="Normal 6 4 13" xfId="11312"/>
    <cellStyle name="Normal 6 4 13 2" xfId="40815"/>
    <cellStyle name="Normal 6 4 13 2 2" xfId="40816"/>
    <cellStyle name="Normal 6 4 13 2 3" xfId="40817"/>
    <cellStyle name="Normal 6 4 13 3" xfId="40818"/>
    <cellStyle name="Normal 6 4 13 3 2" xfId="40819"/>
    <cellStyle name="Normal 6 4 13 4" xfId="40820"/>
    <cellStyle name="Normal 6 4 13 5" xfId="40821"/>
    <cellStyle name="Normal 6 4 13 6" xfId="40822"/>
    <cellStyle name="Normal 6 4 13 7" xfId="40823"/>
    <cellStyle name="Normal 6 4 14" xfId="11313"/>
    <cellStyle name="Normal 6 4 14 2" xfId="40824"/>
    <cellStyle name="Normal 6 4 14 3" xfId="40825"/>
    <cellStyle name="Normal 6 4 14 4" xfId="40826"/>
    <cellStyle name="Normal 6 4 15" xfId="11314"/>
    <cellStyle name="Normal 6 4 15 2" xfId="40827"/>
    <cellStyle name="Normal 6 4 15 3" xfId="40828"/>
    <cellStyle name="Normal 6 4 15 4" xfId="40829"/>
    <cellStyle name="Normal 6 4 16" xfId="11315"/>
    <cellStyle name="Normal 6 4 16 2" xfId="40830"/>
    <cellStyle name="Normal 6 4 16 3" xfId="40831"/>
    <cellStyle name="Normal 6 4 16 4" xfId="40832"/>
    <cellStyle name="Normal 6 4 17" xfId="11316"/>
    <cellStyle name="Normal 6 4 17 2" xfId="40833"/>
    <cellStyle name="Normal 6 4 18" xfId="11317"/>
    <cellStyle name="Normal 6 4 18 2" xfId="40834"/>
    <cellStyle name="Normal 6 4 19" xfId="11318"/>
    <cellStyle name="Normal 6 4 19 2" xfId="40835"/>
    <cellStyle name="Normal 6 4 2" xfId="930"/>
    <cellStyle name="Normal 6 4 2 10" xfId="11320"/>
    <cellStyle name="Normal 6 4 2 10 2" xfId="40837"/>
    <cellStyle name="Normal 6 4 2 10 3" xfId="40838"/>
    <cellStyle name="Normal 6 4 2 11" xfId="11321"/>
    <cellStyle name="Normal 6 4 2 11 2" xfId="40839"/>
    <cellStyle name="Normal 6 4 2 12" xfId="11322"/>
    <cellStyle name="Normal 6 4 2 13" xfId="11323"/>
    <cellStyle name="Normal 6 4 2 14" xfId="11324"/>
    <cellStyle name="Normal 6 4 2 15" xfId="12029"/>
    <cellStyle name="Normal 6 4 2 16" xfId="40836"/>
    <cellStyle name="Normal 6 4 2 17" xfId="40840"/>
    <cellStyle name="Normal 6 4 2 18" xfId="40841"/>
    <cellStyle name="Normal 6 4 2 19" xfId="40842"/>
    <cellStyle name="Normal 6 4 2 2" xfId="11319"/>
    <cellStyle name="Normal 6 4 2 2 10" xfId="40843"/>
    <cellStyle name="Normal 6 4 2 2 11" xfId="40844"/>
    <cellStyle name="Normal 6 4 2 2 12" xfId="40845"/>
    <cellStyle name="Normal 6 4 2 2 13" xfId="40846"/>
    <cellStyle name="Normal 6 4 2 2 14" xfId="40847"/>
    <cellStyle name="Normal 6 4 2 2 15" xfId="40848"/>
    <cellStyle name="Normal 6 4 2 2 16" xfId="40849"/>
    <cellStyle name="Normal 6 4 2 2 17" xfId="40850"/>
    <cellStyle name="Normal 6 4 2 2 18" xfId="40851"/>
    <cellStyle name="Normal 6 4 2 2 2" xfId="40852"/>
    <cellStyle name="Normal 6 4 2 2 2 10" xfId="40853"/>
    <cellStyle name="Normal 6 4 2 2 2 11" xfId="40854"/>
    <cellStyle name="Normal 6 4 2 2 2 2" xfId="40855"/>
    <cellStyle name="Normal 6 4 2 2 2 2 2" xfId="40856"/>
    <cellStyle name="Normal 6 4 2 2 2 3" xfId="40857"/>
    <cellStyle name="Normal 6 4 2 2 2 3 2" xfId="40858"/>
    <cellStyle name="Normal 6 4 2 2 2 4" xfId="40859"/>
    <cellStyle name="Normal 6 4 2 2 2 4 2" xfId="40860"/>
    <cellStyle name="Normal 6 4 2 2 2 5" xfId="40861"/>
    <cellStyle name="Normal 6 4 2 2 2 5 2" xfId="40862"/>
    <cellStyle name="Normal 6 4 2 2 2 6" xfId="40863"/>
    <cellStyle name="Normal 6 4 2 2 2 7" xfId="40864"/>
    <cellStyle name="Normal 6 4 2 2 2 8" xfId="40865"/>
    <cellStyle name="Normal 6 4 2 2 2 9" xfId="40866"/>
    <cellStyle name="Normal 6 4 2 2 3" xfId="40867"/>
    <cellStyle name="Normal 6 4 2 2 3 2" xfId="40868"/>
    <cellStyle name="Normal 6 4 2 2 3 2 2" xfId="40869"/>
    <cellStyle name="Normal 6 4 2 2 3 3" xfId="40870"/>
    <cellStyle name="Normal 6 4 2 2 3 4" xfId="40871"/>
    <cellStyle name="Normal 6 4 2 2 3 5" xfId="40872"/>
    <cellStyle name="Normal 6 4 2 2 3 6" xfId="40873"/>
    <cellStyle name="Normal 6 4 2 2 3 7" xfId="40874"/>
    <cellStyle name="Normal 6 4 2 2 4" xfId="40875"/>
    <cellStyle name="Normal 6 4 2 2 4 2" xfId="40876"/>
    <cellStyle name="Normal 6 4 2 2 4 3" xfId="40877"/>
    <cellStyle name="Normal 6 4 2 2 4 4" xfId="40878"/>
    <cellStyle name="Normal 6 4 2 2 5" xfId="40879"/>
    <cellStyle name="Normal 6 4 2 2 5 2" xfId="40880"/>
    <cellStyle name="Normal 6 4 2 2 5 3" xfId="40881"/>
    <cellStyle name="Normal 6 4 2 2 5 4" xfId="40882"/>
    <cellStyle name="Normal 6 4 2 2 6" xfId="40883"/>
    <cellStyle name="Normal 6 4 2 2 6 2" xfId="40884"/>
    <cellStyle name="Normal 6 4 2 2 6 3" xfId="40885"/>
    <cellStyle name="Normal 6 4 2 2 7" xfId="40886"/>
    <cellStyle name="Normal 6 4 2 2 7 2" xfId="40887"/>
    <cellStyle name="Normal 6 4 2 2 7 3" xfId="40888"/>
    <cellStyle name="Normal 6 4 2 2 8" xfId="40889"/>
    <cellStyle name="Normal 6 4 2 2 8 2" xfId="40890"/>
    <cellStyle name="Normal 6 4 2 2 9" xfId="40891"/>
    <cellStyle name="Normal 6 4 2 2 9 2" xfId="40892"/>
    <cellStyle name="Normal 6 4 2 20" xfId="40893"/>
    <cellStyle name="Normal 6 4 2 21" xfId="40894"/>
    <cellStyle name="Normal 6 4 2 22" xfId="40895"/>
    <cellStyle name="Normal 6 4 2 3" xfId="11326"/>
    <cellStyle name="Normal 6 4 2 3 10" xfId="40896"/>
    <cellStyle name="Normal 6 4 2 3 11" xfId="40897"/>
    <cellStyle name="Normal 6 4 2 3 12" xfId="40898"/>
    <cellStyle name="Normal 6 4 2 3 13" xfId="40899"/>
    <cellStyle name="Normal 6 4 2 3 14" xfId="40900"/>
    <cellStyle name="Normal 6 4 2 3 15" xfId="40901"/>
    <cellStyle name="Normal 6 4 2 3 16" xfId="40902"/>
    <cellStyle name="Normal 6 4 2 3 17" xfId="40903"/>
    <cellStyle name="Normal 6 4 2 3 18" xfId="40904"/>
    <cellStyle name="Normal 6 4 2 3 2" xfId="40905"/>
    <cellStyle name="Normal 6 4 2 3 2 10" xfId="40906"/>
    <cellStyle name="Normal 6 4 2 3 2 11" xfId="40907"/>
    <cellStyle name="Normal 6 4 2 3 2 2" xfId="40908"/>
    <cellStyle name="Normal 6 4 2 3 2 2 2" xfId="40909"/>
    <cellStyle name="Normal 6 4 2 3 2 3" xfId="40910"/>
    <cellStyle name="Normal 6 4 2 3 2 3 2" xfId="40911"/>
    <cellStyle name="Normal 6 4 2 3 2 4" xfId="40912"/>
    <cellStyle name="Normal 6 4 2 3 2 4 2" xfId="40913"/>
    <cellStyle name="Normal 6 4 2 3 2 5" xfId="40914"/>
    <cellStyle name="Normal 6 4 2 3 2 5 2" xfId="40915"/>
    <cellStyle name="Normal 6 4 2 3 2 6" xfId="40916"/>
    <cellStyle name="Normal 6 4 2 3 2 7" xfId="40917"/>
    <cellStyle name="Normal 6 4 2 3 2 8" xfId="40918"/>
    <cellStyle name="Normal 6 4 2 3 2 9" xfId="40919"/>
    <cellStyle name="Normal 6 4 2 3 3" xfId="40920"/>
    <cellStyle name="Normal 6 4 2 3 3 2" xfId="40921"/>
    <cellStyle name="Normal 6 4 2 3 3 2 2" xfId="40922"/>
    <cellStyle name="Normal 6 4 2 3 3 3" xfId="40923"/>
    <cellStyle name="Normal 6 4 2 3 3 4" xfId="40924"/>
    <cellStyle name="Normal 6 4 2 3 3 5" xfId="40925"/>
    <cellStyle name="Normal 6 4 2 3 3 6" xfId="40926"/>
    <cellStyle name="Normal 6 4 2 3 3 7" xfId="40927"/>
    <cellStyle name="Normal 6 4 2 3 4" xfId="40928"/>
    <cellStyle name="Normal 6 4 2 3 4 2" xfId="40929"/>
    <cellStyle name="Normal 6 4 2 3 4 3" xfId="40930"/>
    <cellStyle name="Normal 6 4 2 3 5" xfId="40931"/>
    <cellStyle name="Normal 6 4 2 3 5 2" xfId="40932"/>
    <cellStyle name="Normal 6 4 2 3 5 3" xfId="40933"/>
    <cellStyle name="Normal 6 4 2 3 6" xfId="40934"/>
    <cellStyle name="Normal 6 4 2 3 6 2" xfId="40935"/>
    <cellStyle name="Normal 6 4 2 3 6 3" xfId="40936"/>
    <cellStyle name="Normal 6 4 2 3 7" xfId="40937"/>
    <cellStyle name="Normal 6 4 2 3 7 2" xfId="40938"/>
    <cellStyle name="Normal 6 4 2 3 7 3" xfId="40939"/>
    <cellStyle name="Normal 6 4 2 3 8" xfId="40940"/>
    <cellStyle name="Normal 6 4 2 3 9" xfId="40941"/>
    <cellStyle name="Normal 6 4 2 4" xfId="11327"/>
    <cellStyle name="Normal 6 4 2 4 10" xfId="40942"/>
    <cellStyle name="Normal 6 4 2 4 11" xfId="40943"/>
    <cellStyle name="Normal 6 4 2 4 12" xfId="40944"/>
    <cellStyle name="Normal 6 4 2 4 13" xfId="40945"/>
    <cellStyle name="Normal 6 4 2 4 14" xfId="40946"/>
    <cellStyle name="Normal 6 4 2 4 15" xfId="40947"/>
    <cellStyle name="Normal 6 4 2 4 16" xfId="40948"/>
    <cellStyle name="Normal 6 4 2 4 17" xfId="40949"/>
    <cellStyle name="Normal 6 4 2 4 2" xfId="40950"/>
    <cellStyle name="Normal 6 4 2 4 2 2" xfId="40951"/>
    <cellStyle name="Normal 6 4 2 4 2 2 2" xfId="40952"/>
    <cellStyle name="Normal 6 4 2 4 2 3" xfId="40953"/>
    <cellStyle name="Normal 6 4 2 4 2 3 2" xfId="40954"/>
    <cellStyle name="Normal 6 4 2 4 2 4" xfId="40955"/>
    <cellStyle name="Normal 6 4 2 4 2 4 2" xfId="40956"/>
    <cellStyle name="Normal 6 4 2 4 2 5" xfId="40957"/>
    <cellStyle name="Normal 6 4 2 4 2 5 2" xfId="40958"/>
    <cellStyle name="Normal 6 4 2 4 2 6" xfId="40959"/>
    <cellStyle name="Normal 6 4 2 4 2 7" xfId="40960"/>
    <cellStyle name="Normal 6 4 2 4 2 8" xfId="40961"/>
    <cellStyle name="Normal 6 4 2 4 2 9" xfId="40962"/>
    <cellStyle name="Normal 6 4 2 4 3" xfId="40963"/>
    <cellStyle name="Normal 6 4 2 4 3 2" xfId="40964"/>
    <cellStyle name="Normal 6 4 2 4 3 2 2" xfId="40965"/>
    <cellStyle name="Normal 6 4 2 4 3 3" xfId="40966"/>
    <cellStyle name="Normal 6 4 2 4 3 4" xfId="40967"/>
    <cellStyle name="Normal 6 4 2 4 3 5" xfId="40968"/>
    <cellStyle name="Normal 6 4 2 4 4" xfId="40969"/>
    <cellStyle name="Normal 6 4 2 4 4 2" xfId="40970"/>
    <cellStyle name="Normal 6 4 2 4 5" xfId="40971"/>
    <cellStyle name="Normal 6 4 2 4 5 2" xfId="40972"/>
    <cellStyle name="Normal 6 4 2 4 6" xfId="40973"/>
    <cellStyle name="Normal 6 4 2 4 6 2" xfId="40974"/>
    <cellStyle name="Normal 6 4 2 4 7" xfId="40975"/>
    <cellStyle name="Normal 6 4 2 4 7 2" xfId="40976"/>
    <cellStyle name="Normal 6 4 2 4 8" xfId="40977"/>
    <cellStyle name="Normal 6 4 2 4 9" xfId="40978"/>
    <cellStyle name="Normal 6 4 2 5" xfId="11328"/>
    <cellStyle name="Normal 6 4 2 5 10" xfId="40979"/>
    <cellStyle name="Normal 6 4 2 5 11" xfId="40980"/>
    <cellStyle name="Normal 6 4 2 5 12" xfId="40981"/>
    <cellStyle name="Normal 6 4 2 5 13" xfId="40982"/>
    <cellStyle name="Normal 6 4 2 5 14" xfId="40983"/>
    <cellStyle name="Normal 6 4 2 5 15" xfId="40984"/>
    <cellStyle name="Normal 6 4 2 5 16" xfId="40985"/>
    <cellStyle name="Normal 6 4 2 5 2" xfId="40986"/>
    <cellStyle name="Normal 6 4 2 5 2 2" xfId="40987"/>
    <cellStyle name="Normal 6 4 2 5 2 2 2" xfId="40988"/>
    <cellStyle name="Normal 6 4 2 5 2 3" xfId="40989"/>
    <cellStyle name="Normal 6 4 2 5 2 3 2" xfId="40990"/>
    <cellStyle name="Normal 6 4 2 5 2 4" xfId="40991"/>
    <cellStyle name="Normal 6 4 2 5 2 4 2" xfId="40992"/>
    <cellStyle name="Normal 6 4 2 5 2 5" xfId="40993"/>
    <cellStyle name="Normal 6 4 2 5 2 5 2" xfId="40994"/>
    <cellStyle name="Normal 6 4 2 5 2 6" xfId="40995"/>
    <cellStyle name="Normal 6 4 2 5 2 7" xfId="40996"/>
    <cellStyle name="Normal 6 4 2 5 2 8" xfId="40997"/>
    <cellStyle name="Normal 6 4 2 5 2 9" xfId="40998"/>
    <cellStyle name="Normal 6 4 2 5 3" xfId="40999"/>
    <cellStyle name="Normal 6 4 2 5 3 2" xfId="41000"/>
    <cellStyle name="Normal 6 4 2 5 3 2 2" xfId="41001"/>
    <cellStyle name="Normal 6 4 2 5 3 3" xfId="41002"/>
    <cellStyle name="Normal 6 4 2 5 3 4" xfId="41003"/>
    <cellStyle name="Normal 6 4 2 5 3 5" xfId="41004"/>
    <cellStyle name="Normal 6 4 2 5 4" xfId="41005"/>
    <cellStyle name="Normal 6 4 2 5 4 2" xfId="41006"/>
    <cellStyle name="Normal 6 4 2 5 5" xfId="41007"/>
    <cellStyle name="Normal 6 4 2 5 5 2" xfId="41008"/>
    <cellStyle name="Normal 6 4 2 5 6" xfId="41009"/>
    <cellStyle name="Normal 6 4 2 5 6 2" xfId="41010"/>
    <cellStyle name="Normal 6 4 2 5 7" xfId="41011"/>
    <cellStyle name="Normal 6 4 2 5 7 2" xfId="41012"/>
    <cellStyle name="Normal 6 4 2 5 8" xfId="41013"/>
    <cellStyle name="Normal 6 4 2 5 9" xfId="41014"/>
    <cellStyle name="Normal 6 4 2 6" xfId="11329"/>
    <cellStyle name="Normal 6 4 2 6 10" xfId="41015"/>
    <cellStyle name="Normal 6 4 2 6 11" xfId="41016"/>
    <cellStyle name="Normal 6 4 2 6 2" xfId="41017"/>
    <cellStyle name="Normal 6 4 2 6 2 2" xfId="41018"/>
    <cellStyle name="Normal 6 4 2 6 3" xfId="41019"/>
    <cellStyle name="Normal 6 4 2 6 3 2" xfId="41020"/>
    <cellStyle name="Normal 6 4 2 6 4" xfId="41021"/>
    <cellStyle name="Normal 6 4 2 6 4 2" xfId="41022"/>
    <cellStyle name="Normal 6 4 2 6 5" xfId="41023"/>
    <cellStyle name="Normal 6 4 2 6 5 2" xfId="41024"/>
    <cellStyle name="Normal 6 4 2 6 6" xfId="41025"/>
    <cellStyle name="Normal 6 4 2 6 7" xfId="41026"/>
    <cellStyle name="Normal 6 4 2 6 8" xfId="41027"/>
    <cellStyle name="Normal 6 4 2 6 9" xfId="41028"/>
    <cellStyle name="Normal 6 4 2 7" xfId="11330"/>
    <cellStyle name="Normal 6 4 2 7 2" xfId="41029"/>
    <cellStyle name="Normal 6 4 2 7 2 2" xfId="41030"/>
    <cellStyle name="Normal 6 4 2 7 3" xfId="41031"/>
    <cellStyle name="Normal 6 4 2 7 4" xfId="41032"/>
    <cellStyle name="Normal 6 4 2 7 5" xfId="41033"/>
    <cellStyle name="Normal 6 4 2 7 6" xfId="41034"/>
    <cellStyle name="Normal 6 4 2 8" xfId="11331"/>
    <cellStyle name="Normal 6 4 2 8 2" xfId="41035"/>
    <cellStyle name="Normal 6 4 2 8 3" xfId="41036"/>
    <cellStyle name="Normal 6 4 2 9" xfId="11332"/>
    <cellStyle name="Normal 6 4 2 9 2" xfId="41037"/>
    <cellStyle name="Normal 6 4 2 9 3" xfId="41038"/>
    <cellStyle name="Normal 6 4 20" xfId="11333"/>
    <cellStyle name="Normal 6 4 20 2" xfId="41039"/>
    <cellStyle name="Normal 6 4 21" xfId="11334"/>
    <cellStyle name="Normal 6 4 22" xfId="11335"/>
    <cellStyle name="Normal 6 4 23" xfId="12027"/>
    <cellStyle name="Normal 6 4 24" xfId="40685"/>
    <cellStyle name="Normal 6 4 25" xfId="41040"/>
    <cellStyle name="Normal 6 4 26" xfId="41041"/>
    <cellStyle name="Normal 6 4 27" xfId="41042"/>
    <cellStyle name="Normal 6 4 28" xfId="41043"/>
    <cellStyle name="Normal 6 4 29" xfId="41044"/>
    <cellStyle name="Normal 6 4 3" xfId="931"/>
    <cellStyle name="Normal 6 4 3 10" xfId="11337"/>
    <cellStyle name="Normal 6 4 3 10 2" xfId="41046"/>
    <cellStyle name="Normal 6 4 3 11" xfId="11338"/>
    <cellStyle name="Normal 6 4 3 12" xfId="11339"/>
    <cellStyle name="Normal 6 4 3 13" xfId="11340"/>
    <cellStyle name="Normal 6 4 3 14" xfId="11341"/>
    <cellStyle name="Normal 6 4 3 15" xfId="12030"/>
    <cellStyle name="Normal 6 4 3 16" xfId="41045"/>
    <cellStyle name="Normal 6 4 3 17" xfId="41047"/>
    <cellStyle name="Normal 6 4 3 18" xfId="41048"/>
    <cellStyle name="Normal 6 4 3 19" xfId="41049"/>
    <cellStyle name="Normal 6 4 3 2" xfId="11336"/>
    <cellStyle name="Normal 6 4 3 2 10" xfId="41050"/>
    <cellStyle name="Normal 6 4 3 2 11" xfId="41051"/>
    <cellStyle name="Normal 6 4 3 2 12" xfId="41052"/>
    <cellStyle name="Normal 6 4 3 2 13" xfId="41053"/>
    <cellStyle name="Normal 6 4 3 2 14" xfId="41054"/>
    <cellStyle name="Normal 6 4 3 2 15" xfId="41055"/>
    <cellStyle name="Normal 6 4 3 2 2" xfId="41056"/>
    <cellStyle name="Normal 6 4 3 2 2 2" xfId="41057"/>
    <cellStyle name="Normal 6 4 3 2 2 2 2" xfId="41058"/>
    <cellStyle name="Normal 6 4 3 2 2 3" xfId="41059"/>
    <cellStyle name="Normal 6 4 3 2 2 4" xfId="41060"/>
    <cellStyle name="Normal 6 4 3 2 2 5" xfId="41061"/>
    <cellStyle name="Normal 6 4 3 2 2 6" xfId="41062"/>
    <cellStyle name="Normal 6 4 3 2 2 7" xfId="41063"/>
    <cellStyle name="Normal 6 4 3 2 3" xfId="41064"/>
    <cellStyle name="Normal 6 4 3 2 3 2" xfId="41065"/>
    <cellStyle name="Normal 6 4 3 2 3 3" xfId="41066"/>
    <cellStyle name="Normal 6 4 3 2 3 4" xfId="41067"/>
    <cellStyle name="Normal 6 4 3 2 4" xfId="41068"/>
    <cellStyle name="Normal 6 4 3 2 4 2" xfId="41069"/>
    <cellStyle name="Normal 6 4 3 2 4 3" xfId="41070"/>
    <cellStyle name="Normal 6 4 3 2 4 4" xfId="41071"/>
    <cellStyle name="Normal 6 4 3 2 5" xfId="41072"/>
    <cellStyle name="Normal 6 4 3 2 5 2" xfId="41073"/>
    <cellStyle name="Normal 6 4 3 2 5 3" xfId="41074"/>
    <cellStyle name="Normal 6 4 3 2 5 4" xfId="41075"/>
    <cellStyle name="Normal 6 4 3 2 6" xfId="41076"/>
    <cellStyle name="Normal 6 4 3 2 6 2" xfId="41077"/>
    <cellStyle name="Normal 6 4 3 2 6 3" xfId="41078"/>
    <cellStyle name="Normal 6 4 3 2 7" xfId="41079"/>
    <cellStyle name="Normal 6 4 3 2 7 2" xfId="41080"/>
    <cellStyle name="Normal 6 4 3 2 8" xfId="41081"/>
    <cellStyle name="Normal 6 4 3 2 8 2" xfId="41082"/>
    <cellStyle name="Normal 6 4 3 2 9" xfId="41083"/>
    <cellStyle name="Normal 6 4 3 2 9 2" xfId="41084"/>
    <cellStyle name="Normal 6 4 3 20" xfId="41085"/>
    <cellStyle name="Normal 6 4 3 3" xfId="11343"/>
    <cellStyle name="Normal 6 4 3 3 2" xfId="41086"/>
    <cellStyle name="Normal 6 4 3 3 2 2" xfId="41087"/>
    <cellStyle name="Normal 6 4 3 3 2 3" xfId="41088"/>
    <cellStyle name="Normal 6 4 3 3 2 4" xfId="41089"/>
    <cellStyle name="Normal 6 4 3 3 3" xfId="41090"/>
    <cellStyle name="Normal 6 4 3 3 3 2" xfId="41091"/>
    <cellStyle name="Normal 6 4 3 3 3 3" xfId="41092"/>
    <cellStyle name="Normal 6 4 3 3 4" xfId="41093"/>
    <cellStyle name="Normal 6 4 3 3 4 2" xfId="41094"/>
    <cellStyle name="Normal 6 4 3 3 5" xfId="41095"/>
    <cellStyle name="Normal 6 4 3 3 5 2" xfId="41096"/>
    <cellStyle name="Normal 6 4 3 3 6" xfId="41097"/>
    <cellStyle name="Normal 6 4 3 3 6 2" xfId="41098"/>
    <cellStyle name="Normal 6 4 3 3 7" xfId="41099"/>
    <cellStyle name="Normal 6 4 3 4" xfId="11344"/>
    <cellStyle name="Normal 6 4 3 4 2" xfId="41100"/>
    <cellStyle name="Normal 6 4 3 4 3" xfId="41101"/>
    <cellStyle name="Normal 6 4 3 4 4" xfId="41102"/>
    <cellStyle name="Normal 6 4 3 5" xfId="11345"/>
    <cellStyle name="Normal 6 4 3 5 2" xfId="41103"/>
    <cellStyle name="Normal 6 4 3 5 3" xfId="41104"/>
    <cellStyle name="Normal 6 4 3 5 4" xfId="41105"/>
    <cellStyle name="Normal 6 4 3 6" xfId="11346"/>
    <cellStyle name="Normal 6 4 3 6 2" xfId="41106"/>
    <cellStyle name="Normal 6 4 3 6 3" xfId="41107"/>
    <cellStyle name="Normal 6 4 3 6 4" xfId="41108"/>
    <cellStyle name="Normal 6 4 3 7" xfId="11347"/>
    <cellStyle name="Normal 6 4 3 7 2" xfId="41109"/>
    <cellStyle name="Normal 6 4 3 7 3" xfId="41110"/>
    <cellStyle name="Normal 6 4 3 8" xfId="11348"/>
    <cellStyle name="Normal 6 4 3 8 2" xfId="41111"/>
    <cellStyle name="Normal 6 4 3 9" xfId="11349"/>
    <cellStyle name="Normal 6 4 3 9 2" xfId="41112"/>
    <cellStyle name="Normal 6 4 30" xfId="41113"/>
    <cellStyle name="Normal 6 4 4" xfId="932"/>
    <cellStyle name="Normal 6 4 4 10" xfId="11351"/>
    <cellStyle name="Normal 6 4 4 10 2" xfId="41115"/>
    <cellStyle name="Normal 6 4 4 11" xfId="11352"/>
    <cellStyle name="Normal 6 4 4 12" xfId="11353"/>
    <cellStyle name="Normal 6 4 4 13" xfId="11354"/>
    <cellStyle name="Normal 6 4 4 14" xfId="11355"/>
    <cellStyle name="Normal 6 4 4 15" xfId="12031"/>
    <cellStyle name="Normal 6 4 4 16" xfId="41114"/>
    <cellStyle name="Normal 6 4 4 17" xfId="41116"/>
    <cellStyle name="Normal 6 4 4 18" xfId="41117"/>
    <cellStyle name="Normal 6 4 4 19" xfId="41118"/>
    <cellStyle name="Normal 6 4 4 2" xfId="11350"/>
    <cellStyle name="Normal 6 4 4 2 10" xfId="41119"/>
    <cellStyle name="Normal 6 4 4 2 11" xfId="41120"/>
    <cellStyle name="Normal 6 4 4 2 12" xfId="41121"/>
    <cellStyle name="Normal 6 4 4 2 13" xfId="41122"/>
    <cellStyle name="Normal 6 4 4 2 14" xfId="41123"/>
    <cellStyle name="Normal 6 4 4 2 15" xfId="41124"/>
    <cellStyle name="Normal 6 4 4 2 2" xfId="41125"/>
    <cellStyle name="Normal 6 4 4 2 2 2" xfId="41126"/>
    <cellStyle name="Normal 6 4 4 2 2 2 2" xfId="41127"/>
    <cellStyle name="Normal 6 4 4 2 2 3" xfId="41128"/>
    <cellStyle name="Normal 6 4 4 2 2 4" xfId="41129"/>
    <cellStyle name="Normal 6 4 4 2 2 5" xfId="41130"/>
    <cellStyle name="Normal 6 4 4 2 2 6" xfId="41131"/>
    <cellStyle name="Normal 6 4 4 2 2 7" xfId="41132"/>
    <cellStyle name="Normal 6 4 4 2 3" xfId="41133"/>
    <cellStyle name="Normal 6 4 4 2 3 2" xfId="41134"/>
    <cellStyle name="Normal 6 4 4 2 3 3" xfId="41135"/>
    <cellStyle name="Normal 6 4 4 2 3 4" xfId="41136"/>
    <cellStyle name="Normal 6 4 4 2 4" xfId="41137"/>
    <cellStyle name="Normal 6 4 4 2 4 2" xfId="41138"/>
    <cellStyle name="Normal 6 4 4 2 4 3" xfId="41139"/>
    <cellStyle name="Normal 6 4 4 2 4 4" xfId="41140"/>
    <cellStyle name="Normal 6 4 4 2 5" xfId="41141"/>
    <cellStyle name="Normal 6 4 4 2 5 2" xfId="41142"/>
    <cellStyle name="Normal 6 4 4 2 5 3" xfId="41143"/>
    <cellStyle name="Normal 6 4 4 2 5 4" xfId="41144"/>
    <cellStyle name="Normal 6 4 4 2 6" xfId="41145"/>
    <cellStyle name="Normal 6 4 4 2 6 2" xfId="41146"/>
    <cellStyle name="Normal 6 4 4 2 6 3" xfId="41147"/>
    <cellStyle name="Normal 6 4 4 2 7" xfId="41148"/>
    <cellStyle name="Normal 6 4 4 2 7 2" xfId="41149"/>
    <cellStyle name="Normal 6 4 4 2 8" xfId="41150"/>
    <cellStyle name="Normal 6 4 4 2 8 2" xfId="41151"/>
    <cellStyle name="Normal 6 4 4 2 9" xfId="41152"/>
    <cellStyle name="Normal 6 4 4 2 9 2" xfId="41153"/>
    <cellStyle name="Normal 6 4 4 20" xfId="41154"/>
    <cellStyle name="Normal 6 4 4 3" xfId="11357"/>
    <cellStyle name="Normal 6 4 4 3 2" xfId="41155"/>
    <cellStyle name="Normal 6 4 4 3 2 2" xfId="41156"/>
    <cellStyle name="Normal 6 4 4 3 2 3" xfId="41157"/>
    <cellStyle name="Normal 6 4 4 3 2 4" xfId="41158"/>
    <cellStyle name="Normal 6 4 4 3 3" xfId="41159"/>
    <cellStyle name="Normal 6 4 4 3 3 2" xfId="41160"/>
    <cellStyle name="Normal 6 4 4 3 3 3" xfId="41161"/>
    <cellStyle name="Normal 6 4 4 3 4" xfId="41162"/>
    <cellStyle name="Normal 6 4 4 3 4 2" xfId="41163"/>
    <cellStyle name="Normal 6 4 4 3 5" xfId="41164"/>
    <cellStyle name="Normal 6 4 4 3 5 2" xfId="41165"/>
    <cellStyle name="Normal 6 4 4 3 6" xfId="41166"/>
    <cellStyle name="Normal 6 4 4 3 6 2" xfId="41167"/>
    <cellStyle name="Normal 6 4 4 3 7" xfId="41168"/>
    <cellStyle name="Normal 6 4 4 4" xfId="11358"/>
    <cellStyle name="Normal 6 4 4 4 2" xfId="41169"/>
    <cellStyle name="Normal 6 4 4 4 3" xfId="41170"/>
    <cellStyle name="Normal 6 4 4 4 4" xfId="41171"/>
    <cellStyle name="Normal 6 4 4 5" xfId="11359"/>
    <cellStyle name="Normal 6 4 4 5 2" xfId="41172"/>
    <cellStyle name="Normal 6 4 4 5 3" xfId="41173"/>
    <cellStyle name="Normal 6 4 4 5 4" xfId="41174"/>
    <cellStyle name="Normal 6 4 4 6" xfId="11360"/>
    <cellStyle name="Normal 6 4 4 6 2" xfId="41175"/>
    <cellStyle name="Normal 6 4 4 6 3" xfId="41176"/>
    <cellStyle name="Normal 6 4 4 6 4" xfId="41177"/>
    <cellStyle name="Normal 6 4 4 7" xfId="11361"/>
    <cellStyle name="Normal 6 4 4 7 2" xfId="41178"/>
    <cellStyle name="Normal 6 4 4 7 3" xfId="41179"/>
    <cellStyle name="Normal 6 4 4 8" xfId="11362"/>
    <cellStyle name="Normal 6 4 4 8 2" xfId="41180"/>
    <cellStyle name="Normal 6 4 4 9" xfId="11363"/>
    <cellStyle name="Normal 6 4 4 9 2" xfId="41181"/>
    <cellStyle name="Normal 6 4 5" xfId="933"/>
    <cellStyle name="Normal 6 4 5 10" xfId="11365"/>
    <cellStyle name="Normal 6 4 5 10 2" xfId="41183"/>
    <cellStyle name="Normal 6 4 5 11" xfId="11366"/>
    <cellStyle name="Normal 6 4 5 12" xfId="11367"/>
    <cellStyle name="Normal 6 4 5 13" xfId="11368"/>
    <cellStyle name="Normal 6 4 5 14" xfId="11369"/>
    <cellStyle name="Normal 6 4 5 15" xfId="12032"/>
    <cellStyle name="Normal 6 4 5 16" xfId="41182"/>
    <cellStyle name="Normal 6 4 5 17" xfId="41184"/>
    <cellStyle name="Normal 6 4 5 18" xfId="41185"/>
    <cellStyle name="Normal 6 4 5 19" xfId="41186"/>
    <cellStyle name="Normal 6 4 5 2" xfId="11364"/>
    <cellStyle name="Normal 6 4 5 2 10" xfId="41187"/>
    <cellStyle name="Normal 6 4 5 2 11" xfId="41188"/>
    <cellStyle name="Normal 6 4 5 2 12" xfId="41189"/>
    <cellStyle name="Normal 6 4 5 2 13" xfId="41190"/>
    <cellStyle name="Normal 6 4 5 2 14" xfId="41191"/>
    <cellStyle name="Normal 6 4 5 2 15" xfId="41192"/>
    <cellStyle name="Normal 6 4 5 2 2" xfId="41193"/>
    <cellStyle name="Normal 6 4 5 2 2 2" xfId="41194"/>
    <cellStyle name="Normal 6 4 5 2 2 2 2" xfId="41195"/>
    <cellStyle name="Normal 6 4 5 2 2 3" xfId="41196"/>
    <cellStyle name="Normal 6 4 5 2 2 4" xfId="41197"/>
    <cellStyle name="Normal 6 4 5 2 2 5" xfId="41198"/>
    <cellStyle name="Normal 6 4 5 2 2 6" xfId="41199"/>
    <cellStyle name="Normal 6 4 5 2 2 7" xfId="41200"/>
    <cellStyle name="Normal 6 4 5 2 3" xfId="41201"/>
    <cellStyle name="Normal 6 4 5 2 3 2" xfId="41202"/>
    <cellStyle name="Normal 6 4 5 2 3 3" xfId="41203"/>
    <cellStyle name="Normal 6 4 5 2 3 4" xfId="41204"/>
    <cellStyle name="Normal 6 4 5 2 4" xfId="41205"/>
    <cellStyle name="Normal 6 4 5 2 4 2" xfId="41206"/>
    <cellStyle name="Normal 6 4 5 2 4 3" xfId="41207"/>
    <cellStyle name="Normal 6 4 5 2 4 4" xfId="41208"/>
    <cellStyle name="Normal 6 4 5 2 5" xfId="41209"/>
    <cellStyle name="Normal 6 4 5 2 5 2" xfId="41210"/>
    <cellStyle name="Normal 6 4 5 2 5 3" xfId="41211"/>
    <cellStyle name="Normal 6 4 5 2 5 4" xfId="41212"/>
    <cellStyle name="Normal 6 4 5 2 6" xfId="41213"/>
    <cellStyle name="Normal 6 4 5 2 6 2" xfId="41214"/>
    <cellStyle name="Normal 6 4 5 2 6 3" xfId="41215"/>
    <cellStyle name="Normal 6 4 5 2 7" xfId="41216"/>
    <cellStyle name="Normal 6 4 5 2 7 2" xfId="41217"/>
    <cellStyle name="Normal 6 4 5 2 8" xfId="41218"/>
    <cellStyle name="Normal 6 4 5 2 8 2" xfId="41219"/>
    <cellStyle name="Normal 6 4 5 2 9" xfId="41220"/>
    <cellStyle name="Normal 6 4 5 2 9 2" xfId="41221"/>
    <cellStyle name="Normal 6 4 5 20" xfId="41222"/>
    <cellStyle name="Normal 6 4 5 3" xfId="11371"/>
    <cellStyle name="Normal 6 4 5 3 2" xfId="41223"/>
    <cellStyle name="Normal 6 4 5 3 2 2" xfId="41224"/>
    <cellStyle name="Normal 6 4 5 3 2 3" xfId="41225"/>
    <cellStyle name="Normal 6 4 5 3 2 4" xfId="41226"/>
    <cellStyle name="Normal 6 4 5 3 3" xfId="41227"/>
    <cellStyle name="Normal 6 4 5 3 3 2" xfId="41228"/>
    <cellStyle name="Normal 6 4 5 3 3 3" xfId="41229"/>
    <cellStyle name="Normal 6 4 5 3 4" xfId="41230"/>
    <cellStyle name="Normal 6 4 5 3 4 2" xfId="41231"/>
    <cellStyle name="Normal 6 4 5 3 5" xfId="41232"/>
    <cellStyle name="Normal 6 4 5 3 5 2" xfId="41233"/>
    <cellStyle name="Normal 6 4 5 3 6" xfId="41234"/>
    <cellStyle name="Normal 6 4 5 3 6 2" xfId="41235"/>
    <cellStyle name="Normal 6 4 5 3 7" xfId="41236"/>
    <cellStyle name="Normal 6 4 5 4" xfId="11372"/>
    <cellStyle name="Normal 6 4 5 4 2" xfId="41237"/>
    <cellStyle name="Normal 6 4 5 4 3" xfId="41238"/>
    <cellStyle name="Normal 6 4 5 4 4" xfId="41239"/>
    <cellStyle name="Normal 6 4 5 5" xfId="11373"/>
    <cellStyle name="Normal 6 4 5 5 2" xfId="41240"/>
    <cellStyle name="Normal 6 4 5 5 3" xfId="41241"/>
    <cellStyle name="Normal 6 4 5 5 4" xfId="41242"/>
    <cellStyle name="Normal 6 4 5 6" xfId="11374"/>
    <cellStyle name="Normal 6 4 5 6 2" xfId="41243"/>
    <cellStyle name="Normal 6 4 5 6 3" xfId="41244"/>
    <cellStyle name="Normal 6 4 5 6 4" xfId="41245"/>
    <cellStyle name="Normal 6 4 5 7" xfId="11375"/>
    <cellStyle name="Normal 6 4 5 7 2" xfId="41246"/>
    <cellStyle name="Normal 6 4 5 7 3" xfId="41247"/>
    <cellStyle name="Normal 6 4 5 8" xfId="11376"/>
    <cellStyle name="Normal 6 4 5 8 2" xfId="41248"/>
    <cellStyle name="Normal 6 4 5 9" xfId="11377"/>
    <cellStyle name="Normal 6 4 5 9 2" xfId="41249"/>
    <cellStyle name="Normal 6 4 6" xfId="934"/>
    <cellStyle name="Normal 6 4 6 10" xfId="11379"/>
    <cellStyle name="Normal 6 4 6 10 2" xfId="41251"/>
    <cellStyle name="Normal 6 4 6 11" xfId="11380"/>
    <cellStyle name="Normal 6 4 6 12" xfId="11381"/>
    <cellStyle name="Normal 6 4 6 13" xfId="11382"/>
    <cellStyle name="Normal 6 4 6 14" xfId="11383"/>
    <cellStyle name="Normal 6 4 6 15" xfId="12033"/>
    <cellStyle name="Normal 6 4 6 16" xfId="41250"/>
    <cellStyle name="Normal 6 4 6 17" xfId="41252"/>
    <cellStyle name="Normal 6 4 6 18" xfId="41253"/>
    <cellStyle name="Normal 6 4 6 19" xfId="41254"/>
    <cellStyle name="Normal 6 4 6 2" xfId="11378"/>
    <cellStyle name="Normal 6 4 6 2 10" xfId="41255"/>
    <cellStyle name="Normal 6 4 6 2 11" xfId="41256"/>
    <cellStyle name="Normal 6 4 6 2 12" xfId="41257"/>
    <cellStyle name="Normal 6 4 6 2 13" xfId="41258"/>
    <cellStyle name="Normal 6 4 6 2 14" xfId="41259"/>
    <cellStyle name="Normal 6 4 6 2 15" xfId="41260"/>
    <cellStyle name="Normal 6 4 6 2 2" xfId="41261"/>
    <cellStyle name="Normal 6 4 6 2 2 2" xfId="41262"/>
    <cellStyle name="Normal 6 4 6 2 2 2 2" xfId="41263"/>
    <cellStyle name="Normal 6 4 6 2 2 3" xfId="41264"/>
    <cellStyle name="Normal 6 4 6 2 2 4" xfId="41265"/>
    <cellStyle name="Normal 6 4 6 2 2 5" xfId="41266"/>
    <cellStyle name="Normal 6 4 6 2 2 6" xfId="41267"/>
    <cellStyle name="Normal 6 4 6 2 2 7" xfId="41268"/>
    <cellStyle name="Normal 6 4 6 2 3" xfId="41269"/>
    <cellStyle name="Normal 6 4 6 2 3 2" xfId="41270"/>
    <cellStyle name="Normal 6 4 6 2 3 3" xfId="41271"/>
    <cellStyle name="Normal 6 4 6 2 3 4" xfId="41272"/>
    <cellStyle name="Normal 6 4 6 2 4" xfId="41273"/>
    <cellStyle name="Normal 6 4 6 2 4 2" xfId="41274"/>
    <cellStyle name="Normal 6 4 6 2 4 3" xfId="41275"/>
    <cellStyle name="Normal 6 4 6 2 4 4" xfId="41276"/>
    <cellStyle name="Normal 6 4 6 2 5" xfId="41277"/>
    <cellStyle name="Normal 6 4 6 2 5 2" xfId="41278"/>
    <cellStyle name="Normal 6 4 6 2 5 3" xfId="41279"/>
    <cellStyle name="Normal 6 4 6 2 5 4" xfId="41280"/>
    <cellStyle name="Normal 6 4 6 2 6" xfId="41281"/>
    <cellStyle name="Normal 6 4 6 2 6 2" xfId="41282"/>
    <cellStyle name="Normal 6 4 6 2 6 3" xfId="41283"/>
    <cellStyle name="Normal 6 4 6 2 7" xfId="41284"/>
    <cellStyle name="Normal 6 4 6 2 7 2" xfId="41285"/>
    <cellStyle name="Normal 6 4 6 2 8" xfId="41286"/>
    <cellStyle name="Normal 6 4 6 2 8 2" xfId="41287"/>
    <cellStyle name="Normal 6 4 6 2 9" xfId="41288"/>
    <cellStyle name="Normal 6 4 6 2 9 2" xfId="41289"/>
    <cellStyle name="Normal 6 4 6 20" xfId="41290"/>
    <cellStyle name="Normal 6 4 6 3" xfId="11385"/>
    <cellStyle name="Normal 6 4 6 3 2" xfId="41291"/>
    <cellStyle name="Normal 6 4 6 3 2 2" xfId="41292"/>
    <cellStyle name="Normal 6 4 6 3 2 3" xfId="41293"/>
    <cellStyle name="Normal 6 4 6 3 2 4" xfId="41294"/>
    <cellStyle name="Normal 6 4 6 3 3" xfId="41295"/>
    <cellStyle name="Normal 6 4 6 3 3 2" xfId="41296"/>
    <cellStyle name="Normal 6 4 6 3 3 3" xfId="41297"/>
    <cellStyle name="Normal 6 4 6 3 4" xfId="41298"/>
    <cellStyle name="Normal 6 4 6 3 4 2" xfId="41299"/>
    <cellStyle name="Normal 6 4 6 3 5" xfId="41300"/>
    <cellStyle name="Normal 6 4 6 3 5 2" xfId="41301"/>
    <cellStyle name="Normal 6 4 6 3 6" xfId="41302"/>
    <cellStyle name="Normal 6 4 6 3 6 2" xfId="41303"/>
    <cellStyle name="Normal 6 4 6 3 7" xfId="41304"/>
    <cellStyle name="Normal 6 4 6 4" xfId="11386"/>
    <cellStyle name="Normal 6 4 6 4 2" xfId="41305"/>
    <cellStyle name="Normal 6 4 6 4 3" xfId="41306"/>
    <cellStyle name="Normal 6 4 6 4 4" xfId="41307"/>
    <cellStyle name="Normal 6 4 6 5" xfId="11387"/>
    <cellStyle name="Normal 6 4 6 5 2" xfId="41308"/>
    <cellStyle name="Normal 6 4 6 5 3" xfId="41309"/>
    <cellStyle name="Normal 6 4 6 5 4" xfId="41310"/>
    <cellStyle name="Normal 6 4 6 6" xfId="11388"/>
    <cellStyle name="Normal 6 4 6 6 2" xfId="41311"/>
    <cellStyle name="Normal 6 4 6 6 3" xfId="41312"/>
    <cellStyle name="Normal 6 4 6 6 4" xfId="41313"/>
    <cellStyle name="Normal 6 4 6 7" xfId="11389"/>
    <cellStyle name="Normal 6 4 6 7 2" xfId="41314"/>
    <cellStyle name="Normal 6 4 6 7 3" xfId="41315"/>
    <cellStyle name="Normal 6 4 6 8" xfId="11390"/>
    <cellStyle name="Normal 6 4 6 8 2" xfId="41316"/>
    <cellStyle name="Normal 6 4 6 9" xfId="11391"/>
    <cellStyle name="Normal 6 4 6 9 2" xfId="41317"/>
    <cellStyle name="Normal 6 4 7" xfId="935"/>
    <cellStyle name="Normal 6 4 7 10" xfId="11393"/>
    <cellStyle name="Normal 6 4 7 10 2" xfId="41319"/>
    <cellStyle name="Normal 6 4 7 11" xfId="11394"/>
    <cellStyle name="Normal 6 4 7 12" xfId="11395"/>
    <cellStyle name="Normal 6 4 7 13" xfId="11396"/>
    <cellStyle name="Normal 6 4 7 14" xfId="11397"/>
    <cellStyle name="Normal 6 4 7 15" xfId="12034"/>
    <cellStyle name="Normal 6 4 7 16" xfId="41318"/>
    <cellStyle name="Normal 6 4 7 17" xfId="41320"/>
    <cellStyle name="Normal 6 4 7 18" xfId="41321"/>
    <cellStyle name="Normal 6 4 7 19" xfId="41322"/>
    <cellStyle name="Normal 6 4 7 2" xfId="11392"/>
    <cellStyle name="Normal 6 4 7 2 10" xfId="41323"/>
    <cellStyle name="Normal 6 4 7 2 11" xfId="41324"/>
    <cellStyle name="Normal 6 4 7 2 12" xfId="41325"/>
    <cellStyle name="Normal 6 4 7 2 13" xfId="41326"/>
    <cellStyle name="Normal 6 4 7 2 14" xfId="41327"/>
    <cellStyle name="Normal 6 4 7 2 15" xfId="41328"/>
    <cellStyle name="Normal 6 4 7 2 2" xfId="41329"/>
    <cellStyle name="Normal 6 4 7 2 2 2" xfId="41330"/>
    <cellStyle name="Normal 6 4 7 2 2 2 2" xfId="41331"/>
    <cellStyle name="Normal 6 4 7 2 2 3" xfId="41332"/>
    <cellStyle name="Normal 6 4 7 2 2 4" xfId="41333"/>
    <cellStyle name="Normal 6 4 7 2 2 5" xfId="41334"/>
    <cellStyle name="Normal 6 4 7 2 2 6" xfId="41335"/>
    <cellStyle name="Normal 6 4 7 2 2 7" xfId="41336"/>
    <cellStyle name="Normal 6 4 7 2 3" xfId="41337"/>
    <cellStyle name="Normal 6 4 7 2 3 2" xfId="41338"/>
    <cellStyle name="Normal 6 4 7 2 3 3" xfId="41339"/>
    <cellStyle name="Normal 6 4 7 2 3 4" xfId="41340"/>
    <cellStyle name="Normal 6 4 7 2 4" xfId="41341"/>
    <cellStyle name="Normal 6 4 7 2 4 2" xfId="41342"/>
    <cellStyle name="Normal 6 4 7 2 4 3" xfId="41343"/>
    <cellStyle name="Normal 6 4 7 2 4 4" xfId="41344"/>
    <cellStyle name="Normal 6 4 7 2 5" xfId="41345"/>
    <cellStyle name="Normal 6 4 7 2 5 2" xfId="41346"/>
    <cellStyle name="Normal 6 4 7 2 5 3" xfId="41347"/>
    <cellStyle name="Normal 6 4 7 2 5 4" xfId="41348"/>
    <cellStyle name="Normal 6 4 7 2 6" xfId="41349"/>
    <cellStyle name="Normal 6 4 7 2 6 2" xfId="41350"/>
    <cellStyle name="Normal 6 4 7 2 6 3" xfId="41351"/>
    <cellStyle name="Normal 6 4 7 2 7" xfId="41352"/>
    <cellStyle name="Normal 6 4 7 2 7 2" xfId="41353"/>
    <cellStyle name="Normal 6 4 7 2 8" xfId="41354"/>
    <cellStyle name="Normal 6 4 7 2 8 2" xfId="41355"/>
    <cellStyle name="Normal 6 4 7 2 9" xfId="41356"/>
    <cellStyle name="Normal 6 4 7 2 9 2" xfId="41357"/>
    <cellStyle name="Normal 6 4 7 20" xfId="41358"/>
    <cellStyle name="Normal 6 4 7 3" xfId="11399"/>
    <cellStyle name="Normal 6 4 7 3 2" xfId="41359"/>
    <cellStyle name="Normal 6 4 7 3 2 2" xfId="41360"/>
    <cellStyle name="Normal 6 4 7 3 2 3" xfId="41361"/>
    <cellStyle name="Normal 6 4 7 3 2 4" xfId="41362"/>
    <cellStyle name="Normal 6 4 7 3 3" xfId="41363"/>
    <cellStyle name="Normal 6 4 7 3 3 2" xfId="41364"/>
    <cellStyle name="Normal 6 4 7 3 3 3" xfId="41365"/>
    <cellStyle name="Normal 6 4 7 3 4" xfId="41366"/>
    <cellStyle name="Normal 6 4 7 3 4 2" xfId="41367"/>
    <cellStyle name="Normal 6 4 7 3 5" xfId="41368"/>
    <cellStyle name="Normal 6 4 7 3 5 2" xfId="41369"/>
    <cellStyle name="Normal 6 4 7 3 6" xfId="41370"/>
    <cellStyle name="Normal 6 4 7 3 6 2" xfId="41371"/>
    <cellStyle name="Normal 6 4 7 3 7" xfId="41372"/>
    <cellStyle name="Normal 6 4 7 4" xfId="11400"/>
    <cellStyle name="Normal 6 4 7 4 2" xfId="41373"/>
    <cellStyle name="Normal 6 4 7 4 3" xfId="41374"/>
    <cellStyle name="Normal 6 4 7 4 4" xfId="41375"/>
    <cellStyle name="Normal 6 4 7 5" xfId="11401"/>
    <cellStyle name="Normal 6 4 7 5 2" xfId="41376"/>
    <cellStyle name="Normal 6 4 7 5 3" xfId="41377"/>
    <cellStyle name="Normal 6 4 7 5 4" xfId="41378"/>
    <cellStyle name="Normal 6 4 7 6" xfId="11402"/>
    <cellStyle name="Normal 6 4 7 6 2" xfId="41379"/>
    <cellStyle name="Normal 6 4 7 6 3" xfId="41380"/>
    <cellStyle name="Normal 6 4 7 6 4" xfId="41381"/>
    <cellStyle name="Normal 6 4 7 7" xfId="11403"/>
    <cellStyle name="Normal 6 4 7 7 2" xfId="41382"/>
    <cellStyle name="Normal 6 4 7 7 3" xfId="41383"/>
    <cellStyle name="Normal 6 4 7 8" xfId="11404"/>
    <cellStyle name="Normal 6 4 7 8 2" xfId="41384"/>
    <cellStyle name="Normal 6 4 7 9" xfId="11405"/>
    <cellStyle name="Normal 6 4 7 9 2" xfId="41385"/>
    <cellStyle name="Normal 6 4 8" xfId="936"/>
    <cellStyle name="Normal 6 4 8 10" xfId="11407"/>
    <cellStyle name="Normal 6 4 8 10 2" xfId="41387"/>
    <cellStyle name="Normal 6 4 8 11" xfId="11408"/>
    <cellStyle name="Normal 6 4 8 12" xfId="11409"/>
    <cellStyle name="Normal 6 4 8 13" xfId="11410"/>
    <cellStyle name="Normal 6 4 8 14" xfId="11411"/>
    <cellStyle name="Normal 6 4 8 15" xfId="12035"/>
    <cellStyle name="Normal 6 4 8 16" xfId="41386"/>
    <cellStyle name="Normal 6 4 8 17" xfId="41388"/>
    <cellStyle name="Normal 6 4 8 18" xfId="41389"/>
    <cellStyle name="Normal 6 4 8 2" xfId="11406"/>
    <cellStyle name="Normal 6 4 8 2 10" xfId="41390"/>
    <cellStyle name="Normal 6 4 8 2 11" xfId="41391"/>
    <cellStyle name="Normal 6 4 8 2 2" xfId="41392"/>
    <cellStyle name="Normal 6 4 8 2 2 2" xfId="41393"/>
    <cellStyle name="Normal 6 4 8 2 2 3" xfId="41394"/>
    <cellStyle name="Normal 6 4 8 2 2 4" xfId="41395"/>
    <cellStyle name="Normal 6 4 8 2 3" xfId="41396"/>
    <cellStyle name="Normal 6 4 8 2 3 2" xfId="41397"/>
    <cellStyle name="Normal 6 4 8 2 3 3" xfId="41398"/>
    <cellStyle name="Normal 6 4 8 2 3 4" xfId="41399"/>
    <cellStyle name="Normal 6 4 8 2 4" xfId="41400"/>
    <cellStyle name="Normal 6 4 8 2 4 2" xfId="41401"/>
    <cellStyle name="Normal 6 4 8 2 4 3" xfId="41402"/>
    <cellStyle name="Normal 6 4 8 2 4 4" xfId="41403"/>
    <cellStyle name="Normal 6 4 8 2 5" xfId="41404"/>
    <cellStyle name="Normal 6 4 8 2 5 2" xfId="41405"/>
    <cellStyle name="Normal 6 4 8 2 5 3" xfId="41406"/>
    <cellStyle name="Normal 6 4 8 2 5 4" xfId="41407"/>
    <cellStyle name="Normal 6 4 8 2 6" xfId="41408"/>
    <cellStyle name="Normal 6 4 8 2 6 2" xfId="41409"/>
    <cellStyle name="Normal 6 4 8 2 7" xfId="41410"/>
    <cellStyle name="Normal 6 4 8 2 7 2" xfId="41411"/>
    <cellStyle name="Normal 6 4 8 2 8" xfId="41412"/>
    <cellStyle name="Normal 6 4 8 2 8 2" xfId="41413"/>
    <cellStyle name="Normal 6 4 8 2 9" xfId="41414"/>
    <cellStyle name="Normal 6 4 8 2 9 2" xfId="41415"/>
    <cellStyle name="Normal 6 4 8 3" xfId="11413"/>
    <cellStyle name="Normal 6 4 8 3 2" xfId="41416"/>
    <cellStyle name="Normal 6 4 8 3 2 2" xfId="41417"/>
    <cellStyle name="Normal 6 4 8 3 2 3" xfId="41418"/>
    <cellStyle name="Normal 6 4 8 3 2 4" xfId="41419"/>
    <cellStyle name="Normal 6 4 8 3 3" xfId="41420"/>
    <cellStyle name="Normal 6 4 8 3 3 2" xfId="41421"/>
    <cellStyle name="Normal 6 4 8 3 3 3" xfId="41422"/>
    <cellStyle name="Normal 6 4 8 3 4" xfId="41423"/>
    <cellStyle name="Normal 6 4 8 3 4 2" xfId="41424"/>
    <cellStyle name="Normal 6 4 8 3 5" xfId="41425"/>
    <cellStyle name="Normal 6 4 8 3 5 2" xfId="41426"/>
    <cellStyle name="Normal 6 4 8 3 6" xfId="41427"/>
    <cellStyle name="Normal 6 4 8 3 6 2" xfId="41428"/>
    <cellStyle name="Normal 6 4 8 3 7" xfId="41429"/>
    <cellStyle name="Normal 6 4 8 4" xfId="11414"/>
    <cellStyle name="Normal 6 4 8 4 2" xfId="41430"/>
    <cellStyle name="Normal 6 4 8 4 3" xfId="41431"/>
    <cellStyle name="Normal 6 4 8 4 4" xfId="41432"/>
    <cellStyle name="Normal 6 4 8 5" xfId="11415"/>
    <cellStyle name="Normal 6 4 8 5 2" xfId="41433"/>
    <cellStyle name="Normal 6 4 8 5 3" xfId="41434"/>
    <cellStyle name="Normal 6 4 8 5 4" xfId="41435"/>
    <cellStyle name="Normal 6 4 8 6" xfId="11416"/>
    <cellStyle name="Normal 6 4 8 6 2" xfId="41436"/>
    <cellStyle name="Normal 6 4 8 6 3" xfId="41437"/>
    <cellStyle name="Normal 6 4 8 6 4" xfId="41438"/>
    <cellStyle name="Normal 6 4 8 7" xfId="11417"/>
    <cellStyle name="Normal 6 4 8 7 2" xfId="41439"/>
    <cellStyle name="Normal 6 4 8 7 3" xfId="41440"/>
    <cellStyle name="Normal 6 4 8 8" xfId="11418"/>
    <cellStyle name="Normal 6 4 8 8 2" xfId="41441"/>
    <cellStyle name="Normal 6 4 8 9" xfId="11419"/>
    <cellStyle name="Normal 6 4 8 9 2" xfId="41442"/>
    <cellStyle name="Normal 6 4 9" xfId="937"/>
    <cellStyle name="Normal 6 4 9 10" xfId="41444"/>
    <cellStyle name="Normal 6 4 9 10 2" xfId="41445"/>
    <cellStyle name="Normal 6 4 9 11" xfId="41446"/>
    <cellStyle name="Normal 6 4 9 12" xfId="41447"/>
    <cellStyle name="Normal 6 4 9 13" xfId="41448"/>
    <cellStyle name="Normal 6 4 9 14" xfId="41449"/>
    <cellStyle name="Normal 6 4 9 15" xfId="41450"/>
    <cellStyle name="Normal 6 4 9 16" xfId="41451"/>
    <cellStyle name="Normal 6 4 9 17" xfId="41452"/>
    <cellStyle name="Normal 6 4 9 2" xfId="11420"/>
    <cellStyle name="Normal 6 4 9 2 10" xfId="41453"/>
    <cellStyle name="Normal 6 4 9 2 11" xfId="41454"/>
    <cellStyle name="Normal 6 4 9 2 2" xfId="41455"/>
    <cellStyle name="Normal 6 4 9 2 2 2" xfId="41456"/>
    <cellStyle name="Normal 6 4 9 2 2 3" xfId="41457"/>
    <cellStyle name="Normal 6 4 9 2 2 4" xfId="41458"/>
    <cellStyle name="Normal 6 4 9 2 3" xfId="41459"/>
    <cellStyle name="Normal 6 4 9 2 3 2" xfId="41460"/>
    <cellStyle name="Normal 6 4 9 2 3 3" xfId="41461"/>
    <cellStyle name="Normal 6 4 9 2 3 4" xfId="41462"/>
    <cellStyle name="Normal 6 4 9 2 4" xfId="41463"/>
    <cellStyle name="Normal 6 4 9 2 4 2" xfId="41464"/>
    <cellStyle name="Normal 6 4 9 2 4 3" xfId="41465"/>
    <cellStyle name="Normal 6 4 9 2 4 4" xfId="41466"/>
    <cellStyle name="Normal 6 4 9 2 5" xfId="41467"/>
    <cellStyle name="Normal 6 4 9 2 5 2" xfId="41468"/>
    <cellStyle name="Normal 6 4 9 2 5 3" xfId="41469"/>
    <cellStyle name="Normal 6 4 9 2 5 4" xfId="41470"/>
    <cellStyle name="Normal 6 4 9 2 6" xfId="41471"/>
    <cellStyle name="Normal 6 4 9 2 6 2" xfId="41472"/>
    <cellStyle name="Normal 6 4 9 2 7" xfId="41473"/>
    <cellStyle name="Normal 6 4 9 2 7 2" xfId="41474"/>
    <cellStyle name="Normal 6 4 9 2 8" xfId="41475"/>
    <cellStyle name="Normal 6 4 9 2 8 2" xfId="41476"/>
    <cellStyle name="Normal 6 4 9 2 9" xfId="41477"/>
    <cellStyle name="Normal 6 4 9 2 9 2" xfId="41478"/>
    <cellStyle name="Normal 6 4 9 3" xfId="12036"/>
    <cellStyle name="Normal 6 4 9 3 2" xfId="41479"/>
    <cellStyle name="Normal 6 4 9 3 2 2" xfId="41480"/>
    <cellStyle name="Normal 6 4 9 3 2 3" xfId="41481"/>
    <cellStyle name="Normal 6 4 9 3 2 4" xfId="41482"/>
    <cellStyle name="Normal 6 4 9 3 3" xfId="41483"/>
    <cellStyle name="Normal 6 4 9 3 3 2" xfId="41484"/>
    <cellStyle name="Normal 6 4 9 3 3 3" xfId="41485"/>
    <cellStyle name="Normal 6 4 9 3 4" xfId="41486"/>
    <cellStyle name="Normal 6 4 9 3 4 2" xfId="41487"/>
    <cellStyle name="Normal 6 4 9 3 5" xfId="41488"/>
    <cellStyle name="Normal 6 4 9 3 5 2" xfId="41489"/>
    <cellStyle name="Normal 6 4 9 3 6" xfId="41490"/>
    <cellStyle name="Normal 6 4 9 3 6 2" xfId="41491"/>
    <cellStyle name="Normal 6 4 9 3 7" xfId="41492"/>
    <cellStyle name="Normal 6 4 9 4" xfId="41443"/>
    <cellStyle name="Normal 6 4 9 4 2" xfId="41493"/>
    <cellStyle name="Normal 6 4 9 4 3" xfId="41494"/>
    <cellStyle name="Normal 6 4 9 4 4" xfId="41495"/>
    <cellStyle name="Normal 6 4 9 5" xfId="41496"/>
    <cellStyle name="Normal 6 4 9 5 2" xfId="41497"/>
    <cellStyle name="Normal 6 4 9 5 3" xfId="41498"/>
    <cellStyle name="Normal 6 4 9 5 4" xfId="41499"/>
    <cellStyle name="Normal 6 4 9 6" xfId="41500"/>
    <cellStyle name="Normal 6 4 9 6 2" xfId="41501"/>
    <cellStyle name="Normal 6 4 9 6 3" xfId="41502"/>
    <cellStyle name="Normal 6 4 9 6 4" xfId="41503"/>
    <cellStyle name="Normal 6 4 9 7" xfId="41504"/>
    <cellStyle name="Normal 6 4 9 7 2" xfId="41505"/>
    <cellStyle name="Normal 6 4 9 7 3" xfId="41506"/>
    <cellStyle name="Normal 6 4 9 8" xfId="41507"/>
    <cellStyle name="Normal 6 4 9 8 2" xfId="41508"/>
    <cellStyle name="Normal 6 4 9 9" xfId="41509"/>
    <cellStyle name="Normal 6 4 9 9 2" xfId="41510"/>
    <cellStyle name="Normal 6 40" xfId="41511"/>
    <cellStyle name="Normal 6 41" xfId="41512"/>
    <cellStyle name="Normal 6 42" xfId="41513"/>
    <cellStyle name="Normal 6 43" xfId="41514"/>
    <cellStyle name="Normal 6 44" xfId="41515"/>
    <cellStyle name="Normal 6 45" xfId="41516"/>
    <cellStyle name="Normal 6 46" xfId="41517"/>
    <cellStyle name="Normal 6 47" xfId="41518"/>
    <cellStyle name="Normal 6 48" xfId="41519"/>
    <cellStyle name="Normal 6 49" xfId="44244"/>
    <cellStyle name="Normal 6 5" xfId="938"/>
    <cellStyle name="Normal 6 5 10" xfId="939"/>
    <cellStyle name="Normal 6 5 10 10" xfId="41522"/>
    <cellStyle name="Normal 6 5 10 10 2" xfId="41523"/>
    <cellStyle name="Normal 6 5 10 11" xfId="41524"/>
    <cellStyle name="Normal 6 5 10 12" xfId="41525"/>
    <cellStyle name="Normal 6 5 10 13" xfId="41526"/>
    <cellStyle name="Normal 6 5 10 14" xfId="41527"/>
    <cellStyle name="Normal 6 5 10 15" xfId="41528"/>
    <cellStyle name="Normal 6 5 10 16" xfId="41529"/>
    <cellStyle name="Normal 6 5 10 2" xfId="11422"/>
    <cellStyle name="Normal 6 5 10 2 10" xfId="41530"/>
    <cellStyle name="Normal 6 5 10 2 11" xfId="41531"/>
    <cellStyle name="Normal 6 5 10 2 2" xfId="41532"/>
    <cellStyle name="Normal 6 5 10 2 2 2" xfId="41533"/>
    <cellStyle name="Normal 6 5 10 2 2 3" xfId="41534"/>
    <cellStyle name="Normal 6 5 10 2 2 4" xfId="41535"/>
    <cellStyle name="Normal 6 5 10 2 3" xfId="41536"/>
    <cellStyle name="Normal 6 5 10 2 3 2" xfId="41537"/>
    <cellStyle name="Normal 6 5 10 2 3 3" xfId="41538"/>
    <cellStyle name="Normal 6 5 10 2 3 4" xfId="41539"/>
    <cellStyle name="Normal 6 5 10 2 4" xfId="41540"/>
    <cellStyle name="Normal 6 5 10 2 4 2" xfId="41541"/>
    <cellStyle name="Normal 6 5 10 2 4 3" xfId="41542"/>
    <cellStyle name="Normal 6 5 10 2 4 4" xfId="41543"/>
    <cellStyle name="Normal 6 5 10 2 5" xfId="41544"/>
    <cellStyle name="Normal 6 5 10 2 5 2" xfId="41545"/>
    <cellStyle name="Normal 6 5 10 2 5 3" xfId="41546"/>
    <cellStyle name="Normal 6 5 10 2 5 4" xfId="41547"/>
    <cellStyle name="Normal 6 5 10 2 6" xfId="41548"/>
    <cellStyle name="Normal 6 5 10 2 6 2" xfId="41549"/>
    <cellStyle name="Normal 6 5 10 2 7" xfId="41550"/>
    <cellStyle name="Normal 6 5 10 2 7 2" xfId="41551"/>
    <cellStyle name="Normal 6 5 10 2 8" xfId="41552"/>
    <cellStyle name="Normal 6 5 10 2 8 2" xfId="41553"/>
    <cellStyle name="Normal 6 5 10 2 9" xfId="41554"/>
    <cellStyle name="Normal 6 5 10 2 9 2" xfId="41555"/>
    <cellStyle name="Normal 6 5 10 3" xfId="12038"/>
    <cellStyle name="Normal 6 5 10 3 2" xfId="41556"/>
    <cellStyle name="Normal 6 5 10 3 2 2" xfId="41557"/>
    <cellStyle name="Normal 6 5 10 3 2 3" xfId="41558"/>
    <cellStyle name="Normal 6 5 10 3 2 4" xfId="41559"/>
    <cellStyle name="Normal 6 5 10 3 3" xfId="41560"/>
    <cellStyle name="Normal 6 5 10 3 3 2" xfId="41561"/>
    <cellStyle name="Normal 6 5 10 3 3 3" xfId="41562"/>
    <cellStyle name="Normal 6 5 10 3 4" xfId="41563"/>
    <cellStyle name="Normal 6 5 10 3 4 2" xfId="41564"/>
    <cellStyle name="Normal 6 5 10 3 5" xfId="41565"/>
    <cellStyle name="Normal 6 5 10 3 5 2" xfId="41566"/>
    <cellStyle name="Normal 6 5 10 3 6" xfId="41567"/>
    <cellStyle name="Normal 6 5 10 3 6 2" xfId="41568"/>
    <cellStyle name="Normal 6 5 10 3 7" xfId="41569"/>
    <cellStyle name="Normal 6 5 10 4" xfId="41521"/>
    <cellStyle name="Normal 6 5 10 4 2" xfId="41570"/>
    <cellStyle name="Normal 6 5 10 4 3" xfId="41571"/>
    <cellStyle name="Normal 6 5 10 4 4" xfId="41572"/>
    <cellStyle name="Normal 6 5 10 5" xfId="41573"/>
    <cellStyle name="Normal 6 5 10 5 2" xfId="41574"/>
    <cellStyle name="Normal 6 5 10 5 3" xfId="41575"/>
    <cellStyle name="Normal 6 5 10 5 4" xfId="41576"/>
    <cellStyle name="Normal 6 5 10 6" xfId="41577"/>
    <cellStyle name="Normal 6 5 10 6 2" xfId="41578"/>
    <cellStyle name="Normal 6 5 10 6 3" xfId="41579"/>
    <cellStyle name="Normal 6 5 10 6 4" xfId="41580"/>
    <cellStyle name="Normal 6 5 10 7" xfId="41581"/>
    <cellStyle name="Normal 6 5 10 7 2" xfId="41582"/>
    <cellStyle name="Normal 6 5 10 7 3" xfId="41583"/>
    <cellStyle name="Normal 6 5 10 8" xfId="41584"/>
    <cellStyle name="Normal 6 5 10 8 2" xfId="41585"/>
    <cellStyle name="Normal 6 5 10 9" xfId="41586"/>
    <cellStyle name="Normal 6 5 10 9 2" xfId="41587"/>
    <cellStyle name="Normal 6 5 11" xfId="11421"/>
    <cellStyle name="Normal 6 5 11 10" xfId="41588"/>
    <cellStyle name="Normal 6 5 11 10 2" xfId="41589"/>
    <cellStyle name="Normal 6 5 11 11" xfId="41590"/>
    <cellStyle name="Normal 6 5 11 2" xfId="41591"/>
    <cellStyle name="Normal 6 5 11 2 2" xfId="41592"/>
    <cellStyle name="Normal 6 5 11 2 2 2" xfId="41593"/>
    <cellStyle name="Normal 6 5 11 2 2 3" xfId="41594"/>
    <cellStyle name="Normal 6 5 11 2 3" xfId="41595"/>
    <cellStyle name="Normal 6 5 11 2 3 2" xfId="41596"/>
    <cellStyle name="Normal 6 5 11 2 4" xfId="41597"/>
    <cellStyle name="Normal 6 5 11 2 4 2" xfId="41598"/>
    <cellStyle name="Normal 6 5 11 2 5" xfId="41599"/>
    <cellStyle name="Normal 6 5 11 2 5 2" xfId="41600"/>
    <cellStyle name="Normal 6 5 11 2 6" xfId="41601"/>
    <cellStyle name="Normal 6 5 11 2 7" xfId="41602"/>
    <cellStyle name="Normal 6 5 11 2 8" xfId="41603"/>
    <cellStyle name="Normal 6 5 11 2 9" xfId="41604"/>
    <cellStyle name="Normal 6 5 11 3" xfId="41605"/>
    <cellStyle name="Normal 6 5 11 3 2" xfId="41606"/>
    <cellStyle name="Normal 6 5 11 3 2 2" xfId="41607"/>
    <cellStyle name="Normal 6 5 11 3 2 3" xfId="41608"/>
    <cellStyle name="Normal 6 5 11 3 3" xfId="41609"/>
    <cellStyle name="Normal 6 5 11 3 3 2" xfId="41610"/>
    <cellStyle name="Normal 6 5 11 3 4" xfId="41611"/>
    <cellStyle name="Normal 6 5 11 3 5" xfId="41612"/>
    <cellStyle name="Normal 6 5 11 3 6" xfId="41613"/>
    <cellStyle name="Normal 6 5 11 3 7" xfId="41614"/>
    <cellStyle name="Normal 6 5 11 4" xfId="41615"/>
    <cellStyle name="Normal 6 5 11 4 2" xfId="41616"/>
    <cellStyle name="Normal 6 5 11 4 3" xfId="41617"/>
    <cellStyle name="Normal 6 5 11 4 4" xfId="41618"/>
    <cellStyle name="Normal 6 5 11 5" xfId="41619"/>
    <cellStyle name="Normal 6 5 11 5 2" xfId="41620"/>
    <cellStyle name="Normal 6 5 11 5 3" xfId="41621"/>
    <cellStyle name="Normal 6 5 11 5 4" xfId="41622"/>
    <cellStyle name="Normal 6 5 11 6" xfId="41623"/>
    <cellStyle name="Normal 6 5 11 6 2" xfId="41624"/>
    <cellStyle name="Normal 6 5 11 6 3" xfId="41625"/>
    <cellStyle name="Normal 6 5 11 7" xfId="41626"/>
    <cellStyle name="Normal 6 5 11 7 2" xfId="41627"/>
    <cellStyle name="Normal 6 5 11 8" xfId="41628"/>
    <cellStyle name="Normal 6 5 11 8 2" xfId="41629"/>
    <cellStyle name="Normal 6 5 11 9" xfId="41630"/>
    <cellStyle name="Normal 6 5 11 9 2" xfId="41631"/>
    <cellStyle name="Normal 6 5 12" xfId="11424"/>
    <cellStyle name="Normal 6 5 12 2" xfId="41632"/>
    <cellStyle name="Normal 6 5 12 2 2" xfId="41633"/>
    <cellStyle name="Normal 6 5 12 2 3" xfId="41634"/>
    <cellStyle name="Normal 6 5 12 2 4" xfId="41635"/>
    <cellStyle name="Normal 6 5 12 3" xfId="41636"/>
    <cellStyle name="Normal 6 5 12 3 2" xfId="41637"/>
    <cellStyle name="Normal 6 5 12 3 3" xfId="41638"/>
    <cellStyle name="Normal 6 5 12 4" xfId="41639"/>
    <cellStyle name="Normal 6 5 12 4 2" xfId="41640"/>
    <cellStyle name="Normal 6 5 12 4 3" xfId="41641"/>
    <cellStyle name="Normal 6 5 12 5" xfId="41642"/>
    <cellStyle name="Normal 6 5 12 5 2" xfId="41643"/>
    <cellStyle name="Normal 6 5 12 5 3" xfId="41644"/>
    <cellStyle name="Normal 6 5 12 6" xfId="41645"/>
    <cellStyle name="Normal 6 5 12 6 2" xfId="41646"/>
    <cellStyle name="Normal 6 5 12 7" xfId="41647"/>
    <cellStyle name="Normal 6 5 12 8" xfId="41648"/>
    <cellStyle name="Normal 6 5 12 9" xfId="41649"/>
    <cellStyle name="Normal 6 5 13" xfId="11425"/>
    <cellStyle name="Normal 6 5 13 2" xfId="41650"/>
    <cellStyle name="Normal 6 5 13 2 2" xfId="41651"/>
    <cellStyle name="Normal 6 5 13 2 3" xfId="41652"/>
    <cellStyle name="Normal 6 5 13 3" xfId="41653"/>
    <cellStyle name="Normal 6 5 13 3 2" xfId="41654"/>
    <cellStyle name="Normal 6 5 13 4" xfId="41655"/>
    <cellStyle name="Normal 6 5 13 5" xfId="41656"/>
    <cellStyle name="Normal 6 5 13 6" xfId="41657"/>
    <cellStyle name="Normal 6 5 13 7" xfId="41658"/>
    <cellStyle name="Normal 6 5 14" xfId="11426"/>
    <cellStyle name="Normal 6 5 14 2" xfId="41659"/>
    <cellStyle name="Normal 6 5 14 3" xfId="41660"/>
    <cellStyle name="Normal 6 5 14 4" xfId="41661"/>
    <cellStyle name="Normal 6 5 15" xfId="11427"/>
    <cellStyle name="Normal 6 5 15 2" xfId="41662"/>
    <cellStyle name="Normal 6 5 15 3" xfId="41663"/>
    <cellStyle name="Normal 6 5 15 4" xfId="41664"/>
    <cellStyle name="Normal 6 5 16" xfId="11428"/>
    <cellStyle name="Normal 6 5 16 2" xfId="41665"/>
    <cellStyle name="Normal 6 5 16 3" xfId="41666"/>
    <cellStyle name="Normal 6 5 16 4" xfId="41667"/>
    <cellStyle name="Normal 6 5 17" xfId="11429"/>
    <cellStyle name="Normal 6 5 17 2" xfId="41668"/>
    <cellStyle name="Normal 6 5 18" xfId="11430"/>
    <cellStyle name="Normal 6 5 18 2" xfId="41669"/>
    <cellStyle name="Normal 6 5 19" xfId="11431"/>
    <cellStyle name="Normal 6 5 19 2" xfId="41670"/>
    <cellStyle name="Normal 6 5 2" xfId="940"/>
    <cellStyle name="Normal 6 5 2 10" xfId="11433"/>
    <cellStyle name="Normal 6 5 2 10 2" xfId="41672"/>
    <cellStyle name="Normal 6 5 2 10 3" xfId="41673"/>
    <cellStyle name="Normal 6 5 2 11" xfId="11434"/>
    <cellStyle name="Normal 6 5 2 11 2" xfId="41674"/>
    <cellStyle name="Normal 6 5 2 12" xfId="11435"/>
    <cellStyle name="Normal 6 5 2 13" xfId="11436"/>
    <cellStyle name="Normal 6 5 2 14" xfId="11437"/>
    <cellStyle name="Normal 6 5 2 15" xfId="12039"/>
    <cellStyle name="Normal 6 5 2 16" xfId="41671"/>
    <cellStyle name="Normal 6 5 2 17" xfId="41675"/>
    <cellStyle name="Normal 6 5 2 18" xfId="41676"/>
    <cellStyle name="Normal 6 5 2 19" xfId="41677"/>
    <cellStyle name="Normal 6 5 2 2" xfId="11432"/>
    <cellStyle name="Normal 6 5 2 2 10" xfId="41678"/>
    <cellStyle name="Normal 6 5 2 2 11" xfId="41679"/>
    <cellStyle name="Normal 6 5 2 2 12" xfId="41680"/>
    <cellStyle name="Normal 6 5 2 2 13" xfId="41681"/>
    <cellStyle name="Normal 6 5 2 2 14" xfId="41682"/>
    <cellStyle name="Normal 6 5 2 2 15" xfId="41683"/>
    <cellStyle name="Normal 6 5 2 2 16" xfId="41684"/>
    <cellStyle name="Normal 6 5 2 2 17" xfId="41685"/>
    <cellStyle name="Normal 6 5 2 2 18" xfId="41686"/>
    <cellStyle name="Normal 6 5 2 2 2" xfId="41687"/>
    <cellStyle name="Normal 6 5 2 2 2 10" xfId="41688"/>
    <cellStyle name="Normal 6 5 2 2 2 11" xfId="41689"/>
    <cellStyle name="Normal 6 5 2 2 2 2" xfId="41690"/>
    <cellStyle name="Normal 6 5 2 2 2 2 2" xfId="41691"/>
    <cellStyle name="Normal 6 5 2 2 2 3" xfId="41692"/>
    <cellStyle name="Normal 6 5 2 2 2 3 2" xfId="41693"/>
    <cellStyle name="Normal 6 5 2 2 2 4" xfId="41694"/>
    <cellStyle name="Normal 6 5 2 2 2 4 2" xfId="41695"/>
    <cellStyle name="Normal 6 5 2 2 2 5" xfId="41696"/>
    <cellStyle name="Normal 6 5 2 2 2 5 2" xfId="41697"/>
    <cellStyle name="Normal 6 5 2 2 2 6" xfId="41698"/>
    <cellStyle name="Normal 6 5 2 2 2 7" xfId="41699"/>
    <cellStyle name="Normal 6 5 2 2 2 8" xfId="41700"/>
    <cellStyle name="Normal 6 5 2 2 2 9" xfId="41701"/>
    <cellStyle name="Normal 6 5 2 2 3" xfId="41702"/>
    <cellStyle name="Normal 6 5 2 2 3 2" xfId="41703"/>
    <cellStyle name="Normal 6 5 2 2 3 2 2" xfId="41704"/>
    <cellStyle name="Normal 6 5 2 2 3 3" xfId="41705"/>
    <cellStyle name="Normal 6 5 2 2 3 4" xfId="41706"/>
    <cellStyle name="Normal 6 5 2 2 3 5" xfId="41707"/>
    <cellStyle name="Normal 6 5 2 2 3 6" xfId="41708"/>
    <cellStyle name="Normal 6 5 2 2 3 7" xfId="41709"/>
    <cellStyle name="Normal 6 5 2 2 4" xfId="41710"/>
    <cellStyle name="Normal 6 5 2 2 4 2" xfId="41711"/>
    <cellStyle name="Normal 6 5 2 2 4 3" xfId="41712"/>
    <cellStyle name="Normal 6 5 2 2 4 4" xfId="41713"/>
    <cellStyle name="Normal 6 5 2 2 5" xfId="41714"/>
    <cellStyle name="Normal 6 5 2 2 5 2" xfId="41715"/>
    <cellStyle name="Normal 6 5 2 2 5 3" xfId="41716"/>
    <cellStyle name="Normal 6 5 2 2 5 4" xfId="41717"/>
    <cellStyle name="Normal 6 5 2 2 6" xfId="41718"/>
    <cellStyle name="Normal 6 5 2 2 6 2" xfId="41719"/>
    <cellStyle name="Normal 6 5 2 2 6 3" xfId="41720"/>
    <cellStyle name="Normal 6 5 2 2 7" xfId="41721"/>
    <cellStyle name="Normal 6 5 2 2 7 2" xfId="41722"/>
    <cellStyle name="Normal 6 5 2 2 7 3" xfId="41723"/>
    <cellStyle name="Normal 6 5 2 2 8" xfId="41724"/>
    <cellStyle name="Normal 6 5 2 2 8 2" xfId="41725"/>
    <cellStyle name="Normal 6 5 2 2 9" xfId="41726"/>
    <cellStyle name="Normal 6 5 2 2 9 2" xfId="41727"/>
    <cellStyle name="Normal 6 5 2 20" xfId="41728"/>
    <cellStyle name="Normal 6 5 2 21" xfId="41729"/>
    <cellStyle name="Normal 6 5 2 22" xfId="41730"/>
    <cellStyle name="Normal 6 5 2 3" xfId="11439"/>
    <cellStyle name="Normal 6 5 2 3 10" xfId="41731"/>
    <cellStyle name="Normal 6 5 2 3 11" xfId="41732"/>
    <cellStyle name="Normal 6 5 2 3 12" xfId="41733"/>
    <cellStyle name="Normal 6 5 2 3 13" xfId="41734"/>
    <cellStyle name="Normal 6 5 2 3 14" xfId="41735"/>
    <cellStyle name="Normal 6 5 2 3 15" xfId="41736"/>
    <cellStyle name="Normal 6 5 2 3 16" xfId="41737"/>
    <cellStyle name="Normal 6 5 2 3 17" xfId="41738"/>
    <cellStyle name="Normal 6 5 2 3 18" xfId="41739"/>
    <cellStyle name="Normal 6 5 2 3 2" xfId="41740"/>
    <cellStyle name="Normal 6 5 2 3 2 10" xfId="41741"/>
    <cellStyle name="Normal 6 5 2 3 2 11" xfId="41742"/>
    <cellStyle name="Normal 6 5 2 3 2 2" xfId="41743"/>
    <cellStyle name="Normal 6 5 2 3 2 2 2" xfId="41744"/>
    <cellStyle name="Normal 6 5 2 3 2 3" xfId="41745"/>
    <cellStyle name="Normal 6 5 2 3 2 3 2" xfId="41746"/>
    <cellStyle name="Normal 6 5 2 3 2 4" xfId="41747"/>
    <cellStyle name="Normal 6 5 2 3 2 4 2" xfId="41748"/>
    <cellStyle name="Normal 6 5 2 3 2 5" xfId="41749"/>
    <cellStyle name="Normal 6 5 2 3 2 5 2" xfId="41750"/>
    <cellStyle name="Normal 6 5 2 3 2 6" xfId="41751"/>
    <cellStyle name="Normal 6 5 2 3 2 7" xfId="41752"/>
    <cellStyle name="Normal 6 5 2 3 2 8" xfId="41753"/>
    <cellStyle name="Normal 6 5 2 3 2 9" xfId="41754"/>
    <cellStyle name="Normal 6 5 2 3 3" xfId="41755"/>
    <cellStyle name="Normal 6 5 2 3 3 2" xfId="41756"/>
    <cellStyle name="Normal 6 5 2 3 3 2 2" xfId="41757"/>
    <cellStyle name="Normal 6 5 2 3 3 3" xfId="41758"/>
    <cellStyle name="Normal 6 5 2 3 3 4" xfId="41759"/>
    <cellStyle name="Normal 6 5 2 3 3 5" xfId="41760"/>
    <cellStyle name="Normal 6 5 2 3 3 6" xfId="41761"/>
    <cellStyle name="Normal 6 5 2 3 3 7" xfId="41762"/>
    <cellStyle name="Normal 6 5 2 3 4" xfId="41763"/>
    <cellStyle name="Normal 6 5 2 3 4 2" xfId="41764"/>
    <cellStyle name="Normal 6 5 2 3 4 3" xfId="41765"/>
    <cellStyle name="Normal 6 5 2 3 5" xfId="41766"/>
    <cellStyle name="Normal 6 5 2 3 5 2" xfId="41767"/>
    <cellStyle name="Normal 6 5 2 3 5 3" xfId="41768"/>
    <cellStyle name="Normal 6 5 2 3 6" xfId="41769"/>
    <cellStyle name="Normal 6 5 2 3 6 2" xfId="41770"/>
    <cellStyle name="Normal 6 5 2 3 6 3" xfId="41771"/>
    <cellStyle name="Normal 6 5 2 3 7" xfId="41772"/>
    <cellStyle name="Normal 6 5 2 3 7 2" xfId="41773"/>
    <cellStyle name="Normal 6 5 2 3 7 3" xfId="41774"/>
    <cellStyle name="Normal 6 5 2 3 8" xfId="41775"/>
    <cellStyle name="Normal 6 5 2 3 9" xfId="41776"/>
    <cellStyle name="Normal 6 5 2 4" xfId="11440"/>
    <cellStyle name="Normal 6 5 2 4 10" xfId="41777"/>
    <cellStyle name="Normal 6 5 2 4 11" xfId="41778"/>
    <cellStyle name="Normal 6 5 2 4 12" xfId="41779"/>
    <cellStyle name="Normal 6 5 2 4 13" xfId="41780"/>
    <cellStyle name="Normal 6 5 2 4 14" xfId="41781"/>
    <cellStyle name="Normal 6 5 2 4 15" xfId="41782"/>
    <cellStyle name="Normal 6 5 2 4 16" xfId="41783"/>
    <cellStyle name="Normal 6 5 2 4 17" xfId="41784"/>
    <cellStyle name="Normal 6 5 2 4 2" xfId="41785"/>
    <cellStyle name="Normal 6 5 2 4 2 2" xfId="41786"/>
    <cellStyle name="Normal 6 5 2 4 2 2 2" xfId="41787"/>
    <cellStyle name="Normal 6 5 2 4 2 3" xfId="41788"/>
    <cellStyle name="Normal 6 5 2 4 2 3 2" xfId="41789"/>
    <cellStyle name="Normal 6 5 2 4 2 4" xfId="41790"/>
    <cellStyle name="Normal 6 5 2 4 2 4 2" xfId="41791"/>
    <cellStyle name="Normal 6 5 2 4 2 5" xfId="41792"/>
    <cellStyle name="Normal 6 5 2 4 2 5 2" xfId="41793"/>
    <cellStyle name="Normal 6 5 2 4 2 6" xfId="41794"/>
    <cellStyle name="Normal 6 5 2 4 2 7" xfId="41795"/>
    <cellStyle name="Normal 6 5 2 4 2 8" xfId="41796"/>
    <cellStyle name="Normal 6 5 2 4 2 9" xfId="41797"/>
    <cellStyle name="Normal 6 5 2 4 3" xfId="41798"/>
    <cellStyle name="Normal 6 5 2 4 3 2" xfId="41799"/>
    <cellStyle name="Normal 6 5 2 4 3 2 2" xfId="41800"/>
    <cellStyle name="Normal 6 5 2 4 3 3" xfId="41801"/>
    <cellStyle name="Normal 6 5 2 4 3 4" xfId="41802"/>
    <cellStyle name="Normal 6 5 2 4 3 5" xfId="41803"/>
    <cellStyle name="Normal 6 5 2 4 4" xfId="41804"/>
    <cellStyle name="Normal 6 5 2 4 4 2" xfId="41805"/>
    <cellStyle name="Normal 6 5 2 4 5" xfId="41806"/>
    <cellStyle name="Normal 6 5 2 4 5 2" xfId="41807"/>
    <cellStyle name="Normal 6 5 2 4 6" xfId="41808"/>
    <cellStyle name="Normal 6 5 2 4 6 2" xfId="41809"/>
    <cellStyle name="Normal 6 5 2 4 7" xfId="41810"/>
    <cellStyle name="Normal 6 5 2 4 7 2" xfId="41811"/>
    <cellStyle name="Normal 6 5 2 4 8" xfId="41812"/>
    <cellStyle name="Normal 6 5 2 4 9" xfId="41813"/>
    <cellStyle name="Normal 6 5 2 5" xfId="11441"/>
    <cellStyle name="Normal 6 5 2 5 10" xfId="41814"/>
    <cellStyle name="Normal 6 5 2 5 11" xfId="41815"/>
    <cellStyle name="Normal 6 5 2 5 12" xfId="41816"/>
    <cellStyle name="Normal 6 5 2 5 13" xfId="41817"/>
    <cellStyle name="Normal 6 5 2 5 14" xfId="41818"/>
    <cellStyle name="Normal 6 5 2 5 15" xfId="41819"/>
    <cellStyle name="Normal 6 5 2 5 16" xfId="41820"/>
    <cellStyle name="Normal 6 5 2 5 2" xfId="41821"/>
    <cellStyle name="Normal 6 5 2 5 2 2" xfId="41822"/>
    <cellStyle name="Normal 6 5 2 5 2 2 2" xfId="41823"/>
    <cellStyle name="Normal 6 5 2 5 2 3" xfId="41824"/>
    <cellStyle name="Normal 6 5 2 5 2 3 2" xfId="41825"/>
    <cellStyle name="Normal 6 5 2 5 2 4" xfId="41826"/>
    <cellStyle name="Normal 6 5 2 5 2 4 2" xfId="41827"/>
    <cellStyle name="Normal 6 5 2 5 2 5" xfId="41828"/>
    <cellStyle name="Normal 6 5 2 5 2 5 2" xfId="41829"/>
    <cellStyle name="Normal 6 5 2 5 2 6" xfId="41830"/>
    <cellStyle name="Normal 6 5 2 5 2 7" xfId="41831"/>
    <cellStyle name="Normal 6 5 2 5 2 8" xfId="41832"/>
    <cellStyle name="Normal 6 5 2 5 2 9" xfId="41833"/>
    <cellStyle name="Normal 6 5 2 5 3" xfId="41834"/>
    <cellStyle name="Normal 6 5 2 5 3 2" xfId="41835"/>
    <cellStyle name="Normal 6 5 2 5 3 2 2" xfId="41836"/>
    <cellStyle name="Normal 6 5 2 5 3 3" xfId="41837"/>
    <cellStyle name="Normal 6 5 2 5 3 4" xfId="41838"/>
    <cellStyle name="Normal 6 5 2 5 3 5" xfId="41839"/>
    <cellStyle name="Normal 6 5 2 5 4" xfId="41840"/>
    <cellStyle name="Normal 6 5 2 5 4 2" xfId="41841"/>
    <cellStyle name="Normal 6 5 2 5 5" xfId="41842"/>
    <cellStyle name="Normal 6 5 2 5 5 2" xfId="41843"/>
    <cellStyle name="Normal 6 5 2 5 6" xfId="41844"/>
    <cellStyle name="Normal 6 5 2 5 6 2" xfId="41845"/>
    <cellStyle name="Normal 6 5 2 5 7" xfId="41846"/>
    <cellStyle name="Normal 6 5 2 5 7 2" xfId="41847"/>
    <cellStyle name="Normal 6 5 2 5 8" xfId="41848"/>
    <cellStyle name="Normal 6 5 2 5 9" xfId="41849"/>
    <cellStyle name="Normal 6 5 2 6" xfId="11442"/>
    <cellStyle name="Normal 6 5 2 6 10" xfId="41850"/>
    <cellStyle name="Normal 6 5 2 6 11" xfId="41851"/>
    <cellStyle name="Normal 6 5 2 6 2" xfId="41852"/>
    <cellStyle name="Normal 6 5 2 6 2 2" xfId="41853"/>
    <cellStyle name="Normal 6 5 2 6 3" xfId="41854"/>
    <cellStyle name="Normal 6 5 2 6 3 2" xfId="41855"/>
    <cellStyle name="Normal 6 5 2 6 4" xfId="41856"/>
    <cellStyle name="Normal 6 5 2 6 4 2" xfId="41857"/>
    <cellStyle name="Normal 6 5 2 6 5" xfId="41858"/>
    <cellStyle name="Normal 6 5 2 6 5 2" xfId="41859"/>
    <cellStyle name="Normal 6 5 2 6 6" xfId="41860"/>
    <cellStyle name="Normal 6 5 2 6 7" xfId="41861"/>
    <cellStyle name="Normal 6 5 2 6 8" xfId="41862"/>
    <cellStyle name="Normal 6 5 2 6 9" xfId="41863"/>
    <cellStyle name="Normal 6 5 2 7" xfId="11443"/>
    <cellStyle name="Normal 6 5 2 7 2" xfId="41864"/>
    <cellStyle name="Normal 6 5 2 7 2 2" xfId="41865"/>
    <cellStyle name="Normal 6 5 2 7 3" xfId="41866"/>
    <cellStyle name="Normal 6 5 2 7 4" xfId="41867"/>
    <cellStyle name="Normal 6 5 2 7 5" xfId="41868"/>
    <cellStyle name="Normal 6 5 2 7 6" xfId="41869"/>
    <cellStyle name="Normal 6 5 2 8" xfId="11444"/>
    <cellStyle name="Normal 6 5 2 8 2" xfId="41870"/>
    <cellStyle name="Normal 6 5 2 8 3" xfId="41871"/>
    <cellStyle name="Normal 6 5 2 9" xfId="11445"/>
    <cellStyle name="Normal 6 5 2 9 2" xfId="41872"/>
    <cellStyle name="Normal 6 5 2 9 3" xfId="41873"/>
    <cellStyle name="Normal 6 5 20" xfId="11446"/>
    <cellStyle name="Normal 6 5 20 2" xfId="41874"/>
    <cellStyle name="Normal 6 5 21" xfId="11447"/>
    <cellStyle name="Normal 6 5 22" xfId="11448"/>
    <cellStyle name="Normal 6 5 23" xfId="12037"/>
    <cellStyle name="Normal 6 5 24" xfId="41520"/>
    <cellStyle name="Normal 6 5 25" xfId="41875"/>
    <cellStyle name="Normal 6 5 26" xfId="41876"/>
    <cellStyle name="Normal 6 5 27" xfId="41877"/>
    <cellStyle name="Normal 6 5 28" xfId="41878"/>
    <cellStyle name="Normal 6 5 29" xfId="41879"/>
    <cellStyle name="Normal 6 5 3" xfId="941"/>
    <cellStyle name="Normal 6 5 3 10" xfId="11450"/>
    <cellStyle name="Normal 6 5 3 10 2" xfId="41881"/>
    <cellStyle name="Normal 6 5 3 11" xfId="11451"/>
    <cellStyle name="Normal 6 5 3 12" xfId="11452"/>
    <cellStyle name="Normal 6 5 3 13" xfId="11453"/>
    <cellStyle name="Normal 6 5 3 14" xfId="11454"/>
    <cellStyle name="Normal 6 5 3 15" xfId="12040"/>
    <cellStyle name="Normal 6 5 3 16" xfId="41880"/>
    <cellStyle name="Normal 6 5 3 17" xfId="41882"/>
    <cellStyle name="Normal 6 5 3 18" xfId="41883"/>
    <cellStyle name="Normal 6 5 3 19" xfId="41884"/>
    <cellStyle name="Normal 6 5 3 2" xfId="11449"/>
    <cellStyle name="Normal 6 5 3 2 10" xfId="41885"/>
    <cellStyle name="Normal 6 5 3 2 11" xfId="41886"/>
    <cellStyle name="Normal 6 5 3 2 12" xfId="41887"/>
    <cellStyle name="Normal 6 5 3 2 13" xfId="41888"/>
    <cellStyle name="Normal 6 5 3 2 14" xfId="41889"/>
    <cellStyle name="Normal 6 5 3 2 15" xfId="41890"/>
    <cellStyle name="Normal 6 5 3 2 2" xfId="41891"/>
    <cellStyle name="Normal 6 5 3 2 2 2" xfId="41892"/>
    <cellStyle name="Normal 6 5 3 2 2 2 2" xfId="41893"/>
    <cellStyle name="Normal 6 5 3 2 2 3" xfId="41894"/>
    <cellStyle name="Normal 6 5 3 2 2 4" xfId="41895"/>
    <cellStyle name="Normal 6 5 3 2 2 5" xfId="41896"/>
    <cellStyle name="Normal 6 5 3 2 2 6" xfId="41897"/>
    <cellStyle name="Normal 6 5 3 2 2 7" xfId="41898"/>
    <cellStyle name="Normal 6 5 3 2 3" xfId="41899"/>
    <cellStyle name="Normal 6 5 3 2 3 2" xfId="41900"/>
    <cellStyle name="Normal 6 5 3 2 3 3" xfId="41901"/>
    <cellStyle name="Normal 6 5 3 2 3 4" xfId="41902"/>
    <cellStyle name="Normal 6 5 3 2 4" xfId="41903"/>
    <cellStyle name="Normal 6 5 3 2 4 2" xfId="41904"/>
    <cellStyle name="Normal 6 5 3 2 4 3" xfId="41905"/>
    <cellStyle name="Normal 6 5 3 2 4 4" xfId="41906"/>
    <cellStyle name="Normal 6 5 3 2 5" xfId="41907"/>
    <cellStyle name="Normal 6 5 3 2 5 2" xfId="41908"/>
    <cellStyle name="Normal 6 5 3 2 5 3" xfId="41909"/>
    <cellStyle name="Normal 6 5 3 2 5 4" xfId="41910"/>
    <cellStyle name="Normal 6 5 3 2 6" xfId="41911"/>
    <cellStyle name="Normal 6 5 3 2 6 2" xfId="41912"/>
    <cellStyle name="Normal 6 5 3 2 6 3" xfId="41913"/>
    <cellStyle name="Normal 6 5 3 2 7" xfId="41914"/>
    <cellStyle name="Normal 6 5 3 2 7 2" xfId="41915"/>
    <cellStyle name="Normal 6 5 3 2 8" xfId="41916"/>
    <cellStyle name="Normal 6 5 3 2 8 2" xfId="41917"/>
    <cellStyle name="Normal 6 5 3 2 9" xfId="41918"/>
    <cellStyle name="Normal 6 5 3 2 9 2" xfId="41919"/>
    <cellStyle name="Normal 6 5 3 20" xfId="41920"/>
    <cellStyle name="Normal 6 5 3 3" xfId="11456"/>
    <cellStyle name="Normal 6 5 3 3 2" xfId="41921"/>
    <cellStyle name="Normal 6 5 3 3 2 2" xfId="41922"/>
    <cellStyle name="Normal 6 5 3 3 2 3" xfId="41923"/>
    <cellStyle name="Normal 6 5 3 3 2 4" xfId="41924"/>
    <cellStyle name="Normal 6 5 3 3 3" xfId="41925"/>
    <cellStyle name="Normal 6 5 3 3 3 2" xfId="41926"/>
    <cellStyle name="Normal 6 5 3 3 3 3" xfId="41927"/>
    <cellStyle name="Normal 6 5 3 3 4" xfId="41928"/>
    <cellStyle name="Normal 6 5 3 3 4 2" xfId="41929"/>
    <cellStyle name="Normal 6 5 3 3 5" xfId="41930"/>
    <cellStyle name="Normal 6 5 3 3 5 2" xfId="41931"/>
    <cellStyle name="Normal 6 5 3 3 6" xfId="41932"/>
    <cellStyle name="Normal 6 5 3 3 6 2" xfId="41933"/>
    <cellStyle name="Normal 6 5 3 3 7" xfId="41934"/>
    <cellStyle name="Normal 6 5 3 4" xfId="11457"/>
    <cellStyle name="Normal 6 5 3 4 2" xfId="41935"/>
    <cellStyle name="Normal 6 5 3 4 3" xfId="41936"/>
    <cellStyle name="Normal 6 5 3 4 4" xfId="41937"/>
    <cellStyle name="Normal 6 5 3 5" xfId="11458"/>
    <cellStyle name="Normal 6 5 3 5 2" xfId="41938"/>
    <cellStyle name="Normal 6 5 3 5 3" xfId="41939"/>
    <cellStyle name="Normal 6 5 3 5 4" xfId="41940"/>
    <cellStyle name="Normal 6 5 3 6" xfId="11459"/>
    <cellStyle name="Normal 6 5 3 6 2" xfId="41941"/>
    <cellStyle name="Normal 6 5 3 6 3" xfId="41942"/>
    <cellStyle name="Normal 6 5 3 6 4" xfId="41943"/>
    <cellStyle name="Normal 6 5 3 7" xfId="11460"/>
    <cellStyle name="Normal 6 5 3 7 2" xfId="41944"/>
    <cellStyle name="Normal 6 5 3 7 3" xfId="41945"/>
    <cellStyle name="Normal 6 5 3 8" xfId="11461"/>
    <cellStyle name="Normal 6 5 3 8 2" xfId="41946"/>
    <cellStyle name="Normal 6 5 3 9" xfId="11462"/>
    <cellStyle name="Normal 6 5 3 9 2" xfId="41947"/>
    <cellStyle name="Normal 6 5 30" xfId="41948"/>
    <cellStyle name="Normal 6 5 4" xfId="942"/>
    <cellStyle name="Normal 6 5 4 10" xfId="11464"/>
    <cellStyle name="Normal 6 5 4 10 2" xfId="41950"/>
    <cellStyle name="Normal 6 5 4 11" xfId="11465"/>
    <cellStyle name="Normal 6 5 4 12" xfId="11466"/>
    <cellStyle name="Normal 6 5 4 13" xfId="11467"/>
    <cellStyle name="Normal 6 5 4 14" xfId="11468"/>
    <cellStyle name="Normal 6 5 4 15" xfId="12041"/>
    <cellStyle name="Normal 6 5 4 16" xfId="41949"/>
    <cellStyle name="Normal 6 5 4 17" xfId="41951"/>
    <cellStyle name="Normal 6 5 4 18" xfId="41952"/>
    <cellStyle name="Normal 6 5 4 19" xfId="41953"/>
    <cellStyle name="Normal 6 5 4 2" xfId="11463"/>
    <cellStyle name="Normal 6 5 4 2 10" xfId="41954"/>
    <cellStyle name="Normal 6 5 4 2 11" xfId="41955"/>
    <cellStyle name="Normal 6 5 4 2 12" xfId="41956"/>
    <cellStyle name="Normal 6 5 4 2 13" xfId="41957"/>
    <cellStyle name="Normal 6 5 4 2 14" xfId="41958"/>
    <cellStyle name="Normal 6 5 4 2 15" xfId="41959"/>
    <cellStyle name="Normal 6 5 4 2 2" xfId="41960"/>
    <cellStyle name="Normal 6 5 4 2 2 2" xfId="41961"/>
    <cellStyle name="Normal 6 5 4 2 2 2 2" xfId="41962"/>
    <cellStyle name="Normal 6 5 4 2 2 3" xfId="41963"/>
    <cellStyle name="Normal 6 5 4 2 2 4" xfId="41964"/>
    <cellStyle name="Normal 6 5 4 2 2 5" xfId="41965"/>
    <cellStyle name="Normal 6 5 4 2 2 6" xfId="41966"/>
    <cellStyle name="Normal 6 5 4 2 2 7" xfId="41967"/>
    <cellStyle name="Normal 6 5 4 2 3" xfId="41968"/>
    <cellStyle name="Normal 6 5 4 2 3 2" xfId="41969"/>
    <cellStyle name="Normal 6 5 4 2 3 3" xfId="41970"/>
    <cellStyle name="Normal 6 5 4 2 3 4" xfId="41971"/>
    <cellStyle name="Normal 6 5 4 2 4" xfId="41972"/>
    <cellStyle name="Normal 6 5 4 2 4 2" xfId="41973"/>
    <cellStyle name="Normal 6 5 4 2 4 3" xfId="41974"/>
    <cellStyle name="Normal 6 5 4 2 4 4" xfId="41975"/>
    <cellStyle name="Normal 6 5 4 2 5" xfId="41976"/>
    <cellStyle name="Normal 6 5 4 2 5 2" xfId="41977"/>
    <cellStyle name="Normal 6 5 4 2 5 3" xfId="41978"/>
    <cellStyle name="Normal 6 5 4 2 5 4" xfId="41979"/>
    <cellStyle name="Normal 6 5 4 2 6" xfId="41980"/>
    <cellStyle name="Normal 6 5 4 2 6 2" xfId="41981"/>
    <cellStyle name="Normal 6 5 4 2 6 3" xfId="41982"/>
    <cellStyle name="Normal 6 5 4 2 7" xfId="41983"/>
    <cellStyle name="Normal 6 5 4 2 7 2" xfId="41984"/>
    <cellStyle name="Normal 6 5 4 2 8" xfId="41985"/>
    <cellStyle name="Normal 6 5 4 2 8 2" xfId="41986"/>
    <cellStyle name="Normal 6 5 4 2 9" xfId="41987"/>
    <cellStyle name="Normal 6 5 4 2 9 2" xfId="41988"/>
    <cellStyle name="Normal 6 5 4 20" xfId="41989"/>
    <cellStyle name="Normal 6 5 4 3" xfId="11470"/>
    <cellStyle name="Normal 6 5 4 3 2" xfId="41990"/>
    <cellStyle name="Normal 6 5 4 3 2 2" xfId="41991"/>
    <cellStyle name="Normal 6 5 4 3 2 3" xfId="41992"/>
    <cellStyle name="Normal 6 5 4 3 2 4" xfId="41993"/>
    <cellStyle name="Normal 6 5 4 3 3" xfId="41994"/>
    <cellStyle name="Normal 6 5 4 3 3 2" xfId="41995"/>
    <cellStyle name="Normal 6 5 4 3 3 3" xfId="41996"/>
    <cellStyle name="Normal 6 5 4 3 4" xfId="41997"/>
    <cellStyle name="Normal 6 5 4 3 4 2" xfId="41998"/>
    <cellStyle name="Normal 6 5 4 3 5" xfId="41999"/>
    <cellStyle name="Normal 6 5 4 3 5 2" xfId="42000"/>
    <cellStyle name="Normal 6 5 4 3 6" xfId="42001"/>
    <cellStyle name="Normal 6 5 4 3 6 2" xfId="42002"/>
    <cellStyle name="Normal 6 5 4 3 7" xfId="42003"/>
    <cellStyle name="Normal 6 5 4 4" xfId="11471"/>
    <cellStyle name="Normal 6 5 4 4 2" xfId="42004"/>
    <cellStyle name="Normal 6 5 4 4 3" xfId="42005"/>
    <cellStyle name="Normal 6 5 4 4 4" xfId="42006"/>
    <cellStyle name="Normal 6 5 4 5" xfId="11472"/>
    <cellStyle name="Normal 6 5 4 5 2" xfId="42007"/>
    <cellStyle name="Normal 6 5 4 5 3" xfId="42008"/>
    <cellStyle name="Normal 6 5 4 5 4" xfId="42009"/>
    <cellStyle name="Normal 6 5 4 6" xfId="11473"/>
    <cellStyle name="Normal 6 5 4 6 2" xfId="42010"/>
    <cellStyle name="Normal 6 5 4 6 3" xfId="42011"/>
    <cellStyle name="Normal 6 5 4 6 4" xfId="42012"/>
    <cellStyle name="Normal 6 5 4 7" xfId="11474"/>
    <cellStyle name="Normal 6 5 4 7 2" xfId="42013"/>
    <cellStyle name="Normal 6 5 4 7 3" xfId="42014"/>
    <cellStyle name="Normal 6 5 4 8" xfId="11475"/>
    <cellStyle name="Normal 6 5 4 8 2" xfId="42015"/>
    <cellStyle name="Normal 6 5 4 9" xfId="11476"/>
    <cellStyle name="Normal 6 5 4 9 2" xfId="42016"/>
    <cellStyle name="Normal 6 5 5" xfId="943"/>
    <cellStyle name="Normal 6 5 5 10" xfId="11478"/>
    <cellStyle name="Normal 6 5 5 10 2" xfId="42018"/>
    <cellStyle name="Normal 6 5 5 11" xfId="11479"/>
    <cellStyle name="Normal 6 5 5 12" xfId="11480"/>
    <cellStyle name="Normal 6 5 5 13" xfId="11481"/>
    <cellStyle name="Normal 6 5 5 14" xfId="11482"/>
    <cellStyle name="Normal 6 5 5 15" xfId="12042"/>
    <cellStyle name="Normal 6 5 5 16" xfId="42017"/>
    <cellStyle name="Normal 6 5 5 17" xfId="42019"/>
    <cellStyle name="Normal 6 5 5 18" xfId="42020"/>
    <cellStyle name="Normal 6 5 5 19" xfId="42021"/>
    <cellStyle name="Normal 6 5 5 2" xfId="11477"/>
    <cellStyle name="Normal 6 5 5 2 10" xfId="42022"/>
    <cellStyle name="Normal 6 5 5 2 11" xfId="42023"/>
    <cellStyle name="Normal 6 5 5 2 12" xfId="42024"/>
    <cellStyle name="Normal 6 5 5 2 13" xfId="42025"/>
    <cellStyle name="Normal 6 5 5 2 14" xfId="42026"/>
    <cellStyle name="Normal 6 5 5 2 15" xfId="42027"/>
    <cellStyle name="Normal 6 5 5 2 2" xfId="42028"/>
    <cellStyle name="Normal 6 5 5 2 2 2" xfId="42029"/>
    <cellStyle name="Normal 6 5 5 2 2 2 2" xfId="42030"/>
    <cellStyle name="Normal 6 5 5 2 2 3" xfId="42031"/>
    <cellStyle name="Normal 6 5 5 2 2 4" xfId="42032"/>
    <cellStyle name="Normal 6 5 5 2 2 5" xfId="42033"/>
    <cellStyle name="Normal 6 5 5 2 2 6" xfId="42034"/>
    <cellStyle name="Normal 6 5 5 2 2 7" xfId="42035"/>
    <cellStyle name="Normal 6 5 5 2 3" xfId="42036"/>
    <cellStyle name="Normal 6 5 5 2 3 2" xfId="42037"/>
    <cellStyle name="Normal 6 5 5 2 3 3" xfId="42038"/>
    <cellStyle name="Normal 6 5 5 2 3 4" xfId="42039"/>
    <cellStyle name="Normal 6 5 5 2 4" xfId="42040"/>
    <cellStyle name="Normal 6 5 5 2 4 2" xfId="42041"/>
    <cellStyle name="Normal 6 5 5 2 4 3" xfId="42042"/>
    <cellStyle name="Normal 6 5 5 2 4 4" xfId="42043"/>
    <cellStyle name="Normal 6 5 5 2 5" xfId="42044"/>
    <cellStyle name="Normal 6 5 5 2 5 2" xfId="42045"/>
    <cellStyle name="Normal 6 5 5 2 5 3" xfId="42046"/>
    <cellStyle name="Normal 6 5 5 2 5 4" xfId="42047"/>
    <cellStyle name="Normal 6 5 5 2 6" xfId="42048"/>
    <cellStyle name="Normal 6 5 5 2 6 2" xfId="42049"/>
    <cellStyle name="Normal 6 5 5 2 6 3" xfId="42050"/>
    <cellStyle name="Normal 6 5 5 2 7" xfId="42051"/>
    <cellStyle name="Normal 6 5 5 2 7 2" xfId="42052"/>
    <cellStyle name="Normal 6 5 5 2 8" xfId="42053"/>
    <cellStyle name="Normal 6 5 5 2 8 2" xfId="42054"/>
    <cellStyle name="Normal 6 5 5 2 9" xfId="42055"/>
    <cellStyle name="Normal 6 5 5 2 9 2" xfId="42056"/>
    <cellStyle name="Normal 6 5 5 20" xfId="42057"/>
    <cellStyle name="Normal 6 5 5 3" xfId="11484"/>
    <cellStyle name="Normal 6 5 5 3 2" xfId="42058"/>
    <cellStyle name="Normal 6 5 5 3 2 2" xfId="42059"/>
    <cellStyle name="Normal 6 5 5 3 2 3" xfId="42060"/>
    <cellStyle name="Normal 6 5 5 3 2 4" xfId="42061"/>
    <cellStyle name="Normal 6 5 5 3 3" xfId="42062"/>
    <cellStyle name="Normal 6 5 5 3 3 2" xfId="42063"/>
    <cellStyle name="Normal 6 5 5 3 3 3" xfId="42064"/>
    <cellStyle name="Normal 6 5 5 3 4" xfId="42065"/>
    <cellStyle name="Normal 6 5 5 3 4 2" xfId="42066"/>
    <cellStyle name="Normal 6 5 5 3 5" xfId="42067"/>
    <cellStyle name="Normal 6 5 5 3 5 2" xfId="42068"/>
    <cellStyle name="Normal 6 5 5 3 6" xfId="42069"/>
    <cellStyle name="Normal 6 5 5 3 6 2" xfId="42070"/>
    <cellStyle name="Normal 6 5 5 3 7" xfId="42071"/>
    <cellStyle name="Normal 6 5 5 4" xfId="11485"/>
    <cellStyle name="Normal 6 5 5 4 2" xfId="42072"/>
    <cellStyle name="Normal 6 5 5 4 3" xfId="42073"/>
    <cellStyle name="Normal 6 5 5 4 4" xfId="42074"/>
    <cellStyle name="Normal 6 5 5 5" xfId="11486"/>
    <cellStyle name="Normal 6 5 5 5 2" xfId="42075"/>
    <cellStyle name="Normal 6 5 5 5 3" xfId="42076"/>
    <cellStyle name="Normal 6 5 5 5 4" xfId="42077"/>
    <cellStyle name="Normal 6 5 5 6" xfId="11487"/>
    <cellStyle name="Normal 6 5 5 6 2" xfId="42078"/>
    <cellStyle name="Normal 6 5 5 6 3" xfId="42079"/>
    <cellStyle name="Normal 6 5 5 6 4" xfId="42080"/>
    <cellStyle name="Normal 6 5 5 7" xfId="11488"/>
    <cellStyle name="Normal 6 5 5 7 2" xfId="42081"/>
    <cellStyle name="Normal 6 5 5 7 3" xfId="42082"/>
    <cellStyle name="Normal 6 5 5 8" xfId="11489"/>
    <cellStyle name="Normal 6 5 5 8 2" xfId="42083"/>
    <cellStyle name="Normal 6 5 5 9" xfId="11490"/>
    <cellStyle name="Normal 6 5 5 9 2" xfId="42084"/>
    <cellStyle name="Normal 6 5 6" xfId="944"/>
    <cellStyle name="Normal 6 5 6 10" xfId="11492"/>
    <cellStyle name="Normal 6 5 6 10 2" xfId="42086"/>
    <cellStyle name="Normal 6 5 6 11" xfId="11493"/>
    <cellStyle name="Normal 6 5 6 12" xfId="11494"/>
    <cellStyle name="Normal 6 5 6 13" xfId="11495"/>
    <cellStyle name="Normal 6 5 6 14" xfId="11496"/>
    <cellStyle name="Normal 6 5 6 15" xfId="12043"/>
    <cellStyle name="Normal 6 5 6 16" xfId="42085"/>
    <cellStyle name="Normal 6 5 6 17" xfId="42087"/>
    <cellStyle name="Normal 6 5 6 18" xfId="42088"/>
    <cellStyle name="Normal 6 5 6 19" xfId="42089"/>
    <cellStyle name="Normal 6 5 6 2" xfId="11491"/>
    <cellStyle name="Normal 6 5 6 2 10" xfId="42090"/>
    <cellStyle name="Normal 6 5 6 2 11" xfId="42091"/>
    <cellStyle name="Normal 6 5 6 2 12" xfId="42092"/>
    <cellStyle name="Normal 6 5 6 2 13" xfId="42093"/>
    <cellStyle name="Normal 6 5 6 2 14" xfId="42094"/>
    <cellStyle name="Normal 6 5 6 2 15" xfId="42095"/>
    <cellStyle name="Normal 6 5 6 2 2" xfId="42096"/>
    <cellStyle name="Normal 6 5 6 2 2 2" xfId="42097"/>
    <cellStyle name="Normal 6 5 6 2 2 2 2" xfId="42098"/>
    <cellStyle name="Normal 6 5 6 2 2 3" xfId="42099"/>
    <cellStyle name="Normal 6 5 6 2 2 4" xfId="42100"/>
    <cellStyle name="Normal 6 5 6 2 2 5" xfId="42101"/>
    <cellStyle name="Normal 6 5 6 2 2 6" xfId="42102"/>
    <cellStyle name="Normal 6 5 6 2 2 7" xfId="42103"/>
    <cellStyle name="Normal 6 5 6 2 3" xfId="42104"/>
    <cellStyle name="Normal 6 5 6 2 3 2" xfId="42105"/>
    <cellStyle name="Normal 6 5 6 2 3 3" xfId="42106"/>
    <cellStyle name="Normal 6 5 6 2 3 4" xfId="42107"/>
    <cellStyle name="Normal 6 5 6 2 4" xfId="42108"/>
    <cellStyle name="Normal 6 5 6 2 4 2" xfId="42109"/>
    <cellStyle name="Normal 6 5 6 2 4 3" xfId="42110"/>
    <cellStyle name="Normal 6 5 6 2 4 4" xfId="42111"/>
    <cellStyle name="Normal 6 5 6 2 5" xfId="42112"/>
    <cellStyle name="Normal 6 5 6 2 5 2" xfId="42113"/>
    <cellStyle name="Normal 6 5 6 2 5 3" xfId="42114"/>
    <cellStyle name="Normal 6 5 6 2 5 4" xfId="42115"/>
    <cellStyle name="Normal 6 5 6 2 6" xfId="42116"/>
    <cellStyle name="Normal 6 5 6 2 6 2" xfId="42117"/>
    <cellStyle name="Normal 6 5 6 2 6 3" xfId="42118"/>
    <cellStyle name="Normal 6 5 6 2 7" xfId="42119"/>
    <cellStyle name="Normal 6 5 6 2 7 2" xfId="42120"/>
    <cellStyle name="Normal 6 5 6 2 8" xfId="42121"/>
    <cellStyle name="Normal 6 5 6 2 8 2" xfId="42122"/>
    <cellStyle name="Normal 6 5 6 2 9" xfId="42123"/>
    <cellStyle name="Normal 6 5 6 2 9 2" xfId="42124"/>
    <cellStyle name="Normal 6 5 6 20" xfId="42125"/>
    <cellStyle name="Normal 6 5 6 3" xfId="11498"/>
    <cellStyle name="Normal 6 5 6 3 2" xfId="42126"/>
    <cellStyle name="Normal 6 5 6 3 2 2" xfId="42127"/>
    <cellStyle name="Normal 6 5 6 3 2 3" xfId="42128"/>
    <cellStyle name="Normal 6 5 6 3 2 4" xfId="42129"/>
    <cellStyle name="Normal 6 5 6 3 3" xfId="42130"/>
    <cellStyle name="Normal 6 5 6 3 3 2" xfId="42131"/>
    <cellStyle name="Normal 6 5 6 3 3 3" xfId="42132"/>
    <cellStyle name="Normal 6 5 6 3 4" xfId="42133"/>
    <cellStyle name="Normal 6 5 6 3 4 2" xfId="42134"/>
    <cellStyle name="Normal 6 5 6 3 5" xfId="42135"/>
    <cellStyle name="Normal 6 5 6 3 5 2" xfId="42136"/>
    <cellStyle name="Normal 6 5 6 3 6" xfId="42137"/>
    <cellStyle name="Normal 6 5 6 3 6 2" xfId="42138"/>
    <cellStyle name="Normal 6 5 6 3 7" xfId="42139"/>
    <cellStyle name="Normal 6 5 6 4" xfId="11499"/>
    <cellStyle name="Normal 6 5 6 4 2" xfId="42140"/>
    <cellStyle name="Normal 6 5 6 4 3" xfId="42141"/>
    <cellStyle name="Normal 6 5 6 4 4" xfId="42142"/>
    <cellStyle name="Normal 6 5 6 5" xfId="11500"/>
    <cellStyle name="Normal 6 5 6 5 2" xfId="42143"/>
    <cellStyle name="Normal 6 5 6 5 3" xfId="42144"/>
    <cellStyle name="Normal 6 5 6 5 4" xfId="42145"/>
    <cellStyle name="Normal 6 5 6 6" xfId="11501"/>
    <cellStyle name="Normal 6 5 6 6 2" xfId="42146"/>
    <cellStyle name="Normal 6 5 6 6 3" xfId="42147"/>
    <cellStyle name="Normal 6 5 6 6 4" xfId="42148"/>
    <cellStyle name="Normal 6 5 6 7" xfId="11502"/>
    <cellStyle name="Normal 6 5 6 7 2" xfId="42149"/>
    <cellStyle name="Normal 6 5 6 7 3" xfId="42150"/>
    <cellStyle name="Normal 6 5 6 8" xfId="11503"/>
    <cellStyle name="Normal 6 5 6 8 2" xfId="42151"/>
    <cellStyle name="Normal 6 5 6 9" xfId="11504"/>
    <cellStyle name="Normal 6 5 6 9 2" xfId="42152"/>
    <cellStyle name="Normal 6 5 7" xfId="945"/>
    <cellStyle name="Normal 6 5 7 10" xfId="11506"/>
    <cellStyle name="Normal 6 5 7 10 2" xfId="42154"/>
    <cellStyle name="Normal 6 5 7 11" xfId="11507"/>
    <cellStyle name="Normal 6 5 7 12" xfId="11508"/>
    <cellStyle name="Normal 6 5 7 13" xfId="11509"/>
    <cellStyle name="Normal 6 5 7 14" xfId="11510"/>
    <cellStyle name="Normal 6 5 7 15" xfId="12044"/>
    <cellStyle name="Normal 6 5 7 16" xfId="42153"/>
    <cellStyle name="Normal 6 5 7 17" xfId="42155"/>
    <cellStyle name="Normal 6 5 7 18" xfId="42156"/>
    <cellStyle name="Normal 6 5 7 19" xfId="42157"/>
    <cellStyle name="Normal 6 5 7 2" xfId="11505"/>
    <cellStyle name="Normal 6 5 7 2 10" xfId="42158"/>
    <cellStyle name="Normal 6 5 7 2 11" xfId="42159"/>
    <cellStyle name="Normal 6 5 7 2 12" xfId="42160"/>
    <cellStyle name="Normal 6 5 7 2 13" xfId="42161"/>
    <cellStyle name="Normal 6 5 7 2 14" xfId="42162"/>
    <cellStyle name="Normal 6 5 7 2 15" xfId="42163"/>
    <cellStyle name="Normal 6 5 7 2 2" xfId="42164"/>
    <cellStyle name="Normal 6 5 7 2 2 2" xfId="42165"/>
    <cellStyle name="Normal 6 5 7 2 2 2 2" xfId="42166"/>
    <cellStyle name="Normal 6 5 7 2 2 3" xfId="42167"/>
    <cellStyle name="Normal 6 5 7 2 2 4" xfId="42168"/>
    <cellStyle name="Normal 6 5 7 2 2 5" xfId="42169"/>
    <cellStyle name="Normal 6 5 7 2 2 6" xfId="42170"/>
    <cellStyle name="Normal 6 5 7 2 2 7" xfId="42171"/>
    <cellStyle name="Normal 6 5 7 2 3" xfId="42172"/>
    <cellStyle name="Normal 6 5 7 2 3 2" xfId="42173"/>
    <cellStyle name="Normal 6 5 7 2 3 3" xfId="42174"/>
    <cellStyle name="Normal 6 5 7 2 3 4" xfId="42175"/>
    <cellStyle name="Normal 6 5 7 2 4" xfId="42176"/>
    <cellStyle name="Normal 6 5 7 2 4 2" xfId="42177"/>
    <cellStyle name="Normal 6 5 7 2 4 3" xfId="42178"/>
    <cellStyle name="Normal 6 5 7 2 4 4" xfId="42179"/>
    <cellStyle name="Normal 6 5 7 2 5" xfId="42180"/>
    <cellStyle name="Normal 6 5 7 2 5 2" xfId="42181"/>
    <cellStyle name="Normal 6 5 7 2 5 3" xfId="42182"/>
    <cellStyle name="Normal 6 5 7 2 5 4" xfId="42183"/>
    <cellStyle name="Normal 6 5 7 2 6" xfId="42184"/>
    <cellStyle name="Normal 6 5 7 2 6 2" xfId="42185"/>
    <cellStyle name="Normal 6 5 7 2 6 3" xfId="42186"/>
    <cellStyle name="Normal 6 5 7 2 7" xfId="42187"/>
    <cellStyle name="Normal 6 5 7 2 7 2" xfId="42188"/>
    <cellStyle name="Normal 6 5 7 2 8" xfId="42189"/>
    <cellStyle name="Normal 6 5 7 2 8 2" xfId="42190"/>
    <cellStyle name="Normal 6 5 7 2 9" xfId="42191"/>
    <cellStyle name="Normal 6 5 7 2 9 2" xfId="42192"/>
    <cellStyle name="Normal 6 5 7 3" xfId="11512"/>
    <cellStyle name="Normal 6 5 7 3 2" xfId="42193"/>
    <cellStyle name="Normal 6 5 7 3 2 2" xfId="42194"/>
    <cellStyle name="Normal 6 5 7 3 2 3" xfId="42195"/>
    <cellStyle name="Normal 6 5 7 3 2 4" xfId="42196"/>
    <cellStyle name="Normal 6 5 7 3 3" xfId="42197"/>
    <cellStyle name="Normal 6 5 7 3 3 2" xfId="42198"/>
    <cellStyle name="Normal 6 5 7 3 3 3" xfId="42199"/>
    <cellStyle name="Normal 6 5 7 3 4" xfId="42200"/>
    <cellStyle name="Normal 6 5 7 3 4 2" xfId="42201"/>
    <cellStyle name="Normal 6 5 7 3 5" xfId="42202"/>
    <cellStyle name="Normal 6 5 7 3 5 2" xfId="42203"/>
    <cellStyle name="Normal 6 5 7 3 6" xfId="42204"/>
    <cellStyle name="Normal 6 5 7 3 6 2" xfId="42205"/>
    <cellStyle name="Normal 6 5 7 3 7" xfId="42206"/>
    <cellStyle name="Normal 6 5 7 4" xfId="11513"/>
    <cellStyle name="Normal 6 5 7 4 2" xfId="42207"/>
    <cellStyle name="Normal 6 5 7 4 3" xfId="42208"/>
    <cellStyle name="Normal 6 5 7 4 4" xfId="42209"/>
    <cellStyle name="Normal 6 5 7 5" xfId="11514"/>
    <cellStyle name="Normal 6 5 7 5 2" xfId="42210"/>
    <cellStyle name="Normal 6 5 7 5 3" xfId="42211"/>
    <cellStyle name="Normal 6 5 7 5 4" xfId="42212"/>
    <cellStyle name="Normal 6 5 7 6" xfId="11515"/>
    <cellStyle name="Normal 6 5 7 6 2" xfId="42213"/>
    <cellStyle name="Normal 6 5 7 6 3" xfId="42214"/>
    <cellStyle name="Normal 6 5 7 6 4" xfId="42215"/>
    <cellStyle name="Normal 6 5 7 7" xfId="11516"/>
    <cellStyle name="Normal 6 5 7 7 2" xfId="42216"/>
    <cellStyle name="Normal 6 5 7 7 3" xfId="42217"/>
    <cellStyle name="Normal 6 5 7 8" xfId="11517"/>
    <cellStyle name="Normal 6 5 7 8 2" xfId="42218"/>
    <cellStyle name="Normal 6 5 7 9" xfId="11518"/>
    <cellStyle name="Normal 6 5 7 9 2" xfId="42219"/>
    <cellStyle name="Normal 6 5 8" xfId="946"/>
    <cellStyle name="Normal 6 5 8 10" xfId="11520"/>
    <cellStyle name="Normal 6 5 8 10 2" xfId="42221"/>
    <cellStyle name="Normal 6 5 8 11" xfId="11521"/>
    <cellStyle name="Normal 6 5 8 12" xfId="11522"/>
    <cellStyle name="Normal 6 5 8 13" xfId="11523"/>
    <cellStyle name="Normal 6 5 8 14" xfId="11524"/>
    <cellStyle name="Normal 6 5 8 15" xfId="12045"/>
    <cellStyle name="Normal 6 5 8 16" xfId="42220"/>
    <cellStyle name="Normal 6 5 8 17" xfId="42222"/>
    <cellStyle name="Normal 6 5 8 2" xfId="11519"/>
    <cellStyle name="Normal 6 5 8 2 10" xfId="42223"/>
    <cellStyle name="Normal 6 5 8 2 11" xfId="42224"/>
    <cellStyle name="Normal 6 5 8 2 2" xfId="42225"/>
    <cellStyle name="Normal 6 5 8 2 2 2" xfId="42226"/>
    <cellStyle name="Normal 6 5 8 2 2 3" xfId="42227"/>
    <cellStyle name="Normal 6 5 8 2 2 4" xfId="42228"/>
    <cellStyle name="Normal 6 5 8 2 3" xfId="42229"/>
    <cellStyle name="Normal 6 5 8 2 3 2" xfId="42230"/>
    <cellStyle name="Normal 6 5 8 2 3 3" xfId="42231"/>
    <cellStyle name="Normal 6 5 8 2 3 4" xfId="42232"/>
    <cellStyle name="Normal 6 5 8 2 4" xfId="42233"/>
    <cellStyle name="Normal 6 5 8 2 4 2" xfId="42234"/>
    <cellStyle name="Normal 6 5 8 2 4 3" xfId="42235"/>
    <cellStyle name="Normal 6 5 8 2 4 4" xfId="42236"/>
    <cellStyle name="Normal 6 5 8 2 5" xfId="42237"/>
    <cellStyle name="Normal 6 5 8 2 5 2" xfId="42238"/>
    <cellStyle name="Normal 6 5 8 2 5 3" xfId="42239"/>
    <cellStyle name="Normal 6 5 8 2 5 4" xfId="42240"/>
    <cellStyle name="Normal 6 5 8 2 6" xfId="42241"/>
    <cellStyle name="Normal 6 5 8 2 6 2" xfId="42242"/>
    <cellStyle name="Normal 6 5 8 2 7" xfId="42243"/>
    <cellStyle name="Normal 6 5 8 2 7 2" xfId="42244"/>
    <cellStyle name="Normal 6 5 8 2 8" xfId="42245"/>
    <cellStyle name="Normal 6 5 8 2 8 2" xfId="42246"/>
    <cellStyle name="Normal 6 5 8 2 9" xfId="42247"/>
    <cellStyle name="Normal 6 5 8 2 9 2" xfId="42248"/>
    <cellStyle name="Normal 6 5 8 3" xfId="11526"/>
    <cellStyle name="Normal 6 5 8 3 2" xfId="42249"/>
    <cellStyle name="Normal 6 5 8 3 2 2" xfId="42250"/>
    <cellStyle name="Normal 6 5 8 3 2 3" xfId="42251"/>
    <cellStyle name="Normal 6 5 8 3 2 4" xfId="42252"/>
    <cellStyle name="Normal 6 5 8 3 3" xfId="42253"/>
    <cellStyle name="Normal 6 5 8 3 3 2" xfId="42254"/>
    <cellStyle name="Normal 6 5 8 3 3 3" xfId="42255"/>
    <cellStyle name="Normal 6 5 8 3 4" xfId="42256"/>
    <cellStyle name="Normal 6 5 8 3 4 2" xfId="42257"/>
    <cellStyle name="Normal 6 5 8 3 5" xfId="42258"/>
    <cellStyle name="Normal 6 5 8 3 5 2" xfId="42259"/>
    <cellStyle name="Normal 6 5 8 3 6" xfId="42260"/>
    <cellStyle name="Normal 6 5 8 3 6 2" xfId="42261"/>
    <cellStyle name="Normal 6 5 8 3 7" xfId="42262"/>
    <cellStyle name="Normal 6 5 8 4" xfId="11527"/>
    <cellStyle name="Normal 6 5 8 4 2" xfId="42263"/>
    <cellStyle name="Normal 6 5 8 4 3" xfId="42264"/>
    <cellStyle name="Normal 6 5 8 4 4" xfId="42265"/>
    <cellStyle name="Normal 6 5 8 5" xfId="11528"/>
    <cellStyle name="Normal 6 5 8 5 2" xfId="42266"/>
    <cellStyle name="Normal 6 5 8 5 3" xfId="42267"/>
    <cellStyle name="Normal 6 5 8 5 4" xfId="42268"/>
    <cellStyle name="Normal 6 5 8 6" xfId="11529"/>
    <cellStyle name="Normal 6 5 8 6 2" xfId="42269"/>
    <cellStyle name="Normal 6 5 8 6 3" xfId="42270"/>
    <cellStyle name="Normal 6 5 8 6 4" xfId="42271"/>
    <cellStyle name="Normal 6 5 8 7" xfId="11530"/>
    <cellStyle name="Normal 6 5 8 7 2" xfId="42272"/>
    <cellStyle name="Normal 6 5 8 7 3" xfId="42273"/>
    <cellStyle name="Normal 6 5 8 8" xfId="11531"/>
    <cellStyle name="Normal 6 5 8 8 2" xfId="42274"/>
    <cellStyle name="Normal 6 5 8 9" xfId="11532"/>
    <cellStyle name="Normal 6 5 8 9 2" xfId="42275"/>
    <cellStyle name="Normal 6 5 9" xfId="947"/>
    <cellStyle name="Normal 6 5 9 10" xfId="42277"/>
    <cellStyle name="Normal 6 5 9 10 2" xfId="42278"/>
    <cellStyle name="Normal 6 5 9 11" xfId="42279"/>
    <cellStyle name="Normal 6 5 9 12" xfId="42280"/>
    <cellStyle name="Normal 6 5 9 13" xfId="42281"/>
    <cellStyle name="Normal 6 5 9 14" xfId="42282"/>
    <cellStyle name="Normal 6 5 9 15" xfId="42283"/>
    <cellStyle name="Normal 6 5 9 16" xfId="42284"/>
    <cellStyle name="Normal 6 5 9 17" xfId="42285"/>
    <cellStyle name="Normal 6 5 9 2" xfId="11533"/>
    <cellStyle name="Normal 6 5 9 2 10" xfId="42286"/>
    <cellStyle name="Normal 6 5 9 2 11" xfId="42287"/>
    <cellStyle name="Normal 6 5 9 2 2" xfId="42288"/>
    <cellStyle name="Normal 6 5 9 2 2 2" xfId="42289"/>
    <cellStyle name="Normal 6 5 9 2 2 3" xfId="42290"/>
    <cellStyle name="Normal 6 5 9 2 2 4" xfId="42291"/>
    <cellStyle name="Normal 6 5 9 2 3" xfId="42292"/>
    <cellStyle name="Normal 6 5 9 2 3 2" xfId="42293"/>
    <cellStyle name="Normal 6 5 9 2 3 3" xfId="42294"/>
    <cellStyle name="Normal 6 5 9 2 3 4" xfId="42295"/>
    <cellStyle name="Normal 6 5 9 2 4" xfId="42296"/>
    <cellStyle name="Normal 6 5 9 2 4 2" xfId="42297"/>
    <cellStyle name="Normal 6 5 9 2 4 3" xfId="42298"/>
    <cellStyle name="Normal 6 5 9 2 4 4" xfId="42299"/>
    <cellStyle name="Normal 6 5 9 2 5" xfId="42300"/>
    <cellStyle name="Normal 6 5 9 2 5 2" xfId="42301"/>
    <cellStyle name="Normal 6 5 9 2 5 3" xfId="42302"/>
    <cellStyle name="Normal 6 5 9 2 5 4" xfId="42303"/>
    <cellStyle name="Normal 6 5 9 2 6" xfId="42304"/>
    <cellStyle name="Normal 6 5 9 2 6 2" xfId="42305"/>
    <cellStyle name="Normal 6 5 9 2 7" xfId="42306"/>
    <cellStyle name="Normal 6 5 9 2 7 2" xfId="42307"/>
    <cellStyle name="Normal 6 5 9 2 8" xfId="42308"/>
    <cellStyle name="Normal 6 5 9 2 8 2" xfId="42309"/>
    <cellStyle name="Normal 6 5 9 2 9" xfId="42310"/>
    <cellStyle name="Normal 6 5 9 2 9 2" xfId="42311"/>
    <cellStyle name="Normal 6 5 9 3" xfId="12046"/>
    <cellStyle name="Normal 6 5 9 3 2" xfId="42312"/>
    <cellStyle name="Normal 6 5 9 3 2 2" xfId="42313"/>
    <cellStyle name="Normal 6 5 9 3 2 3" xfId="42314"/>
    <cellStyle name="Normal 6 5 9 3 2 4" xfId="42315"/>
    <cellStyle name="Normal 6 5 9 3 3" xfId="42316"/>
    <cellStyle name="Normal 6 5 9 3 3 2" xfId="42317"/>
    <cellStyle name="Normal 6 5 9 3 3 3" xfId="42318"/>
    <cellStyle name="Normal 6 5 9 3 4" xfId="42319"/>
    <cellStyle name="Normal 6 5 9 3 4 2" xfId="42320"/>
    <cellStyle name="Normal 6 5 9 3 5" xfId="42321"/>
    <cellStyle name="Normal 6 5 9 3 5 2" xfId="42322"/>
    <cellStyle name="Normal 6 5 9 3 6" xfId="42323"/>
    <cellStyle name="Normal 6 5 9 3 6 2" xfId="42324"/>
    <cellStyle name="Normal 6 5 9 3 7" xfId="42325"/>
    <cellStyle name="Normal 6 5 9 4" xfId="42276"/>
    <cellStyle name="Normal 6 5 9 4 2" xfId="42326"/>
    <cellStyle name="Normal 6 5 9 4 3" xfId="42327"/>
    <cellStyle name="Normal 6 5 9 4 4" xfId="42328"/>
    <cellStyle name="Normal 6 5 9 5" xfId="42329"/>
    <cellStyle name="Normal 6 5 9 5 2" xfId="42330"/>
    <cellStyle name="Normal 6 5 9 5 3" xfId="42331"/>
    <cellStyle name="Normal 6 5 9 5 4" xfId="42332"/>
    <cellStyle name="Normal 6 5 9 6" xfId="42333"/>
    <cellStyle name="Normal 6 5 9 6 2" xfId="42334"/>
    <cellStyle name="Normal 6 5 9 6 3" xfId="42335"/>
    <cellStyle name="Normal 6 5 9 6 4" xfId="42336"/>
    <cellStyle name="Normal 6 5 9 7" xfId="42337"/>
    <cellStyle name="Normal 6 5 9 7 2" xfId="42338"/>
    <cellStyle name="Normal 6 5 9 7 3" xfId="42339"/>
    <cellStyle name="Normal 6 5 9 8" xfId="42340"/>
    <cellStyle name="Normal 6 5 9 8 2" xfId="42341"/>
    <cellStyle name="Normal 6 5 9 9" xfId="42342"/>
    <cellStyle name="Normal 6 5 9 9 2" xfId="42343"/>
    <cellStyle name="Normal 6 6" xfId="948"/>
    <cellStyle name="Normal 6 6 10" xfId="949"/>
    <cellStyle name="Normal 6 6 10 10" xfId="42346"/>
    <cellStyle name="Normal 6 6 10 10 2" xfId="42347"/>
    <cellStyle name="Normal 6 6 10 11" xfId="42348"/>
    <cellStyle name="Normal 6 6 10 12" xfId="42349"/>
    <cellStyle name="Normal 6 6 10 13" xfId="42350"/>
    <cellStyle name="Normal 6 6 10 14" xfId="42351"/>
    <cellStyle name="Normal 6 6 10 15" xfId="42352"/>
    <cellStyle name="Normal 6 6 10 16" xfId="42353"/>
    <cellStyle name="Normal 6 6 10 2" xfId="11535"/>
    <cellStyle name="Normal 6 6 10 2 10" xfId="42354"/>
    <cellStyle name="Normal 6 6 10 2 11" xfId="42355"/>
    <cellStyle name="Normal 6 6 10 2 2" xfId="42356"/>
    <cellStyle name="Normal 6 6 10 2 2 2" xfId="42357"/>
    <cellStyle name="Normal 6 6 10 2 2 3" xfId="42358"/>
    <cellStyle name="Normal 6 6 10 2 2 4" xfId="42359"/>
    <cellStyle name="Normal 6 6 10 2 3" xfId="42360"/>
    <cellStyle name="Normal 6 6 10 2 3 2" xfId="42361"/>
    <cellStyle name="Normal 6 6 10 2 3 3" xfId="42362"/>
    <cellStyle name="Normal 6 6 10 2 3 4" xfId="42363"/>
    <cellStyle name="Normal 6 6 10 2 4" xfId="42364"/>
    <cellStyle name="Normal 6 6 10 2 4 2" xfId="42365"/>
    <cellStyle name="Normal 6 6 10 2 4 3" xfId="42366"/>
    <cellStyle name="Normal 6 6 10 2 4 4" xfId="42367"/>
    <cellStyle name="Normal 6 6 10 2 5" xfId="42368"/>
    <cellStyle name="Normal 6 6 10 2 5 2" xfId="42369"/>
    <cellStyle name="Normal 6 6 10 2 5 3" xfId="42370"/>
    <cellStyle name="Normal 6 6 10 2 5 4" xfId="42371"/>
    <cellStyle name="Normal 6 6 10 2 6" xfId="42372"/>
    <cellStyle name="Normal 6 6 10 2 6 2" xfId="42373"/>
    <cellStyle name="Normal 6 6 10 2 7" xfId="42374"/>
    <cellStyle name="Normal 6 6 10 2 7 2" xfId="42375"/>
    <cellStyle name="Normal 6 6 10 2 8" xfId="42376"/>
    <cellStyle name="Normal 6 6 10 2 8 2" xfId="42377"/>
    <cellStyle name="Normal 6 6 10 2 9" xfId="42378"/>
    <cellStyle name="Normal 6 6 10 2 9 2" xfId="42379"/>
    <cellStyle name="Normal 6 6 10 3" xfId="12048"/>
    <cellStyle name="Normal 6 6 10 3 2" xfId="42380"/>
    <cellStyle name="Normal 6 6 10 3 2 2" xfId="42381"/>
    <cellStyle name="Normal 6 6 10 3 2 3" xfId="42382"/>
    <cellStyle name="Normal 6 6 10 3 2 4" xfId="42383"/>
    <cellStyle name="Normal 6 6 10 3 3" xfId="42384"/>
    <cellStyle name="Normal 6 6 10 3 3 2" xfId="42385"/>
    <cellStyle name="Normal 6 6 10 3 3 3" xfId="42386"/>
    <cellStyle name="Normal 6 6 10 3 4" xfId="42387"/>
    <cellStyle name="Normal 6 6 10 3 4 2" xfId="42388"/>
    <cellStyle name="Normal 6 6 10 3 5" xfId="42389"/>
    <cellStyle name="Normal 6 6 10 3 5 2" xfId="42390"/>
    <cellStyle name="Normal 6 6 10 3 6" xfId="42391"/>
    <cellStyle name="Normal 6 6 10 3 6 2" xfId="42392"/>
    <cellStyle name="Normal 6 6 10 3 7" xfId="42393"/>
    <cellStyle name="Normal 6 6 10 4" xfId="42345"/>
    <cellStyle name="Normal 6 6 10 4 2" xfId="42394"/>
    <cellStyle name="Normal 6 6 10 4 3" xfId="42395"/>
    <cellStyle name="Normal 6 6 10 4 4" xfId="42396"/>
    <cellStyle name="Normal 6 6 10 5" xfId="42397"/>
    <cellStyle name="Normal 6 6 10 5 2" xfId="42398"/>
    <cellStyle name="Normal 6 6 10 5 3" xfId="42399"/>
    <cellStyle name="Normal 6 6 10 5 4" xfId="42400"/>
    <cellStyle name="Normal 6 6 10 6" xfId="42401"/>
    <cellStyle name="Normal 6 6 10 6 2" xfId="42402"/>
    <cellStyle name="Normal 6 6 10 6 3" xfId="42403"/>
    <cellStyle name="Normal 6 6 10 6 4" xfId="42404"/>
    <cellStyle name="Normal 6 6 10 7" xfId="42405"/>
    <cellStyle name="Normal 6 6 10 7 2" xfId="42406"/>
    <cellStyle name="Normal 6 6 10 7 3" xfId="42407"/>
    <cellStyle name="Normal 6 6 10 8" xfId="42408"/>
    <cellStyle name="Normal 6 6 10 8 2" xfId="42409"/>
    <cellStyle name="Normal 6 6 10 9" xfId="42410"/>
    <cellStyle name="Normal 6 6 10 9 2" xfId="42411"/>
    <cellStyle name="Normal 6 6 11" xfId="11534"/>
    <cellStyle name="Normal 6 6 11 10" xfId="42412"/>
    <cellStyle name="Normal 6 6 11 10 2" xfId="42413"/>
    <cellStyle name="Normal 6 6 11 11" xfId="42414"/>
    <cellStyle name="Normal 6 6 11 2" xfId="42415"/>
    <cellStyle name="Normal 6 6 11 2 2" xfId="42416"/>
    <cellStyle name="Normal 6 6 11 2 2 2" xfId="42417"/>
    <cellStyle name="Normal 6 6 11 2 2 3" xfId="42418"/>
    <cellStyle name="Normal 6 6 11 2 3" xfId="42419"/>
    <cellStyle name="Normal 6 6 11 2 3 2" xfId="42420"/>
    <cellStyle name="Normal 6 6 11 2 4" xfId="42421"/>
    <cellStyle name="Normal 6 6 11 2 4 2" xfId="42422"/>
    <cellStyle name="Normal 6 6 11 2 5" xfId="42423"/>
    <cellStyle name="Normal 6 6 11 2 5 2" xfId="42424"/>
    <cellStyle name="Normal 6 6 11 2 6" xfId="42425"/>
    <cellStyle name="Normal 6 6 11 2 7" xfId="42426"/>
    <cellStyle name="Normal 6 6 11 2 8" xfId="42427"/>
    <cellStyle name="Normal 6 6 11 2 9" xfId="42428"/>
    <cellStyle name="Normal 6 6 11 3" xfId="42429"/>
    <cellStyle name="Normal 6 6 11 3 2" xfId="42430"/>
    <cellStyle name="Normal 6 6 11 3 2 2" xfId="42431"/>
    <cellStyle name="Normal 6 6 11 3 2 3" xfId="42432"/>
    <cellStyle name="Normal 6 6 11 3 3" xfId="42433"/>
    <cellStyle name="Normal 6 6 11 3 3 2" xfId="42434"/>
    <cellStyle name="Normal 6 6 11 3 4" xfId="42435"/>
    <cellStyle name="Normal 6 6 11 3 5" xfId="42436"/>
    <cellStyle name="Normal 6 6 11 3 6" xfId="42437"/>
    <cellStyle name="Normal 6 6 11 3 7" xfId="42438"/>
    <cellStyle name="Normal 6 6 11 4" xfId="42439"/>
    <cellStyle name="Normal 6 6 11 4 2" xfId="42440"/>
    <cellStyle name="Normal 6 6 11 4 3" xfId="42441"/>
    <cellStyle name="Normal 6 6 11 4 4" xfId="42442"/>
    <cellStyle name="Normal 6 6 11 5" xfId="42443"/>
    <cellStyle name="Normal 6 6 11 5 2" xfId="42444"/>
    <cellStyle name="Normal 6 6 11 5 3" xfId="42445"/>
    <cellStyle name="Normal 6 6 11 5 4" xfId="42446"/>
    <cellStyle name="Normal 6 6 11 6" xfId="42447"/>
    <cellStyle name="Normal 6 6 11 6 2" xfId="42448"/>
    <cellStyle name="Normal 6 6 11 6 3" xfId="42449"/>
    <cellStyle name="Normal 6 6 11 7" xfId="42450"/>
    <cellStyle name="Normal 6 6 11 7 2" xfId="42451"/>
    <cellStyle name="Normal 6 6 11 8" xfId="42452"/>
    <cellStyle name="Normal 6 6 11 8 2" xfId="42453"/>
    <cellStyle name="Normal 6 6 11 9" xfId="42454"/>
    <cellStyle name="Normal 6 6 11 9 2" xfId="42455"/>
    <cellStyle name="Normal 6 6 12" xfId="11537"/>
    <cellStyle name="Normal 6 6 12 2" xfId="42456"/>
    <cellStyle name="Normal 6 6 12 2 2" xfId="42457"/>
    <cellStyle name="Normal 6 6 12 2 3" xfId="42458"/>
    <cellStyle name="Normal 6 6 12 2 4" xfId="42459"/>
    <cellStyle name="Normal 6 6 12 3" xfId="42460"/>
    <cellStyle name="Normal 6 6 12 3 2" xfId="42461"/>
    <cellStyle name="Normal 6 6 12 3 3" xfId="42462"/>
    <cellStyle name="Normal 6 6 12 4" xfId="42463"/>
    <cellStyle name="Normal 6 6 12 4 2" xfId="42464"/>
    <cellStyle name="Normal 6 6 12 4 3" xfId="42465"/>
    <cellStyle name="Normal 6 6 12 5" xfId="42466"/>
    <cellStyle name="Normal 6 6 12 5 2" xfId="42467"/>
    <cellStyle name="Normal 6 6 12 5 3" xfId="42468"/>
    <cellStyle name="Normal 6 6 12 6" xfId="42469"/>
    <cellStyle name="Normal 6 6 12 6 2" xfId="42470"/>
    <cellStyle name="Normal 6 6 12 7" xfId="42471"/>
    <cellStyle name="Normal 6 6 12 8" xfId="42472"/>
    <cellStyle name="Normal 6 6 12 9" xfId="42473"/>
    <cellStyle name="Normal 6 6 13" xfId="11538"/>
    <cellStyle name="Normal 6 6 13 2" xfId="42474"/>
    <cellStyle name="Normal 6 6 13 2 2" xfId="42475"/>
    <cellStyle name="Normal 6 6 13 2 3" xfId="42476"/>
    <cellStyle name="Normal 6 6 13 3" xfId="42477"/>
    <cellStyle name="Normal 6 6 13 3 2" xfId="42478"/>
    <cellStyle name="Normal 6 6 13 4" xfId="42479"/>
    <cellStyle name="Normal 6 6 13 5" xfId="42480"/>
    <cellStyle name="Normal 6 6 13 6" xfId="42481"/>
    <cellStyle name="Normal 6 6 13 7" xfId="42482"/>
    <cellStyle name="Normal 6 6 14" xfId="11539"/>
    <cellStyle name="Normal 6 6 14 2" xfId="42483"/>
    <cellStyle name="Normal 6 6 14 3" xfId="42484"/>
    <cellStyle name="Normal 6 6 14 4" xfId="42485"/>
    <cellStyle name="Normal 6 6 15" xfId="11540"/>
    <cellStyle name="Normal 6 6 15 2" xfId="42486"/>
    <cellStyle name="Normal 6 6 15 3" xfId="42487"/>
    <cellStyle name="Normal 6 6 15 4" xfId="42488"/>
    <cellStyle name="Normal 6 6 16" xfId="11541"/>
    <cellStyle name="Normal 6 6 16 2" xfId="42489"/>
    <cellStyle name="Normal 6 6 16 3" xfId="42490"/>
    <cellStyle name="Normal 6 6 16 4" xfId="42491"/>
    <cellStyle name="Normal 6 6 17" xfId="11542"/>
    <cellStyle name="Normal 6 6 17 2" xfId="42492"/>
    <cellStyle name="Normal 6 6 18" xfId="11543"/>
    <cellStyle name="Normal 6 6 18 2" xfId="42493"/>
    <cellStyle name="Normal 6 6 19" xfId="11544"/>
    <cellStyle name="Normal 6 6 19 2" xfId="42494"/>
    <cellStyle name="Normal 6 6 2" xfId="950"/>
    <cellStyle name="Normal 6 6 2 10" xfId="11546"/>
    <cellStyle name="Normal 6 6 2 10 2" xfId="42496"/>
    <cellStyle name="Normal 6 6 2 11" xfId="11547"/>
    <cellStyle name="Normal 6 6 2 12" xfId="11548"/>
    <cellStyle name="Normal 6 6 2 13" xfId="11549"/>
    <cellStyle name="Normal 6 6 2 14" xfId="11550"/>
    <cellStyle name="Normal 6 6 2 15" xfId="12049"/>
    <cellStyle name="Normal 6 6 2 16" xfId="42495"/>
    <cellStyle name="Normal 6 6 2 17" xfId="42497"/>
    <cellStyle name="Normal 6 6 2 18" xfId="42498"/>
    <cellStyle name="Normal 6 6 2 19" xfId="42499"/>
    <cellStyle name="Normal 6 6 2 2" xfId="11545"/>
    <cellStyle name="Normal 6 6 2 2 10" xfId="42500"/>
    <cellStyle name="Normal 6 6 2 2 11" xfId="42501"/>
    <cellStyle name="Normal 6 6 2 2 12" xfId="42502"/>
    <cellStyle name="Normal 6 6 2 2 13" xfId="42503"/>
    <cellStyle name="Normal 6 6 2 2 14" xfId="42504"/>
    <cellStyle name="Normal 6 6 2 2 15" xfId="42505"/>
    <cellStyle name="Normal 6 6 2 2 2" xfId="42506"/>
    <cellStyle name="Normal 6 6 2 2 2 2" xfId="42507"/>
    <cellStyle name="Normal 6 6 2 2 2 2 2" xfId="42508"/>
    <cellStyle name="Normal 6 6 2 2 2 3" xfId="42509"/>
    <cellStyle name="Normal 6 6 2 2 2 4" xfId="42510"/>
    <cellStyle name="Normal 6 6 2 2 2 5" xfId="42511"/>
    <cellStyle name="Normal 6 6 2 2 2 6" xfId="42512"/>
    <cellStyle name="Normal 6 6 2 2 2 7" xfId="42513"/>
    <cellStyle name="Normal 6 6 2 2 3" xfId="42514"/>
    <cellStyle name="Normal 6 6 2 2 3 2" xfId="42515"/>
    <cellStyle name="Normal 6 6 2 2 3 3" xfId="42516"/>
    <cellStyle name="Normal 6 6 2 2 3 4" xfId="42517"/>
    <cellStyle name="Normal 6 6 2 2 4" xfId="42518"/>
    <cellStyle name="Normal 6 6 2 2 4 2" xfId="42519"/>
    <cellStyle name="Normal 6 6 2 2 4 3" xfId="42520"/>
    <cellStyle name="Normal 6 6 2 2 4 4" xfId="42521"/>
    <cellStyle name="Normal 6 6 2 2 5" xfId="42522"/>
    <cellStyle name="Normal 6 6 2 2 5 2" xfId="42523"/>
    <cellStyle name="Normal 6 6 2 2 5 3" xfId="42524"/>
    <cellStyle name="Normal 6 6 2 2 5 4" xfId="42525"/>
    <cellStyle name="Normal 6 6 2 2 6" xfId="42526"/>
    <cellStyle name="Normal 6 6 2 2 6 2" xfId="42527"/>
    <cellStyle name="Normal 6 6 2 2 6 3" xfId="42528"/>
    <cellStyle name="Normal 6 6 2 2 7" xfId="42529"/>
    <cellStyle name="Normal 6 6 2 2 7 2" xfId="42530"/>
    <cellStyle name="Normal 6 6 2 2 8" xfId="42531"/>
    <cellStyle name="Normal 6 6 2 2 8 2" xfId="42532"/>
    <cellStyle name="Normal 6 6 2 2 9" xfId="42533"/>
    <cellStyle name="Normal 6 6 2 2 9 2" xfId="42534"/>
    <cellStyle name="Normal 6 6 2 20" xfId="42535"/>
    <cellStyle name="Normal 6 6 2 3" xfId="11552"/>
    <cellStyle name="Normal 6 6 2 3 2" xfId="42536"/>
    <cellStyle name="Normal 6 6 2 3 2 2" xfId="42537"/>
    <cellStyle name="Normal 6 6 2 3 2 3" xfId="42538"/>
    <cellStyle name="Normal 6 6 2 3 2 4" xfId="42539"/>
    <cellStyle name="Normal 6 6 2 3 3" xfId="42540"/>
    <cellStyle name="Normal 6 6 2 3 3 2" xfId="42541"/>
    <cellStyle name="Normal 6 6 2 3 3 3" xfId="42542"/>
    <cellStyle name="Normal 6 6 2 3 4" xfId="42543"/>
    <cellStyle name="Normal 6 6 2 3 4 2" xfId="42544"/>
    <cellStyle name="Normal 6 6 2 3 5" xfId="42545"/>
    <cellStyle name="Normal 6 6 2 3 5 2" xfId="42546"/>
    <cellStyle name="Normal 6 6 2 3 6" xfId="42547"/>
    <cellStyle name="Normal 6 6 2 3 6 2" xfId="42548"/>
    <cellStyle name="Normal 6 6 2 3 7" xfId="42549"/>
    <cellStyle name="Normal 6 6 2 4" xfId="11553"/>
    <cellStyle name="Normal 6 6 2 4 2" xfId="42550"/>
    <cellStyle name="Normal 6 6 2 4 3" xfId="42551"/>
    <cellStyle name="Normal 6 6 2 4 4" xfId="42552"/>
    <cellStyle name="Normal 6 6 2 5" xfId="11554"/>
    <cellStyle name="Normal 6 6 2 5 2" xfId="42553"/>
    <cellStyle name="Normal 6 6 2 5 3" xfId="42554"/>
    <cellStyle name="Normal 6 6 2 5 4" xfId="42555"/>
    <cellStyle name="Normal 6 6 2 6" xfId="11555"/>
    <cellStyle name="Normal 6 6 2 6 2" xfId="42556"/>
    <cellStyle name="Normal 6 6 2 6 3" xfId="42557"/>
    <cellStyle name="Normal 6 6 2 6 4" xfId="42558"/>
    <cellStyle name="Normal 6 6 2 7" xfId="11556"/>
    <cellStyle name="Normal 6 6 2 7 2" xfId="42559"/>
    <cellStyle name="Normal 6 6 2 7 3" xfId="42560"/>
    <cellStyle name="Normal 6 6 2 8" xfId="11557"/>
    <cellStyle name="Normal 6 6 2 8 2" xfId="42561"/>
    <cellStyle name="Normal 6 6 2 9" xfId="11558"/>
    <cellStyle name="Normal 6 6 2 9 2" xfId="42562"/>
    <cellStyle name="Normal 6 6 20" xfId="11559"/>
    <cellStyle name="Normal 6 6 20 2" xfId="42563"/>
    <cellStyle name="Normal 6 6 21" xfId="11560"/>
    <cellStyle name="Normal 6 6 22" xfId="11561"/>
    <cellStyle name="Normal 6 6 23" xfId="12047"/>
    <cellStyle name="Normal 6 6 24" xfId="42344"/>
    <cellStyle name="Normal 6 6 25" xfId="42564"/>
    <cellStyle name="Normal 6 6 26" xfId="42565"/>
    <cellStyle name="Normal 6 6 27" xfId="42566"/>
    <cellStyle name="Normal 6 6 28" xfId="42567"/>
    <cellStyle name="Normal 6 6 29" xfId="42568"/>
    <cellStyle name="Normal 6 6 3" xfId="951"/>
    <cellStyle name="Normal 6 6 3 10" xfId="11563"/>
    <cellStyle name="Normal 6 6 3 10 2" xfId="42570"/>
    <cellStyle name="Normal 6 6 3 11" xfId="11564"/>
    <cellStyle name="Normal 6 6 3 12" xfId="11565"/>
    <cellStyle name="Normal 6 6 3 13" xfId="11566"/>
    <cellStyle name="Normal 6 6 3 14" xfId="11567"/>
    <cellStyle name="Normal 6 6 3 15" xfId="12050"/>
    <cellStyle name="Normal 6 6 3 16" xfId="42569"/>
    <cellStyle name="Normal 6 6 3 17" xfId="42571"/>
    <cellStyle name="Normal 6 6 3 18" xfId="42572"/>
    <cellStyle name="Normal 6 6 3 19" xfId="42573"/>
    <cellStyle name="Normal 6 6 3 2" xfId="11562"/>
    <cellStyle name="Normal 6 6 3 2 10" xfId="42574"/>
    <cellStyle name="Normal 6 6 3 2 11" xfId="42575"/>
    <cellStyle name="Normal 6 6 3 2 12" xfId="42576"/>
    <cellStyle name="Normal 6 6 3 2 13" xfId="42577"/>
    <cellStyle name="Normal 6 6 3 2 14" xfId="42578"/>
    <cellStyle name="Normal 6 6 3 2 15" xfId="42579"/>
    <cellStyle name="Normal 6 6 3 2 2" xfId="42580"/>
    <cellStyle name="Normal 6 6 3 2 2 2" xfId="42581"/>
    <cellStyle name="Normal 6 6 3 2 2 2 2" xfId="42582"/>
    <cellStyle name="Normal 6 6 3 2 2 3" xfId="42583"/>
    <cellStyle name="Normal 6 6 3 2 2 4" xfId="42584"/>
    <cellStyle name="Normal 6 6 3 2 2 5" xfId="42585"/>
    <cellStyle name="Normal 6 6 3 2 2 6" xfId="42586"/>
    <cellStyle name="Normal 6 6 3 2 2 7" xfId="42587"/>
    <cellStyle name="Normal 6 6 3 2 3" xfId="42588"/>
    <cellStyle name="Normal 6 6 3 2 3 2" xfId="42589"/>
    <cellStyle name="Normal 6 6 3 2 3 3" xfId="42590"/>
    <cellStyle name="Normal 6 6 3 2 3 4" xfId="42591"/>
    <cellStyle name="Normal 6 6 3 2 4" xfId="42592"/>
    <cellStyle name="Normal 6 6 3 2 4 2" xfId="42593"/>
    <cellStyle name="Normal 6 6 3 2 4 3" xfId="42594"/>
    <cellStyle name="Normal 6 6 3 2 4 4" xfId="42595"/>
    <cellStyle name="Normal 6 6 3 2 5" xfId="42596"/>
    <cellStyle name="Normal 6 6 3 2 5 2" xfId="42597"/>
    <cellStyle name="Normal 6 6 3 2 5 3" xfId="42598"/>
    <cellStyle name="Normal 6 6 3 2 5 4" xfId="42599"/>
    <cellStyle name="Normal 6 6 3 2 6" xfId="42600"/>
    <cellStyle name="Normal 6 6 3 2 6 2" xfId="42601"/>
    <cellStyle name="Normal 6 6 3 2 6 3" xfId="42602"/>
    <cellStyle name="Normal 6 6 3 2 7" xfId="42603"/>
    <cellStyle name="Normal 6 6 3 2 7 2" xfId="42604"/>
    <cellStyle name="Normal 6 6 3 2 8" xfId="42605"/>
    <cellStyle name="Normal 6 6 3 2 8 2" xfId="42606"/>
    <cellStyle name="Normal 6 6 3 2 9" xfId="42607"/>
    <cellStyle name="Normal 6 6 3 2 9 2" xfId="42608"/>
    <cellStyle name="Normal 6 6 3 20" xfId="42609"/>
    <cellStyle name="Normal 6 6 3 3" xfId="11569"/>
    <cellStyle name="Normal 6 6 3 3 2" xfId="42610"/>
    <cellStyle name="Normal 6 6 3 3 2 2" xfId="42611"/>
    <cellStyle name="Normal 6 6 3 3 2 3" xfId="42612"/>
    <cellStyle name="Normal 6 6 3 3 2 4" xfId="42613"/>
    <cellStyle name="Normal 6 6 3 3 3" xfId="42614"/>
    <cellStyle name="Normal 6 6 3 3 3 2" xfId="42615"/>
    <cellStyle name="Normal 6 6 3 3 3 3" xfId="42616"/>
    <cellStyle name="Normal 6 6 3 3 4" xfId="42617"/>
    <cellStyle name="Normal 6 6 3 3 4 2" xfId="42618"/>
    <cellStyle name="Normal 6 6 3 3 5" xfId="42619"/>
    <cellStyle name="Normal 6 6 3 3 5 2" xfId="42620"/>
    <cellStyle name="Normal 6 6 3 3 6" xfId="42621"/>
    <cellStyle name="Normal 6 6 3 3 6 2" xfId="42622"/>
    <cellStyle name="Normal 6 6 3 3 7" xfId="42623"/>
    <cellStyle name="Normal 6 6 3 4" xfId="11570"/>
    <cellStyle name="Normal 6 6 3 4 2" xfId="42624"/>
    <cellStyle name="Normal 6 6 3 4 3" xfId="42625"/>
    <cellStyle name="Normal 6 6 3 4 4" xfId="42626"/>
    <cellStyle name="Normal 6 6 3 5" xfId="11571"/>
    <cellStyle name="Normal 6 6 3 5 2" xfId="42627"/>
    <cellStyle name="Normal 6 6 3 5 3" xfId="42628"/>
    <cellStyle name="Normal 6 6 3 5 4" xfId="42629"/>
    <cellStyle name="Normal 6 6 3 6" xfId="11572"/>
    <cellStyle name="Normal 6 6 3 6 2" xfId="42630"/>
    <cellStyle name="Normal 6 6 3 6 3" xfId="42631"/>
    <cellStyle name="Normal 6 6 3 6 4" xfId="42632"/>
    <cellStyle name="Normal 6 6 3 7" xfId="11573"/>
    <cellStyle name="Normal 6 6 3 7 2" xfId="42633"/>
    <cellStyle name="Normal 6 6 3 7 3" xfId="42634"/>
    <cellStyle name="Normal 6 6 3 8" xfId="11574"/>
    <cellStyle name="Normal 6 6 3 8 2" xfId="42635"/>
    <cellStyle name="Normal 6 6 3 9" xfId="11575"/>
    <cellStyle name="Normal 6 6 3 9 2" xfId="42636"/>
    <cellStyle name="Normal 6 6 4" xfId="952"/>
    <cellStyle name="Normal 6 6 4 10" xfId="11577"/>
    <cellStyle name="Normal 6 6 4 10 2" xfId="42638"/>
    <cellStyle name="Normal 6 6 4 11" xfId="11578"/>
    <cellStyle name="Normal 6 6 4 12" xfId="11579"/>
    <cellStyle name="Normal 6 6 4 13" xfId="11580"/>
    <cellStyle name="Normal 6 6 4 14" xfId="11581"/>
    <cellStyle name="Normal 6 6 4 15" xfId="12051"/>
    <cellStyle name="Normal 6 6 4 16" xfId="42637"/>
    <cellStyle name="Normal 6 6 4 17" xfId="42639"/>
    <cellStyle name="Normal 6 6 4 18" xfId="42640"/>
    <cellStyle name="Normal 6 6 4 19" xfId="42641"/>
    <cellStyle name="Normal 6 6 4 2" xfId="11576"/>
    <cellStyle name="Normal 6 6 4 2 10" xfId="42642"/>
    <cellStyle name="Normal 6 6 4 2 11" xfId="42643"/>
    <cellStyle name="Normal 6 6 4 2 12" xfId="42644"/>
    <cellStyle name="Normal 6 6 4 2 13" xfId="42645"/>
    <cellStyle name="Normal 6 6 4 2 14" xfId="42646"/>
    <cellStyle name="Normal 6 6 4 2 15" xfId="42647"/>
    <cellStyle name="Normal 6 6 4 2 2" xfId="42648"/>
    <cellStyle name="Normal 6 6 4 2 2 2" xfId="42649"/>
    <cellStyle name="Normal 6 6 4 2 2 2 2" xfId="42650"/>
    <cellStyle name="Normal 6 6 4 2 2 3" xfId="42651"/>
    <cellStyle name="Normal 6 6 4 2 2 4" xfId="42652"/>
    <cellStyle name="Normal 6 6 4 2 2 5" xfId="42653"/>
    <cellStyle name="Normal 6 6 4 2 2 6" xfId="42654"/>
    <cellStyle name="Normal 6 6 4 2 2 7" xfId="42655"/>
    <cellStyle name="Normal 6 6 4 2 3" xfId="42656"/>
    <cellStyle name="Normal 6 6 4 2 3 2" xfId="42657"/>
    <cellStyle name="Normal 6 6 4 2 3 3" xfId="42658"/>
    <cellStyle name="Normal 6 6 4 2 3 4" xfId="42659"/>
    <cellStyle name="Normal 6 6 4 2 4" xfId="42660"/>
    <cellStyle name="Normal 6 6 4 2 4 2" xfId="42661"/>
    <cellStyle name="Normal 6 6 4 2 4 3" xfId="42662"/>
    <cellStyle name="Normal 6 6 4 2 4 4" xfId="42663"/>
    <cellStyle name="Normal 6 6 4 2 5" xfId="42664"/>
    <cellStyle name="Normal 6 6 4 2 5 2" xfId="42665"/>
    <cellStyle name="Normal 6 6 4 2 5 3" xfId="42666"/>
    <cellStyle name="Normal 6 6 4 2 5 4" xfId="42667"/>
    <cellStyle name="Normal 6 6 4 2 6" xfId="42668"/>
    <cellStyle name="Normal 6 6 4 2 6 2" xfId="42669"/>
    <cellStyle name="Normal 6 6 4 2 6 3" xfId="42670"/>
    <cellStyle name="Normal 6 6 4 2 7" xfId="42671"/>
    <cellStyle name="Normal 6 6 4 2 7 2" xfId="42672"/>
    <cellStyle name="Normal 6 6 4 2 8" xfId="42673"/>
    <cellStyle name="Normal 6 6 4 2 8 2" xfId="42674"/>
    <cellStyle name="Normal 6 6 4 2 9" xfId="42675"/>
    <cellStyle name="Normal 6 6 4 2 9 2" xfId="42676"/>
    <cellStyle name="Normal 6 6 4 20" xfId="42677"/>
    <cellStyle name="Normal 6 6 4 3" xfId="11583"/>
    <cellStyle name="Normal 6 6 4 3 2" xfId="42678"/>
    <cellStyle name="Normal 6 6 4 3 2 2" xfId="42679"/>
    <cellStyle name="Normal 6 6 4 3 2 3" xfId="42680"/>
    <cellStyle name="Normal 6 6 4 3 2 4" xfId="42681"/>
    <cellStyle name="Normal 6 6 4 3 3" xfId="42682"/>
    <cellStyle name="Normal 6 6 4 3 3 2" xfId="42683"/>
    <cellStyle name="Normal 6 6 4 3 3 3" xfId="42684"/>
    <cellStyle name="Normal 6 6 4 3 4" xfId="42685"/>
    <cellStyle name="Normal 6 6 4 3 4 2" xfId="42686"/>
    <cellStyle name="Normal 6 6 4 3 5" xfId="42687"/>
    <cellStyle name="Normal 6 6 4 3 5 2" xfId="42688"/>
    <cellStyle name="Normal 6 6 4 3 6" xfId="42689"/>
    <cellStyle name="Normal 6 6 4 3 6 2" xfId="42690"/>
    <cellStyle name="Normal 6 6 4 3 7" xfId="42691"/>
    <cellStyle name="Normal 6 6 4 4" xfId="11584"/>
    <cellStyle name="Normal 6 6 4 4 2" xfId="42692"/>
    <cellStyle name="Normal 6 6 4 4 3" xfId="42693"/>
    <cellStyle name="Normal 6 6 4 4 4" xfId="42694"/>
    <cellStyle name="Normal 6 6 4 5" xfId="11585"/>
    <cellStyle name="Normal 6 6 4 5 2" xfId="42695"/>
    <cellStyle name="Normal 6 6 4 5 3" xfId="42696"/>
    <cellStyle name="Normal 6 6 4 5 4" xfId="42697"/>
    <cellStyle name="Normal 6 6 4 6" xfId="11586"/>
    <cellStyle name="Normal 6 6 4 6 2" xfId="42698"/>
    <cellStyle name="Normal 6 6 4 6 3" xfId="42699"/>
    <cellStyle name="Normal 6 6 4 6 4" xfId="42700"/>
    <cellStyle name="Normal 6 6 4 7" xfId="11587"/>
    <cellStyle name="Normal 6 6 4 7 2" xfId="42701"/>
    <cellStyle name="Normal 6 6 4 7 3" xfId="42702"/>
    <cellStyle name="Normal 6 6 4 8" xfId="11588"/>
    <cellStyle name="Normal 6 6 4 8 2" xfId="42703"/>
    <cellStyle name="Normal 6 6 4 9" xfId="11589"/>
    <cellStyle name="Normal 6 6 4 9 2" xfId="42704"/>
    <cellStyle name="Normal 6 6 5" xfId="953"/>
    <cellStyle name="Normal 6 6 5 10" xfId="11591"/>
    <cellStyle name="Normal 6 6 5 10 2" xfId="42706"/>
    <cellStyle name="Normal 6 6 5 11" xfId="11592"/>
    <cellStyle name="Normal 6 6 5 12" xfId="11593"/>
    <cellStyle name="Normal 6 6 5 13" xfId="11594"/>
    <cellStyle name="Normal 6 6 5 14" xfId="11595"/>
    <cellStyle name="Normal 6 6 5 15" xfId="12052"/>
    <cellStyle name="Normal 6 6 5 16" xfId="42705"/>
    <cellStyle name="Normal 6 6 5 17" xfId="42707"/>
    <cellStyle name="Normal 6 6 5 18" xfId="42708"/>
    <cellStyle name="Normal 6 6 5 19" xfId="42709"/>
    <cellStyle name="Normal 6 6 5 2" xfId="11590"/>
    <cellStyle name="Normal 6 6 5 2 10" xfId="42710"/>
    <cellStyle name="Normal 6 6 5 2 11" xfId="42711"/>
    <cellStyle name="Normal 6 6 5 2 12" xfId="42712"/>
    <cellStyle name="Normal 6 6 5 2 13" xfId="42713"/>
    <cellStyle name="Normal 6 6 5 2 14" xfId="42714"/>
    <cellStyle name="Normal 6 6 5 2 15" xfId="42715"/>
    <cellStyle name="Normal 6 6 5 2 2" xfId="42716"/>
    <cellStyle name="Normal 6 6 5 2 2 2" xfId="42717"/>
    <cellStyle name="Normal 6 6 5 2 2 2 2" xfId="42718"/>
    <cellStyle name="Normal 6 6 5 2 2 3" xfId="42719"/>
    <cellStyle name="Normal 6 6 5 2 2 4" xfId="42720"/>
    <cellStyle name="Normal 6 6 5 2 2 5" xfId="42721"/>
    <cellStyle name="Normal 6 6 5 2 2 6" xfId="42722"/>
    <cellStyle name="Normal 6 6 5 2 2 7" xfId="42723"/>
    <cellStyle name="Normal 6 6 5 2 3" xfId="42724"/>
    <cellStyle name="Normal 6 6 5 2 3 2" xfId="42725"/>
    <cellStyle name="Normal 6 6 5 2 3 3" xfId="42726"/>
    <cellStyle name="Normal 6 6 5 2 3 4" xfId="42727"/>
    <cellStyle name="Normal 6 6 5 2 4" xfId="42728"/>
    <cellStyle name="Normal 6 6 5 2 4 2" xfId="42729"/>
    <cellStyle name="Normal 6 6 5 2 4 3" xfId="42730"/>
    <cellStyle name="Normal 6 6 5 2 4 4" xfId="42731"/>
    <cellStyle name="Normal 6 6 5 2 5" xfId="42732"/>
    <cellStyle name="Normal 6 6 5 2 5 2" xfId="42733"/>
    <cellStyle name="Normal 6 6 5 2 5 3" xfId="42734"/>
    <cellStyle name="Normal 6 6 5 2 5 4" xfId="42735"/>
    <cellStyle name="Normal 6 6 5 2 6" xfId="42736"/>
    <cellStyle name="Normal 6 6 5 2 6 2" xfId="42737"/>
    <cellStyle name="Normal 6 6 5 2 6 3" xfId="42738"/>
    <cellStyle name="Normal 6 6 5 2 7" xfId="42739"/>
    <cellStyle name="Normal 6 6 5 2 7 2" xfId="42740"/>
    <cellStyle name="Normal 6 6 5 2 8" xfId="42741"/>
    <cellStyle name="Normal 6 6 5 2 8 2" xfId="42742"/>
    <cellStyle name="Normal 6 6 5 2 9" xfId="42743"/>
    <cellStyle name="Normal 6 6 5 2 9 2" xfId="42744"/>
    <cellStyle name="Normal 6 6 5 3" xfId="11597"/>
    <cellStyle name="Normal 6 6 5 3 2" xfId="42745"/>
    <cellStyle name="Normal 6 6 5 3 2 2" xfId="42746"/>
    <cellStyle name="Normal 6 6 5 3 2 3" xfId="42747"/>
    <cellStyle name="Normal 6 6 5 3 2 4" xfId="42748"/>
    <cellStyle name="Normal 6 6 5 3 3" xfId="42749"/>
    <cellStyle name="Normal 6 6 5 3 3 2" xfId="42750"/>
    <cellStyle name="Normal 6 6 5 3 3 3" xfId="42751"/>
    <cellStyle name="Normal 6 6 5 3 4" xfId="42752"/>
    <cellStyle name="Normal 6 6 5 3 4 2" xfId="42753"/>
    <cellStyle name="Normal 6 6 5 3 5" xfId="42754"/>
    <cellStyle name="Normal 6 6 5 3 5 2" xfId="42755"/>
    <cellStyle name="Normal 6 6 5 3 6" xfId="42756"/>
    <cellStyle name="Normal 6 6 5 3 6 2" xfId="42757"/>
    <cellStyle name="Normal 6 6 5 3 7" xfId="42758"/>
    <cellStyle name="Normal 6 6 5 4" xfId="11598"/>
    <cellStyle name="Normal 6 6 5 4 2" xfId="42759"/>
    <cellStyle name="Normal 6 6 5 4 3" xfId="42760"/>
    <cellStyle name="Normal 6 6 5 4 4" xfId="42761"/>
    <cellStyle name="Normal 6 6 5 5" xfId="11599"/>
    <cellStyle name="Normal 6 6 5 5 2" xfId="42762"/>
    <cellStyle name="Normal 6 6 5 5 3" xfId="42763"/>
    <cellStyle name="Normal 6 6 5 5 4" xfId="42764"/>
    <cellStyle name="Normal 6 6 5 6" xfId="11600"/>
    <cellStyle name="Normal 6 6 5 6 2" xfId="42765"/>
    <cellStyle name="Normal 6 6 5 6 3" xfId="42766"/>
    <cellStyle name="Normal 6 6 5 6 4" xfId="42767"/>
    <cellStyle name="Normal 6 6 5 7" xfId="11601"/>
    <cellStyle name="Normal 6 6 5 7 2" xfId="42768"/>
    <cellStyle name="Normal 6 6 5 7 3" xfId="42769"/>
    <cellStyle name="Normal 6 6 5 8" xfId="11602"/>
    <cellStyle name="Normal 6 6 5 8 2" xfId="42770"/>
    <cellStyle name="Normal 6 6 5 9" xfId="11603"/>
    <cellStyle name="Normal 6 6 5 9 2" xfId="42771"/>
    <cellStyle name="Normal 6 6 6" xfId="954"/>
    <cellStyle name="Normal 6 6 6 10" xfId="11605"/>
    <cellStyle name="Normal 6 6 6 10 2" xfId="42773"/>
    <cellStyle name="Normal 6 6 6 11" xfId="11606"/>
    <cellStyle name="Normal 6 6 6 12" xfId="11607"/>
    <cellStyle name="Normal 6 6 6 13" xfId="11608"/>
    <cellStyle name="Normal 6 6 6 14" xfId="11609"/>
    <cellStyle name="Normal 6 6 6 15" xfId="12053"/>
    <cellStyle name="Normal 6 6 6 16" xfId="42772"/>
    <cellStyle name="Normal 6 6 6 17" xfId="42774"/>
    <cellStyle name="Normal 6 6 6 18" xfId="42775"/>
    <cellStyle name="Normal 6 6 6 19" xfId="42776"/>
    <cellStyle name="Normal 6 6 6 2" xfId="11604"/>
    <cellStyle name="Normal 6 6 6 2 10" xfId="42777"/>
    <cellStyle name="Normal 6 6 6 2 11" xfId="42778"/>
    <cellStyle name="Normal 6 6 6 2 12" xfId="42779"/>
    <cellStyle name="Normal 6 6 6 2 13" xfId="42780"/>
    <cellStyle name="Normal 6 6 6 2 14" xfId="42781"/>
    <cellStyle name="Normal 6 6 6 2 15" xfId="42782"/>
    <cellStyle name="Normal 6 6 6 2 2" xfId="42783"/>
    <cellStyle name="Normal 6 6 6 2 2 2" xfId="42784"/>
    <cellStyle name="Normal 6 6 6 2 2 2 2" xfId="42785"/>
    <cellStyle name="Normal 6 6 6 2 2 3" xfId="42786"/>
    <cellStyle name="Normal 6 6 6 2 2 4" xfId="42787"/>
    <cellStyle name="Normal 6 6 6 2 2 5" xfId="42788"/>
    <cellStyle name="Normal 6 6 6 2 2 6" xfId="42789"/>
    <cellStyle name="Normal 6 6 6 2 2 7" xfId="42790"/>
    <cellStyle name="Normal 6 6 6 2 3" xfId="42791"/>
    <cellStyle name="Normal 6 6 6 2 3 2" xfId="42792"/>
    <cellStyle name="Normal 6 6 6 2 3 3" xfId="42793"/>
    <cellStyle name="Normal 6 6 6 2 3 4" xfId="42794"/>
    <cellStyle name="Normal 6 6 6 2 4" xfId="42795"/>
    <cellStyle name="Normal 6 6 6 2 4 2" xfId="42796"/>
    <cellStyle name="Normal 6 6 6 2 4 3" xfId="42797"/>
    <cellStyle name="Normal 6 6 6 2 4 4" xfId="42798"/>
    <cellStyle name="Normal 6 6 6 2 5" xfId="42799"/>
    <cellStyle name="Normal 6 6 6 2 5 2" xfId="42800"/>
    <cellStyle name="Normal 6 6 6 2 5 3" xfId="42801"/>
    <cellStyle name="Normal 6 6 6 2 5 4" xfId="42802"/>
    <cellStyle name="Normal 6 6 6 2 6" xfId="42803"/>
    <cellStyle name="Normal 6 6 6 2 6 2" xfId="42804"/>
    <cellStyle name="Normal 6 6 6 2 6 3" xfId="42805"/>
    <cellStyle name="Normal 6 6 6 2 7" xfId="42806"/>
    <cellStyle name="Normal 6 6 6 2 7 2" xfId="42807"/>
    <cellStyle name="Normal 6 6 6 2 8" xfId="42808"/>
    <cellStyle name="Normal 6 6 6 2 8 2" xfId="42809"/>
    <cellStyle name="Normal 6 6 6 2 9" xfId="42810"/>
    <cellStyle name="Normal 6 6 6 2 9 2" xfId="42811"/>
    <cellStyle name="Normal 6 6 6 3" xfId="11611"/>
    <cellStyle name="Normal 6 6 6 3 2" xfId="42812"/>
    <cellStyle name="Normal 6 6 6 3 2 2" xfId="42813"/>
    <cellStyle name="Normal 6 6 6 3 2 3" xfId="42814"/>
    <cellStyle name="Normal 6 6 6 3 2 4" xfId="42815"/>
    <cellStyle name="Normal 6 6 6 3 3" xfId="42816"/>
    <cellStyle name="Normal 6 6 6 3 3 2" xfId="42817"/>
    <cellStyle name="Normal 6 6 6 3 3 3" xfId="42818"/>
    <cellStyle name="Normal 6 6 6 3 4" xfId="42819"/>
    <cellStyle name="Normal 6 6 6 3 4 2" xfId="42820"/>
    <cellStyle name="Normal 6 6 6 3 5" xfId="42821"/>
    <cellStyle name="Normal 6 6 6 3 5 2" xfId="42822"/>
    <cellStyle name="Normal 6 6 6 3 6" xfId="42823"/>
    <cellStyle name="Normal 6 6 6 3 6 2" xfId="42824"/>
    <cellStyle name="Normal 6 6 6 3 7" xfId="42825"/>
    <cellStyle name="Normal 6 6 6 4" xfId="11612"/>
    <cellStyle name="Normal 6 6 6 4 2" xfId="42826"/>
    <cellStyle name="Normal 6 6 6 4 3" xfId="42827"/>
    <cellStyle name="Normal 6 6 6 4 4" xfId="42828"/>
    <cellStyle name="Normal 6 6 6 5" xfId="11613"/>
    <cellStyle name="Normal 6 6 6 5 2" xfId="42829"/>
    <cellStyle name="Normal 6 6 6 5 3" xfId="42830"/>
    <cellStyle name="Normal 6 6 6 5 4" xfId="42831"/>
    <cellStyle name="Normal 6 6 6 6" xfId="11614"/>
    <cellStyle name="Normal 6 6 6 6 2" xfId="42832"/>
    <cellStyle name="Normal 6 6 6 6 3" xfId="42833"/>
    <cellStyle name="Normal 6 6 6 6 4" xfId="42834"/>
    <cellStyle name="Normal 6 6 6 7" xfId="11615"/>
    <cellStyle name="Normal 6 6 6 7 2" xfId="42835"/>
    <cellStyle name="Normal 6 6 6 7 3" xfId="42836"/>
    <cellStyle name="Normal 6 6 6 8" xfId="11616"/>
    <cellStyle name="Normal 6 6 6 8 2" xfId="42837"/>
    <cellStyle name="Normal 6 6 6 9" xfId="11617"/>
    <cellStyle name="Normal 6 6 6 9 2" xfId="42838"/>
    <cellStyle name="Normal 6 6 7" xfId="955"/>
    <cellStyle name="Normal 6 6 7 10" xfId="11619"/>
    <cellStyle name="Normal 6 6 7 10 2" xfId="42840"/>
    <cellStyle name="Normal 6 6 7 11" xfId="11620"/>
    <cellStyle name="Normal 6 6 7 12" xfId="11621"/>
    <cellStyle name="Normal 6 6 7 13" xfId="11622"/>
    <cellStyle name="Normal 6 6 7 14" xfId="11623"/>
    <cellStyle name="Normal 6 6 7 15" xfId="12054"/>
    <cellStyle name="Normal 6 6 7 16" xfId="42839"/>
    <cellStyle name="Normal 6 6 7 17" xfId="42841"/>
    <cellStyle name="Normal 6 6 7 18" xfId="42842"/>
    <cellStyle name="Normal 6 6 7 19" xfId="42843"/>
    <cellStyle name="Normal 6 6 7 2" xfId="11618"/>
    <cellStyle name="Normal 6 6 7 2 10" xfId="42844"/>
    <cellStyle name="Normal 6 6 7 2 11" xfId="42845"/>
    <cellStyle name="Normal 6 6 7 2 12" xfId="42846"/>
    <cellStyle name="Normal 6 6 7 2 13" xfId="42847"/>
    <cellStyle name="Normal 6 6 7 2 14" xfId="42848"/>
    <cellStyle name="Normal 6 6 7 2 15" xfId="42849"/>
    <cellStyle name="Normal 6 6 7 2 2" xfId="42850"/>
    <cellStyle name="Normal 6 6 7 2 2 2" xfId="42851"/>
    <cellStyle name="Normal 6 6 7 2 2 2 2" xfId="42852"/>
    <cellStyle name="Normal 6 6 7 2 2 3" xfId="42853"/>
    <cellStyle name="Normal 6 6 7 2 2 4" xfId="42854"/>
    <cellStyle name="Normal 6 6 7 2 2 5" xfId="42855"/>
    <cellStyle name="Normal 6 6 7 2 2 6" xfId="42856"/>
    <cellStyle name="Normal 6 6 7 2 2 7" xfId="42857"/>
    <cellStyle name="Normal 6 6 7 2 3" xfId="42858"/>
    <cellStyle name="Normal 6 6 7 2 3 2" xfId="42859"/>
    <cellStyle name="Normal 6 6 7 2 3 3" xfId="42860"/>
    <cellStyle name="Normal 6 6 7 2 3 4" xfId="42861"/>
    <cellStyle name="Normal 6 6 7 2 4" xfId="42862"/>
    <cellStyle name="Normal 6 6 7 2 4 2" xfId="42863"/>
    <cellStyle name="Normal 6 6 7 2 4 3" xfId="42864"/>
    <cellStyle name="Normal 6 6 7 2 4 4" xfId="42865"/>
    <cellStyle name="Normal 6 6 7 2 5" xfId="42866"/>
    <cellStyle name="Normal 6 6 7 2 5 2" xfId="42867"/>
    <cellStyle name="Normal 6 6 7 2 5 3" xfId="42868"/>
    <cellStyle name="Normal 6 6 7 2 5 4" xfId="42869"/>
    <cellStyle name="Normal 6 6 7 2 6" xfId="42870"/>
    <cellStyle name="Normal 6 6 7 2 6 2" xfId="42871"/>
    <cellStyle name="Normal 6 6 7 2 6 3" xfId="42872"/>
    <cellStyle name="Normal 6 6 7 2 7" xfId="42873"/>
    <cellStyle name="Normal 6 6 7 2 7 2" xfId="42874"/>
    <cellStyle name="Normal 6 6 7 2 8" xfId="42875"/>
    <cellStyle name="Normal 6 6 7 2 8 2" xfId="42876"/>
    <cellStyle name="Normal 6 6 7 2 9" xfId="42877"/>
    <cellStyle name="Normal 6 6 7 2 9 2" xfId="42878"/>
    <cellStyle name="Normal 6 6 7 3" xfId="11625"/>
    <cellStyle name="Normal 6 6 7 3 2" xfId="42879"/>
    <cellStyle name="Normal 6 6 7 3 2 2" xfId="42880"/>
    <cellStyle name="Normal 6 6 7 3 2 3" xfId="42881"/>
    <cellStyle name="Normal 6 6 7 3 2 4" xfId="42882"/>
    <cellStyle name="Normal 6 6 7 3 3" xfId="42883"/>
    <cellStyle name="Normal 6 6 7 3 3 2" xfId="42884"/>
    <cellStyle name="Normal 6 6 7 3 3 3" xfId="42885"/>
    <cellStyle name="Normal 6 6 7 3 4" xfId="42886"/>
    <cellStyle name="Normal 6 6 7 3 4 2" xfId="42887"/>
    <cellStyle name="Normal 6 6 7 3 5" xfId="42888"/>
    <cellStyle name="Normal 6 6 7 3 5 2" xfId="42889"/>
    <cellStyle name="Normal 6 6 7 3 6" xfId="42890"/>
    <cellStyle name="Normal 6 6 7 3 6 2" xfId="42891"/>
    <cellStyle name="Normal 6 6 7 3 7" xfId="42892"/>
    <cellStyle name="Normal 6 6 7 4" xfId="11626"/>
    <cellStyle name="Normal 6 6 7 4 2" xfId="42893"/>
    <cellStyle name="Normal 6 6 7 4 3" xfId="42894"/>
    <cellStyle name="Normal 6 6 7 4 4" xfId="42895"/>
    <cellStyle name="Normal 6 6 7 5" xfId="11627"/>
    <cellStyle name="Normal 6 6 7 5 2" xfId="42896"/>
    <cellStyle name="Normal 6 6 7 5 3" xfId="42897"/>
    <cellStyle name="Normal 6 6 7 5 4" xfId="42898"/>
    <cellStyle name="Normal 6 6 7 6" xfId="11628"/>
    <cellStyle name="Normal 6 6 7 6 2" xfId="42899"/>
    <cellStyle name="Normal 6 6 7 6 3" xfId="42900"/>
    <cellStyle name="Normal 6 6 7 6 4" xfId="42901"/>
    <cellStyle name="Normal 6 6 7 7" xfId="11629"/>
    <cellStyle name="Normal 6 6 7 7 2" xfId="42902"/>
    <cellStyle name="Normal 6 6 7 7 3" xfId="42903"/>
    <cellStyle name="Normal 6 6 7 8" xfId="11630"/>
    <cellStyle name="Normal 6 6 7 8 2" xfId="42904"/>
    <cellStyle name="Normal 6 6 7 9" xfId="11631"/>
    <cellStyle name="Normal 6 6 7 9 2" xfId="42905"/>
    <cellStyle name="Normal 6 6 8" xfId="956"/>
    <cellStyle name="Normal 6 6 8 10" xfId="11633"/>
    <cellStyle name="Normal 6 6 8 10 2" xfId="42907"/>
    <cellStyle name="Normal 6 6 8 11" xfId="11634"/>
    <cellStyle name="Normal 6 6 8 12" xfId="11635"/>
    <cellStyle name="Normal 6 6 8 13" xfId="11636"/>
    <cellStyle name="Normal 6 6 8 14" xfId="11637"/>
    <cellStyle name="Normal 6 6 8 15" xfId="12055"/>
    <cellStyle name="Normal 6 6 8 16" xfId="42906"/>
    <cellStyle name="Normal 6 6 8 17" xfId="42908"/>
    <cellStyle name="Normal 6 6 8 2" xfId="11632"/>
    <cellStyle name="Normal 6 6 8 2 10" xfId="42909"/>
    <cellStyle name="Normal 6 6 8 2 11" xfId="42910"/>
    <cellStyle name="Normal 6 6 8 2 2" xfId="42911"/>
    <cellStyle name="Normal 6 6 8 2 2 2" xfId="42912"/>
    <cellStyle name="Normal 6 6 8 2 2 3" xfId="42913"/>
    <cellStyle name="Normal 6 6 8 2 2 4" xfId="42914"/>
    <cellStyle name="Normal 6 6 8 2 3" xfId="42915"/>
    <cellStyle name="Normal 6 6 8 2 3 2" xfId="42916"/>
    <cellStyle name="Normal 6 6 8 2 3 3" xfId="42917"/>
    <cellStyle name="Normal 6 6 8 2 3 4" xfId="42918"/>
    <cellStyle name="Normal 6 6 8 2 4" xfId="42919"/>
    <cellStyle name="Normal 6 6 8 2 4 2" xfId="42920"/>
    <cellStyle name="Normal 6 6 8 2 4 3" xfId="42921"/>
    <cellStyle name="Normal 6 6 8 2 4 4" xfId="42922"/>
    <cellStyle name="Normal 6 6 8 2 5" xfId="42923"/>
    <cellStyle name="Normal 6 6 8 2 5 2" xfId="42924"/>
    <cellStyle name="Normal 6 6 8 2 5 3" xfId="42925"/>
    <cellStyle name="Normal 6 6 8 2 5 4" xfId="42926"/>
    <cellStyle name="Normal 6 6 8 2 6" xfId="42927"/>
    <cellStyle name="Normal 6 6 8 2 6 2" xfId="42928"/>
    <cellStyle name="Normal 6 6 8 2 7" xfId="42929"/>
    <cellStyle name="Normal 6 6 8 2 7 2" xfId="42930"/>
    <cellStyle name="Normal 6 6 8 2 8" xfId="42931"/>
    <cellStyle name="Normal 6 6 8 2 8 2" xfId="42932"/>
    <cellStyle name="Normal 6 6 8 2 9" xfId="42933"/>
    <cellStyle name="Normal 6 6 8 2 9 2" xfId="42934"/>
    <cellStyle name="Normal 6 6 8 3" xfId="11639"/>
    <cellStyle name="Normal 6 6 8 3 2" xfId="42935"/>
    <cellStyle name="Normal 6 6 8 3 2 2" xfId="42936"/>
    <cellStyle name="Normal 6 6 8 3 2 3" xfId="42937"/>
    <cellStyle name="Normal 6 6 8 3 2 4" xfId="42938"/>
    <cellStyle name="Normal 6 6 8 3 3" xfId="42939"/>
    <cellStyle name="Normal 6 6 8 3 3 2" xfId="42940"/>
    <cellStyle name="Normal 6 6 8 3 3 3" xfId="42941"/>
    <cellStyle name="Normal 6 6 8 3 4" xfId="42942"/>
    <cellStyle name="Normal 6 6 8 3 4 2" xfId="42943"/>
    <cellStyle name="Normal 6 6 8 3 5" xfId="42944"/>
    <cellStyle name="Normal 6 6 8 3 5 2" xfId="42945"/>
    <cellStyle name="Normal 6 6 8 3 6" xfId="42946"/>
    <cellStyle name="Normal 6 6 8 3 6 2" xfId="42947"/>
    <cellStyle name="Normal 6 6 8 3 7" xfId="42948"/>
    <cellStyle name="Normal 6 6 8 4" xfId="11640"/>
    <cellStyle name="Normal 6 6 8 4 2" xfId="42949"/>
    <cellStyle name="Normal 6 6 8 4 3" xfId="42950"/>
    <cellStyle name="Normal 6 6 8 4 4" xfId="42951"/>
    <cellStyle name="Normal 6 6 8 5" xfId="11641"/>
    <cellStyle name="Normal 6 6 8 5 2" xfId="42952"/>
    <cellStyle name="Normal 6 6 8 5 3" xfId="42953"/>
    <cellStyle name="Normal 6 6 8 5 4" xfId="42954"/>
    <cellStyle name="Normal 6 6 8 6" xfId="11642"/>
    <cellStyle name="Normal 6 6 8 6 2" xfId="42955"/>
    <cellStyle name="Normal 6 6 8 6 3" xfId="42956"/>
    <cellStyle name="Normal 6 6 8 6 4" xfId="42957"/>
    <cellStyle name="Normal 6 6 8 7" xfId="11643"/>
    <cellStyle name="Normal 6 6 8 7 2" xfId="42958"/>
    <cellStyle name="Normal 6 6 8 7 3" xfId="42959"/>
    <cellStyle name="Normal 6 6 8 8" xfId="11644"/>
    <cellStyle name="Normal 6 6 8 8 2" xfId="42960"/>
    <cellStyle name="Normal 6 6 8 9" xfId="11645"/>
    <cellStyle name="Normal 6 6 8 9 2" xfId="42961"/>
    <cellStyle name="Normal 6 6 9" xfId="957"/>
    <cellStyle name="Normal 6 6 9 10" xfId="42963"/>
    <cellStyle name="Normal 6 6 9 10 2" xfId="42964"/>
    <cellStyle name="Normal 6 6 9 11" xfId="42965"/>
    <cellStyle name="Normal 6 6 9 12" xfId="42966"/>
    <cellStyle name="Normal 6 6 9 13" xfId="42967"/>
    <cellStyle name="Normal 6 6 9 14" xfId="42968"/>
    <cellStyle name="Normal 6 6 9 15" xfId="42969"/>
    <cellStyle name="Normal 6 6 9 16" xfId="42970"/>
    <cellStyle name="Normal 6 6 9 17" xfId="42971"/>
    <cellStyle name="Normal 6 6 9 2" xfId="11646"/>
    <cellStyle name="Normal 6 6 9 2 10" xfId="42972"/>
    <cellStyle name="Normal 6 6 9 2 11" xfId="42973"/>
    <cellStyle name="Normal 6 6 9 2 2" xfId="42974"/>
    <cellStyle name="Normal 6 6 9 2 2 2" xfId="42975"/>
    <cellStyle name="Normal 6 6 9 2 2 3" xfId="42976"/>
    <cellStyle name="Normal 6 6 9 2 2 4" xfId="42977"/>
    <cellStyle name="Normal 6 6 9 2 3" xfId="42978"/>
    <cellStyle name="Normal 6 6 9 2 3 2" xfId="42979"/>
    <cellStyle name="Normal 6 6 9 2 3 3" xfId="42980"/>
    <cellStyle name="Normal 6 6 9 2 3 4" xfId="42981"/>
    <cellStyle name="Normal 6 6 9 2 4" xfId="42982"/>
    <cellStyle name="Normal 6 6 9 2 4 2" xfId="42983"/>
    <cellStyle name="Normal 6 6 9 2 4 3" xfId="42984"/>
    <cellStyle name="Normal 6 6 9 2 4 4" xfId="42985"/>
    <cellStyle name="Normal 6 6 9 2 5" xfId="42986"/>
    <cellStyle name="Normal 6 6 9 2 5 2" xfId="42987"/>
    <cellStyle name="Normal 6 6 9 2 5 3" xfId="42988"/>
    <cellStyle name="Normal 6 6 9 2 5 4" xfId="42989"/>
    <cellStyle name="Normal 6 6 9 2 6" xfId="42990"/>
    <cellStyle name="Normal 6 6 9 2 6 2" xfId="42991"/>
    <cellStyle name="Normal 6 6 9 2 7" xfId="42992"/>
    <cellStyle name="Normal 6 6 9 2 7 2" xfId="42993"/>
    <cellStyle name="Normal 6 6 9 2 8" xfId="42994"/>
    <cellStyle name="Normal 6 6 9 2 8 2" xfId="42995"/>
    <cellStyle name="Normal 6 6 9 2 9" xfId="42996"/>
    <cellStyle name="Normal 6 6 9 2 9 2" xfId="42997"/>
    <cellStyle name="Normal 6 6 9 3" xfId="12056"/>
    <cellStyle name="Normal 6 6 9 3 2" xfId="42998"/>
    <cellStyle name="Normal 6 6 9 3 2 2" xfId="42999"/>
    <cellStyle name="Normal 6 6 9 3 2 3" xfId="43000"/>
    <cellStyle name="Normal 6 6 9 3 2 4" xfId="43001"/>
    <cellStyle name="Normal 6 6 9 3 3" xfId="43002"/>
    <cellStyle name="Normal 6 6 9 3 3 2" xfId="43003"/>
    <cellStyle name="Normal 6 6 9 3 3 3" xfId="43004"/>
    <cellStyle name="Normal 6 6 9 3 4" xfId="43005"/>
    <cellStyle name="Normal 6 6 9 3 4 2" xfId="43006"/>
    <cellStyle name="Normal 6 6 9 3 5" xfId="43007"/>
    <cellStyle name="Normal 6 6 9 3 5 2" xfId="43008"/>
    <cellStyle name="Normal 6 6 9 3 6" xfId="43009"/>
    <cellStyle name="Normal 6 6 9 3 6 2" xfId="43010"/>
    <cellStyle name="Normal 6 6 9 3 7" xfId="43011"/>
    <cellStyle name="Normal 6 6 9 4" xfId="42962"/>
    <cellStyle name="Normal 6 6 9 4 2" xfId="43012"/>
    <cellStyle name="Normal 6 6 9 4 3" xfId="43013"/>
    <cellStyle name="Normal 6 6 9 4 4" xfId="43014"/>
    <cellStyle name="Normal 6 6 9 5" xfId="43015"/>
    <cellStyle name="Normal 6 6 9 5 2" xfId="43016"/>
    <cellStyle name="Normal 6 6 9 5 3" xfId="43017"/>
    <cellStyle name="Normal 6 6 9 5 4" xfId="43018"/>
    <cellStyle name="Normal 6 6 9 6" xfId="43019"/>
    <cellStyle name="Normal 6 6 9 6 2" xfId="43020"/>
    <cellStyle name="Normal 6 6 9 6 3" xfId="43021"/>
    <cellStyle name="Normal 6 6 9 6 4" xfId="43022"/>
    <cellStyle name="Normal 6 6 9 7" xfId="43023"/>
    <cellStyle name="Normal 6 6 9 7 2" xfId="43024"/>
    <cellStyle name="Normal 6 6 9 7 3" xfId="43025"/>
    <cellStyle name="Normal 6 6 9 8" xfId="43026"/>
    <cellStyle name="Normal 6 6 9 8 2" xfId="43027"/>
    <cellStyle name="Normal 6 6 9 9" xfId="43028"/>
    <cellStyle name="Normal 6 6 9 9 2" xfId="43029"/>
    <cellStyle name="Normal 6 7" xfId="958"/>
    <cellStyle name="Normal 6 7 10" xfId="959"/>
    <cellStyle name="Normal 6 7 10 10" xfId="43032"/>
    <cellStyle name="Normal 6 7 10 10 2" xfId="43033"/>
    <cellStyle name="Normal 6 7 10 11" xfId="43034"/>
    <cellStyle name="Normal 6 7 10 12" xfId="43035"/>
    <cellStyle name="Normal 6 7 10 13" xfId="43036"/>
    <cellStyle name="Normal 6 7 10 14" xfId="43037"/>
    <cellStyle name="Normal 6 7 10 15" xfId="43038"/>
    <cellStyle name="Normal 6 7 10 16" xfId="43039"/>
    <cellStyle name="Normal 6 7 10 2" xfId="11648"/>
    <cellStyle name="Normal 6 7 10 2 10" xfId="43040"/>
    <cellStyle name="Normal 6 7 10 2 11" xfId="43041"/>
    <cellStyle name="Normal 6 7 10 2 2" xfId="43042"/>
    <cellStyle name="Normal 6 7 10 2 2 2" xfId="43043"/>
    <cellStyle name="Normal 6 7 10 2 2 3" xfId="43044"/>
    <cellStyle name="Normal 6 7 10 2 2 4" xfId="43045"/>
    <cellStyle name="Normal 6 7 10 2 3" xfId="43046"/>
    <cellStyle name="Normal 6 7 10 2 3 2" xfId="43047"/>
    <cellStyle name="Normal 6 7 10 2 3 3" xfId="43048"/>
    <cellStyle name="Normal 6 7 10 2 3 4" xfId="43049"/>
    <cellStyle name="Normal 6 7 10 2 4" xfId="43050"/>
    <cellStyle name="Normal 6 7 10 2 4 2" xfId="43051"/>
    <cellStyle name="Normal 6 7 10 2 4 3" xfId="43052"/>
    <cellStyle name="Normal 6 7 10 2 4 4" xfId="43053"/>
    <cellStyle name="Normal 6 7 10 2 5" xfId="43054"/>
    <cellStyle name="Normal 6 7 10 2 5 2" xfId="43055"/>
    <cellStyle name="Normal 6 7 10 2 5 3" xfId="43056"/>
    <cellStyle name="Normal 6 7 10 2 5 4" xfId="43057"/>
    <cellStyle name="Normal 6 7 10 2 6" xfId="43058"/>
    <cellStyle name="Normal 6 7 10 2 6 2" xfId="43059"/>
    <cellStyle name="Normal 6 7 10 2 7" xfId="43060"/>
    <cellStyle name="Normal 6 7 10 2 7 2" xfId="43061"/>
    <cellStyle name="Normal 6 7 10 2 8" xfId="43062"/>
    <cellStyle name="Normal 6 7 10 2 8 2" xfId="43063"/>
    <cellStyle name="Normal 6 7 10 2 9" xfId="43064"/>
    <cellStyle name="Normal 6 7 10 2 9 2" xfId="43065"/>
    <cellStyle name="Normal 6 7 10 3" xfId="12058"/>
    <cellStyle name="Normal 6 7 10 3 2" xfId="43066"/>
    <cellStyle name="Normal 6 7 10 3 2 2" xfId="43067"/>
    <cellStyle name="Normal 6 7 10 3 2 3" xfId="43068"/>
    <cellStyle name="Normal 6 7 10 3 2 4" xfId="43069"/>
    <cellStyle name="Normal 6 7 10 3 3" xfId="43070"/>
    <cellStyle name="Normal 6 7 10 3 3 2" xfId="43071"/>
    <cellStyle name="Normal 6 7 10 3 3 3" xfId="43072"/>
    <cellStyle name="Normal 6 7 10 3 4" xfId="43073"/>
    <cellStyle name="Normal 6 7 10 3 4 2" xfId="43074"/>
    <cellStyle name="Normal 6 7 10 3 5" xfId="43075"/>
    <cellStyle name="Normal 6 7 10 3 5 2" xfId="43076"/>
    <cellStyle name="Normal 6 7 10 3 6" xfId="43077"/>
    <cellStyle name="Normal 6 7 10 3 6 2" xfId="43078"/>
    <cellStyle name="Normal 6 7 10 3 7" xfId="43079"/>
    <cellStyle name="Normal 6 7 10 4" xfId="43031"/>
    <cellStyle name="Normal 6 7 10 4 2" xfId="43080"/>
    <cellStyle name="Normal 6 7 10 4 3" xfId="43081"/>
    <cellStyle name="Normal 6 7 10 4 4" xfId="43082"/>
    <cellStyle name="Normal 6 7 10 5" xfId="43083"/>
    <cellStyle name="Normal 6 7 10 5 2" xfId="43084"/>
    <cellStyle name="Normal 6 7 10 5 3" xfId="43085"/>
    <cellStyle name="Normal 6 7 10 5 4" xfId="43086"/>
    <cellStyle name="Normal 6 7 10 6" xfId="43087"/>
    <cellStyle name="Normal 6 7 10 6 2" xfId="43088"/>
    <cellStyle name="Normal 6 7 10 6 3" xfId="43089"/>
    <cellStyle name="Normal 6 7 10 6 4" xfId="43090"/>
    <cellStyle name="Normal 6 7 10 7" xfId="43091"/>
    <cellStyle name="Normal 6 7 10 7 2" xfId="43092"/>
    <cellStyle name="Normal 6 7 10 7 3" xfId="43093"/>
    <cellStyle name="Normal 6 7 10 8" xfId="43094"/>
    <cellStyle name="Normal 6 7 10 8 2" xfId="43095"/>
    <cellStyle name="Normal 6 7 10 9" xfId="43096"/>
    <cellStyle name="Normal 6 7 10 9 2" xfId="43097"/>
    <cellStyle name="Normal 6 7 11" xfId="11647"/>
    <cellStyle name="Normal 6 7 11 10" xfId="43098"/>
    <cellStyle name="Normal 6 7 11 10 2" xfId="43099"/>
    <cellStyle name="Normal 6 7 11 11" xfId="43100"/>
    <cellStyle name="Normal 6 7 11 2" xfId="43101"/>
    <cellStyle name="Normal 6 7 11 2 2" xfId="43102"/>
    <cellStyle name="Normal 6 7 11 2 2 2" xfId="43103"/>
    <cellStyle name="Normal 6 7 11 2 2 3" xfId="43104"/>
    <cellStyle name="Normal 6 7 11 2 3" xfId="43105"/>
    <cellStyle name="Normal 6 7 11 2 3 2" xfId="43106"/>
    <cellStyle name="Normal 6 7 11 2 4" xfId="43107"/>
    <cellStyle name="Normal 6 7 11 2 4 2" xfId="43108"/>
    <cellStyle name="Normal 6 7 11 2 5" xfId="43109"/>
    <cellStyle name="Normal 6 7 11 2 5 2" xfId="43110"/>
    <cellStyle name="Normal 6 7 11 2 6" xfId="43111"/>
    <cellStyle name="Normal 6 7 11 2 7" xfId="43112"/>
    <cellStyle name="Normal 6 7 11 2 8" xfId="43113"/>
    <cellStyle name="Normal 6 7 11 2 9" xfId="43114"/>
    <cellStyle name="Normal 6 7 11 3" xfId="43115"/>
    <cellStyle name="Normal 6 7 11 3 2" xfId="43116"/>
    <cellStyle name="Normal 6 7 11 3 2 2" xfId="43117"/>
    <cellStyle name="Normal 6 7 11 3 2 3" xfId="43118"/>
    <cellStyle name="Normal 6 7 11 3 3" xfId="43119"/>
    <cellStyle name="Normal 6 7 11 3 3 2" xfId="43120"/>
    <cellStyle name="Normal 6 7 11 3 4" xfId="43121"/>
    <cellStyle name="Normal 6 7 11 3 5" xfId="43122"/>
    <cellStyle name="Normal 6 7 11 3 6" xfId="43123"/>
    <cellStyle name="Normal 6 7 11 3 7" xfId="43124"/>
    <cellStyle name="Normal 6 7 11 4" xfId="43125"/>
    <cellStyle name="Normal 6 7 11 4 2" xfId="43126"/>
    <cellStyle name="Normal 6 7 11 4 3" xfId="43127"/>
    <cellStyle name="Normal 6 7 11 4 4" xfId="43128"/>
    <cellStyle name="Normal 6 7 11 5" xfId="43129"/>
    <cellStyle name="Normal 6 7 11 5 2" xfId="43130"/>
    <cellStyle name="Normal 6 7 11 5 3" xfId="43131"/>
    <cellStyle name="Normal 6 7 11 5 4" xfId="43132"/>
    <cellStyle name="Normal 6 7 11 6" xfId="43133"/>
    <cellStyle name="Normal 6 7 11 6 2" xfId="43134"/>
    <cellStyle name="Normal 6 7 11 6 3" xfId="43135"/>
    <cellStyle name="Normal 6 7 11 7" xfId="43136"/>
    <cellStyle name="Normal 6 7 11 7 2" xfId="43137"/>
    <cellStyle name="Normal 6 7 11 8" xfId="43138"/>
    <cellStyle name="Normal 6 7 11 8 2" xfId="43139"/>
    <cellStyle name="Normal 6 7 11 9" xfId="43140"/>
    <cellStyle name="Normal 6 7 11 9 2" xfId="43141"/>
    <cellStyle name="Normal 6 7 12" xfId="11650"/>
    <cellStyle name="Normal 6 7 12 2" xfId="43142"/>
    <cellStyle name="Normal 6 7 12 2 2" xfId="43143"/>
    <cellStyle name="Normal 6 7 12 2 3" xfId="43144"/>
    <cellStyle name="Normal 6 7 12 2 4" xfId="43145"/>
    <cellStyle name="Normal 6 7 12 3" xfId="43146"/>
    <cellStyle name="Normal 6 7 12 3 2" xfId="43147"/>
    <cellStyle name="Normal 6 7 12 3 3" xfId="43148"/>
    <cellStyle name="Normal 6 7 12 4" xfId="43149"/>
    <cellStyle name="Normal 6 7 12 4 2" xfId="43150"/>
    <cellStyle name="Normal 6 7 12 4 3" xfId="43151"/>
    <cellStyle name="Normal 6 7 12 5" xfId="43152"/>
    <cellStyle name="Normal 6 7 12 5 2" xfId="43153"/>
    <cellStyle name="Normal 6 7 12 5 3" xfId="43154"/>
    <cellStyle name="Normal 6 7 12 6" xfId="43155"/>
    <cellStyle name="Normal 6 7 12 6 2" xfId="43156"/>
    <cellStyle name="Normal 6 7 12 7" xfId="43157"/>
    <cellStyle name="Normal 6 7 12 8" xfId="43158"/>
    <cellStyle name="Normal 6 7 12 9" xfId="43159"/>
    <cellStyle name="Normal 6 7 13" xfId="11651"/>
    <cellStyle name="Normal 6 7 13 2" xfId="43160"/>
    <cellStyle name="Normal 6 7 13 2 2" xfId="43161"/>
    <cellStyle name="Normal 6 7 13 2 3" xfId="43162"/>
    <cellStyle name="Normal 6 7 13 3" xfId="43163"/>
    <cellStyle name="Normal 6 7 13 3 2" xfId="43164"/>
    <cellStyle name="Normal 6 7 13 4" xfId="43165"/>
    <cellStyle name="Normal 6 7 13 5" xfId="43166"/>
    <cellStyle name="Normal 6 7 13 6" xfId="43167"/>
    <cellStyle name="Normal 6 7 13 7" xfId="43168"/>
    <cellStyle name="Normal 6 7 14" xfId="11652"/>
    <cellStyle name="Normal 6 7 14 2" xfId="43169"/>
    <cellStyle name="Normal 6 7 14 3" xfId="43170"/>
    <cellStyle name="Normal 6 7 14 4" xfId="43171"/>
    <cellStyle name="Normal 6 7 15" xfId="11653"/>
    <cellStyle name="Normal 6 7 15 2" xfId="43172"/>
    <cellStyle name="Normal 6 7 15 3" xfId="43173"/>
    <cellStyle name="Normal 6 7 15 4" xfId="43174"/>
    <cellStyle name="Normal 6 7 16" xfId="11654"/>
    <cellStyle name="Normal 6 7 16 2" xfId="43175"/>
    <cellStyle name="Normal 6 7 16 3" xfId="43176"/>
    <cellStyle name="Normal 6 7 16 4" xfId="43177"/>
    <cellStyle name="Normal 6 7 17" xfId="11655"/>
    <cellStyle name="Normal 6 7 17 2" xfId="43178"/>
    <cellStyle name="Normal 6 7 18" xfId="11656"/>
    <cellStyle name="Normal 6 7 18 2" xfId="43179"/>
    <cellStyle name="Normal 6 7 19" xfId="11657"/>
    <cellStyle name="Normal 6 7 19 2" xfId="43180"/>
    <cellStyle name="Normal 6 7 2" xfId="960"/>
    <cellStyle name="Normal 6 7 2 10" xfId="11659"/>
    <cellStyle name="Normal 6 7 2 10 2" xfId="43182"/>
    <cellStyle name="Normal 6 7 2 11" xfId="11660"/>
    <cellStyle name="Normal 6 7 2 12" xfId="11661"/>
    <cellStyle name="Normal 6 7 2 13" xfId="11662"/>
    <cellStyle name="Normal 6 7 2 14" xfId="11663"/>
    <cellStyle name="Normal 6 7 2 15" xfId="12059"/>
    <cellStyle name="Normal 6 7 2 16" xfId="43181"/>
    <cellStyle name="Normal 6 7 2 17" xfId="43183"/>
    <cellStyle name="Normal 6 7 2 18" xfId="43184"/>
    <cellStyle name="Normal 6 7 2 19" xfId="43185"/>
    <cellStyle name="Normal 6 7 2 2" xfId="11658"/>
    <cellStyle name="Normal 6 7 2 2 10" xfId="43186"/>
    <cellStyle name="Normal 6 7 2 2 11" xfId="43187"/>
    <cellStyle name="Normal 6 7 2 2 12" xfId="43188"/>
    <cellStyle name="Normal 6 7 2 2 13" xfId="43189"/>
    <cellStyle name="Normal 6 7 2 2 14" xfId="43190"/>
    <cellStyle name="Normal 6 7 2 2 15" xfId="43191"/>
    <cellStyle name="Normal 6 7 2 2 2" xfId="43192"/>
    <cellStyle name="Normal 6 7 2 2 2 2" xfId="43193"/>
    <cellStyle name="Normal 6 7 2 2 2 2 2" xfId="43194"/>
    <cellStyle name="Normal 6 7 2 2 2 3" xfId="43195"/>
    <cellStyle name="Normal 6 7 2 2 2 4" xfId="43196"/>
    <cellStyle name="Normal 6 7 2 2 2 5" xfId="43197"/>
    <cellStyle name="Normal 6 7 2 2 2 6" xfId="43198"/>
    <cellStyle name="Normal 6 7 2 2 2 7" xfId="43199"/>
    <cellStyle name="Normal 6 7 2 2 3" xfId="43200"/>
    <cellStyle name="Normal 6 7 2 2 3 2" xfId="43201"/>
    <cellStyle name="Normal 6 7 2 2 3 3" xfId="43202"/>
    <cellStyle name="Normal 6 7 2 2 3 4" xfId="43203"/>
    <cellStyle name="Normal 6 7 2 2 4" xfId="43204"/>
    <cellStyle name="Normal 6 7 2 2 4 2" xfId="43205"/>
    <cellStyle name="Normal 6 7 2 2 4 3" xfId="43206"/>
    <cellStyle name="Normal 6 7 2 2 4 4" xfId="43207"/>
    <cellStyle name="Normal 6 7 2 2 5" xfId="43208"/>
    <cellStyle name="Normal 6 7 2 2 5 2" xfId="43209"/>
    <cellStyle name="Normal 6 7 2 2 5 3" xfId="43210"/>
    <cellStyle name="Normal 6 7 2 2 5 4" xfId="43211"/>
    <cellStyle name="Normal 6 7 2 2 6" xfId="43212"/>
    <cellStyle name="Normal 6 7 2 2 6 2" xfId="43213"/>
    <cellStyle name="Normal 6 7 2 2 6 3" xfId="43214"/>
    <cellStyle name="Normal 6 7 2 2 7" xfId="43215"/>
    <cellStyle name="Normal 6 7 2 2 7 2" xfId="43216"/>
    <cellStyle name="Normal 6 7 2 2 8" xfId="43217"/>
    <cellStyle name="Normal 6 7 2 2 8 2" xfId="43218"/>
    <cellStyle name="Normal 6 7 2 2 9" xfId="43219"/>
    <cellStyle name="Normal 6 7 2 2 9 2" xfId="43220"/>
    <cellStyle name="Normal 6 7 2 20" xfId="43221"/>
    <cellStyle name="Normal 6 7 2 3" xfId="11665"/>
    <cellStyle name="Normal 6 7 2 3 2" xfId="43222"/>
    <cellStyle name="Normal 6 7 2 3 2 2" xfId="43223"/>
    <cellStyle name="Normal 6 7 2 3 2 3" xfId="43224"/>
    <cellStyle name="Normal 6 7 2 3 2 4" xfId="43225"/>
    <cellStyle name="Normal 6 7 2 3 3" xfId="43226"/>
    <cellStyle name="Normal 6 7 2 3 3 2" xfId="43227"/>
    <cellStyle name="Normal 6 7 2 3 3 3" xfId="43228"/>
    <cellStyle name="Normal 6 7 2 3 4" xfId="43229"/>
    <cellStyle name="Normal 6 7 2 3 4 2" xfId="43230"/>
    <cellStyle name="Normal 6 7 2 3 5" xfId="43231"/>
    <cellStyle name="Normal 6 7 2 3 5 2" xfId="43232"/>
    <cellStyle name="Normal 6 7 2 3 6" xfId="43233"/>
    <cellStyle name="Normal 6 7 2 3 6 2" xfId="43234"/>
    <cellStyle name="Normal 6 7 2 3 7" xfId="43235"/>
    <cellStyle name="Normal 6 7 2 4" xfId="11666"/>
    <cellStyle name="Normal 6 7 2 4 2" xfId="43236"/>
    <cellStyle name="Normal 6 7 2 4 3" xfId="43237"/>
    <cellStyle name="Normal 6 7 2 4 4" xfId="43238"/>
    <cellStyle name="Normal 6 7 2 5" xfId="11667"/>
    <cellStyle name="Normal 6 7 2 5 2" xfId="43239"/>
    <cellStyle name="Normal 6 7 2 5 3" xfId="43240"/>
    <cellStyle name="Normal 6 7 2 5 4" xfId="43241"/>
    <cellStyle name="Normal 6 7 2 6" xfId="11668"/>
    <cellStyle name="Normal 6 7 2 6 2" xfId="43242"/>
    <cellStyle name="Normal 6 7 2 6 3" xfId="43243"/>
    <cellStyle name="Normal 6 7 2 6 4" xfId="43244"/>
    <cellStyle name="Normal 6 7 2 7" xfId="11669"/>
    <cellStyle name="Normal 6 7 2 7 2" xfId="43245"/>
    <cellStyle name="Normal 6 7 2 7 3" xfId="43246"/>
    <cellStyle name="Normal 6 7 2 8" xfId="11670"/>
    <cellStyle name="Normal 6 7 2 8 2" xfId="43247"/>
    <cellStyle name="Normal 6 7 2 9" xfId="11671"/>
    <cellStyle name="Normal 6 7 2 9 2" xfId="43248"/>
    <cellStyle name="Normal 6 7 20" xfId="11672"/>
    <cellStyle name="Normal 6 7 20 2" xfId="43249"/>
    <cellStyle name="Normal 6 7 21" xfId="11673"/>
    <cellStyle name="Normal 6 7 22" xfId="11674"/>
    <cellStyle name="Normal 6 7 23" xfId="12057"/>
    <cellStyle name="Normal 6 7 24" xfId="43030"/>
    <cellStyle name="Normal 6 7 25" xfId="43250"/>
    <cellStyle name="Normal 6 7 26" xfId="43251"/>
    <cellStyle name="Normal 6 7 27" xfId="43252"/>
    <cellStyle name="Normal 6 7 28" xfId="43253"/>
    <cellStyle name="Normal 6 7 29" xfId="43254"/>
    <cellStyle name="Normal 6 7 3" xfId="961"/>
    <cellStyle name="Normal 6 7 3 10" xfId="11676"/>
    <cellStyle name="Normal 6 7 3 10 2" xfId="43256"/>
    <cellStyle name="Normal 6 7 3 11" xfId="11677"/>
    <cellStyle name="Normal 6 7 3 12" xfId="11678"/>
    <cellStyle name="Normal 6 7 3 13" xfId="11679"/>
    <cellStyle name="Normal 6 7 3 14" xfId="11680"/>
    <cellStyle name="Normal 6 7 3 15" xfId="12060"/>
    <cellStyle name="Normal 6 7 3 16" xfId="43255"/>
    <cellStyle name="Normal 6 7 3 17" xfId="43257"/>
    <cellStyle name="Normal 6 7 3 18" xfId="43258"/>
    <cellStyle name="Normal 6 7 3 19" xfId="43259"/>
    <cellStyle name="Normal 6 7 3 2" xfId="11675"/>
    <cellStyle name="Normal 6 7 3 2 10" xfId="43260"/>
    <cellStyle name="Normal 6 7 3 2 11" xfId="43261"/>
    <cellStyle name="Normal 6 7 3 2 12" xfId="43262"/>
    <cellStyle name="Normal 6 7 3 2 13" xfId="43263"/>
    <cellStyle name="Normal 6 7 3 2 14" xfId="43264"/>
    <cellStyle name="Normal 6 7 3 2 15" xfId="43265"/>
    <cellStyle name="Normal 6 7 3 2 2" xfId="43266"/>
    <cellStyle name="Normal 6 7 3 2 2 2" xfId="43267"/>
    <cellStyle name="Normal 6 7 3 2 2 2 2" xfId="43268"/>
    <cellStyle name="Normal 6 7 3 2 2 3" xfId="43269"/>
    <cellStyle name="Normal 6 7 3 2 2 4" xfId="43270"/>
    <cellStyle name="Normal 6 7 3 2 2 5" xfId="43271"/>
    <cellStyle name="Normal 6 7 3 2 2 6" xfId="43272"/>
    <cellStyle name="Normal 6 7 3 2 2 7" xfId="43273"/>
    <cellStyle name="Normal 6 7 3 2 3" xfId="43274"/>
    <cellStyle name="Normal 6 7 3 2 3 2" xfId="43275"/>
    <cellStyle name="Normal 6 7 3 2 3 3" xfId="43276"/>
    <cellStyle name="Normal 6 7 3 2 3 4" xfId="43277"/>
    <cellStyle name="Normal 6 7 3 2 4" xfId="43278"/>
    <cellStyle name="Normal 6 7 3 2 4 2" xfId="43279"/>
    <cellStyle name="Normal 6 7 3 2 4 3" xfId="43280"/>
    <cellStyle name="Normal 6 7 3 2 4 4" xfId="43281"/>
    <cellStyle name="Normal 6 7 3 2 5" xfId="43282"/>
    <cellStyle name="Normal 6 7 3 2 5 2" xfId="43283"/>
    <cellStyle name="Normal 6 7 3 2 5 3" xfId="43284"/>
    <cellStyle name="Normal 6 7 3 2 5 4" xfId="43285"/>
    <cellStyle name="Normal 6 7 3 2 6" xfId="43286"/>
    <cellStyle name="Normal 6 7 3 2 6 2" xfId="43287"/>
    <cellStyle name="Normal 6 7 3 2 6 3" xfId="43288"/>
    <cellStyle name="Normal 6 7 3 2 7" xfId="43289"/>
    <cellStyle name="Normal 6 7 3 2 7 2" xfId="43290"/>
    <cellStyle name="Normal 6 7 3 2 8" xfId="43291"/>
    <cellStyle name="Normal 6 7 3 2 8 2" xfId="43292"/>
    <cellStyle name="Normal 6 7 3 2 9" xfId="43293"/>
    <cellStyle name="Normal 6 7 3 2 9 2" xfId="43294"/>
    <cellStyle name="Normal 6 7 3 20" xfId="43295"/>
    <cellStyle name="Normal 6 7 3 3" xfId="11682"/>
    <cellStyle name="Normal 6 7 3 3 2" xfId="43296"/>
    <cellStyle name="Normal 6 7 3 3 2 2" xfId="43297"/>
    <cellStyle name="Normal 6 7 3 3 2 3" xfId="43298"/>
    <cellStyle name="Normal 6 7 3 3 2 4" xfId="43299"/>
    <cellStyle name="Normal 6 7 3 3 3" xfId="43300"/>
    <cellStyle name="Normal 6 7 3 3 3 2" xfId="43301"/>
    <cellStyle name="Normal 6 7 3 3 3 3" xfId="43302"/>
    <cellStyle name="Normal 6 7 3 3 4" xfId="43303"/>
    <cellStyle name="Normal 6 7 3 3 4 2" xfId="43304"/>
    <cellStyle name="Normal 6 7 3 3 5" xfId="43305"/>
    <cellStyle name="Normal 6 7 3 3 5 2" xfId="43306"/>
    <cellStyle name="Normal 6 7 3 3 6" xfId="43307"/>
    <cellStyle name="Normal 6 7 3 3 6 2" xfId="43308"/>
    <cellStyle name="Normal 6 7 3 3 7" xfId="43309"/>
    <cellStyle name="Normal 6 7 3 4" xfId="11683"/>
    <cellStyle name="Normal 6 7 3 4 2" xfId="43310"/>
    <cellStyle name="Normal 6 7 3 4 3" xfId="43311"/>
    <cellStyle name="Normal 6 7 3 4 4" xfId="43312"/>
    <cellStyle name="Normal 6 7 3 5" xfId="11684"/>
    <cellStyle name="Normal 6 7 3 5 2" xfId="43313"/>
    <cellStyle name="Normal 6 7 3 5 3" xfId="43314"/>
    <cellStyle name="Normal 6 7 3 5 4" xfId="43315"/>
    <cellStyle name="Normal 6 7 3 6" xfId="11685"/>
    <cellStyle name="Normal 6 7 3 6 2" xfId="43316"/>
    <cellStyle name="Normal 6 7 3 6 3" xfId="43317"/>
    <cellStyle name="Normal 6 7 3 6 4" xfId="43318"/>
    <cellStyle name="Normal 6 7 3 7" xfId="11686"/>
    <cellStyle name="Normal 6 7 3 7 2" xfId="43319"/>
    <cellStyle name="Normal 6 7 3 7 3" xfId="43320"/>
    <cellStyle name="Normal 6 7 3 8" xfId="11687"/>
    <cellStyle name="Normal 6 7 3 8 2" xfId="43321"/>
    <cellStyle name="Normal 6 7 3 9" xfId="11688"/>
    <cellStyle name="Normal 6 7 3 9 2" xfId="43322"/>
    <cellStyle name="Normal 6 7 4" xfId="962"/>
    <cellStyle name="Normal 6 7 4 10" xfId="11690"/>
    <cellStyle name="Normal 6 7 4 10 2" xfId="43324"/>
    <cellStyle name="Normal 6 7 4 11" xfId="11691"/>
    <cellStyle name="Normal 6 7 4 12" xfId="11692"/>
    <cellStyle name="Normal 6 7 4 13" xfId="11693"/>
    <cellStyle name="Normal 6 7 4 14" xfId="11694"/>
    <cellStyle name="Normal 6 7 4 15" xfId="12061"/>
    <cellStyle name="Normal 6 7 4 16" xfId="43323"/>
    <cellStyle name="Normal 6 7 4 17" xfId="43325"/>
    <cellStyle name="Normal 6 7 4 18" xfId="43326"/>
    <cellStyle name="Normal 6 7 4 19" xfId="43327"/>
    <cellStyle name="Normal 6 7 4 2" xfId="11689"/>
    <cellStyle name="Normal 6 7 4 2 10" xfId="43328"/>
    <cellStyle name="Normal 6 7 4 2 11" xfId="43329"/>
    <cellStyle name="Normal 6 7 4 2 12" xfId="43330"/>
    <cellStyle name="Normal 6 7 4 2 13" xfId="43331"/>
    <cellStyle name="Normal 6 7 4 2 14" xfId="43332"/>
    <cellStyle name="Normal 6 7 4 2 15" xfId="43333"/>
    <cellStyle name="Normal 6 7 4 2 2" xfId="43334"/>
    <cellStyle name="Normal 6 7 4 2 2 2" xfId="43335"/>
    <cellStyle name="Normal 6 7 4 2 2 2 2" xfId="43336"/>
    <cellStyle name="Normal 6 7 4 2 2 3" xfId="43337"/>
    <cellStyle name="Normal 6 7 4 2 2 4" xfId="43338"/>
    <cellStyle name="Normal 6 7 4 2 2 5" xfId="43339"/>
    <cellStyle name="Normal 6 7 4 2 2 6" xfId="43340"/>
    <cellStyle name="Normal 6 7 4 2 2 7" xfId="43341"/>
    <cellStyle name="Normal 6 7 4 2 3" xfId="43342"/>
    <cellStyle name="Normal 6 7 4 2 3 2" xfId="43343"/>
    <cellStyle name="Normal 6 7 4 2 3 3" xfId="43344"/>
    <cellStyle name="Normal 6 7 4 2 3 4" xfId="43345"/>
    <cellStyle name="Normal 6 7 4 2 4" xfId="43346"/>
    <cellStyle name="Normal 6 7 4 2 4 2" xfId="43347"/>
    <cellStyle name="Normal 6 7 4 2 4 3" xfId="43348"/>
    <cellStyle name="Normal 6 7 4 2 4 4" xfId="43349"/>
    <cellStyle name="Normal 6 7 4 2 5" xfId="43350"/>
    <cellStyle name="Normal 6 7 4 2 5 2" xfId="43351"/>
    <cellStyle name="Normal 6 7 4 2 5 3" xfId="43352"/>
    <cellStyle name="Normal 6 7 4 2 5 4" xfId="43353"/>
    <cellStyle name="Normal 6 7 4 2 6" xfId="43354"/>
    <cellStyle name="Normal 6 7 4 2 6 2" xfId="43355"/>
    <cellStyle name="Normal 6 7 4 2 6 3" xfId="43356"/>
    <cellStyle name="Normal 6 7 4 2 7" xfId="43357"/>
    <cellStyle name="Normal 6 7 4 2 7 2" xfId="43358"/>
    <cellStyle name="Normal 6 7 4 2 8" xfId="43359"/>
    <cellStyle name="Normal 6 7 4 2 8 2" xfId="43360"/>
    <cellStyle name="Normal 6 7 4 2 9" xfId="43361"/>
    <cellStyle name="Normal 6 7 4 2 9 2" xfId="43362"/>
    <cellStyle name="Normal 6 7 4 20" xfId="43363"/>
    <cellStyle name="Normal 6 7 4 3" xfId="11696"/>
    <cellStyle name="Normal 6 7 4 3 2" xfId="43364"/>
    <cellStyle name="Normal 6 7 4 3 2 2" xfId="43365"/>
    <cellStyle name="Normal 6 7 4 3 2 3" xfId="43366"/>
    <cellStyle name="Normal 6 7 4 3 2 4" xfId="43367"/>
    <cellStyle name="Normal 6 7 4 3 3" xfId="43368"/>
    <cellStyle name="Normal 6 7 4 3 3 2" xfId="43369"/>
    <cellStyle name="Normal 6 7 4 3 3 3" xfId="43370"/>
    <cellStyle name="Normal 6 7 4 3 4" xfId="43371"/>
    <cellStyle name="Normal 6 7 4 3 4 2" xfId="43372"/>
    <cellStyle name="Normal 6 7 4 3 5" xfId="43373"/>
    <cellStyle name="Normal 6 7 4 3 5 2" xfId="43374"/>
    <cellStyle name="Normal 6 7 4 3 6" xfId="43375"/>
    <cellStyle name="Normal 6 7 4 3 6 2" xfId="43376"/>
    <cellStyle name="Normal 6 7 4 3 7" xfId="43377"/>
    <cellStyle name="Normal 6 7 4 4" xfId="11697"/>
    <cellStyle name="Normal 6 7 4 4 2" xfId="43378"/>
    <cellStyle name="Normal 6 7 4 4 3" xfId="43379"/>
    <cellStyle name="Normal 6 7 4 4 4" xfId="43380"/>
    <cellStyle name="Normal 6 7 4 5" xfId="11698"/>
    <cellStyle name="Normal 6 7 4 5 2" xfId="43381"/>
    <cellStyle name="Normal 6 7 4 5 3" xfId="43382"/>
    <cellStyle name="Normal 6 7 4 5 4" xfId="43383"/>
    <cellStyle name="Normal 6 7 4 6" xfId="11699"/>
    <cellStyle name="Normal 6 7 4 6 2" xfId="43384"/>
    <cellStyle name="Normal 6 7 4 6 3" xfId="43385"/>
    <cellStyle name="Normal 6 7 4 6 4" xfId="43386"/>
    <cellStyle name="Normal 6 7 4 7" xfId="11700"/>
    <cellStyle name="Normal 6 7 4 7 2" xfId="43387"/>
    <cellStyle name="Normal 6 7 4 7 3" xfId="43388"/>
    <cellStyle name="Normal 6 7 4 8" xfId="11701"/>
    <cellStyle name="Normal 6 7 4 8 2" xfId="43389"/>
    <cellStyle name="Normal 6 7 4 9" xfId="11702"/>
    <cellStyle name="Normal 6 7 4 9 2" xfId="43390"/>
    <cellStyle name="Normal 6 7 5" xfId="963"/>
    <cellStyle name="Normal 6 7 5 10" xfId="11704"/>
    <cellStyle name="Normal 6 7 5 10 2" xfId="43392"/>
    <cellStyle name="Normal 6 7 5 11" xfId="11705"/>
    <cellStyle name="Normal 6 7 5 12" xfId="11706"/>
    <cellStyle name="Normal 6 7 5 13" xfId="11707"/>
    <cellStyle name="Normal 6 7 5 14" xfId="11708"/>
    <cellStyle name="Normal 6 7 5 15" xfId="12062"/>
    <cellStyle name="Normal 6 7 5 16" xfId="43391"/>
    <cellStyle name="Normal 6 7 5 17" xfId="43393"/>
    <cellStyle name="Normal 6 7 5 18" xfId="43394"/>
    <cellStyle name="Normal 6 7 5 19" xfId="43395"/>
    <cellStyle name="Normal 6 7 5 2" xfId="11703"/>
    <cellStyle name="Normal 6 7 5 2 10" xfId="43396"/>
    <cellStyle name="Normal 6 7 5 2 11" xfId="43397"/>
    <cellStyle name="Normal 6 7 5 2 12" xfId="43398"/>
    <cellStyle name="Normal 6 7 5 2 13" xfId="43399"/>
    <cellStyle name="Normal 6 7 5 2 14" xfId="43400"/>
    <cellStyle name="Normal 6 7 5 2 15" xfId="43401"/>
    <cellStyle name="Normal 6 7 5 2 2" xfId="43402"/>
    <cellStyle name="Normal 6 7 5 2 2 2" xfId="43403"/>
    <cellStyle name="Normal 6 7 5 2 2 2 2" xfId="43404"/>
    <cellStyle name="Normal 6 7 5 2 2 3" xfId="43405"/>
    <cellStyle name="Normal 6 7 5 2 2 4" xfId="43406"/>
    <cellStyle name="Normal 6 7 5 2 2 5" xfId="43407"/>
    <cellStyle name="Normal 6 7 5 2 2 6" xfId="43408"/>
    <cellStyle name="Normal 6 7 5 2 2 7" xfId="43409"/>
    <cellStyle name="Normal 6 7 5 2 3" xfId="43410"/>
    <cellStyle name="Normal 6 7 5 2 3 2" xfId="43411"/>
    <cellStyle name="Normal 6 7 5 2 3 3" xfId="43412"/>
    <cellStyle name="Normal 6 7 5 2 3 4" xfId="43413"/>
    <cellStyle name="Normal 6 7 5 2 4" xfId="43414"/>
    <cellStyle name="Normal 6 7 5 2 4 2" xfId="43415"/>
    <cellStyle name="Normal 6 7 5 2 4 3" xfId="43416"/>
    <cellStyle name="Normal 6 7 5 2 4 4" xfId="43417"/>
    <cellStyle name="Normal 6 7 5 2 5" xfId="43418"/>
    <cellStyle name="Normal 6 7 5 2 5 2" xfId="43419"/>
    <cellStyle name="Normal 6 7 5 2 5 3" xfId="43420"/>
    <cellStyle name="Normal 6 7 5 2 5 4" xfId="43421"/>
    <cellStyle name="Normal 6 7 5 2 6" xfId="43422"/>
    <cellStyle name="Normal 6 7 5 2 6 2" xfId="43423"/>
    <cellStyle name="Normal 6 7 5 2 6 3" xfId="43424"/>
    <cellStyle name="Normal 6 7 5 2 7" xfId="43425"/>
    <cellStyle name="Normal 6 7 5 2 7 2" xfId="43426"/>
    <cellStyle name="Normal 6 7 5 2 8" xfId="43427"/>
    <cellStyle name="Normal 6 7 5 2 8 2" xfId="43428"/>
    <cellStyle name="Normal 6 7 5 2 9" xfId="43429"/>
    <cellStyle name="Normal 6 7 5 2 9 2" xfId="43430"/>
    <cellStyle name="Normal 6 7 5 3" xfId="11710"/>
    <cellStyle name="Normal 6 7 5 3 2" xfId="43431"/>
    <cellStyle name="Normal 6 7 5 3 2 2" xfId="43432"/>
    <cellStyle name="Normal 6 7 5 3 2 3" xfId="43433"/>
    <cellStyle name="Normal 6 7 5 3 2 4" xfId="43434"/>
    <cellStyle name="Normal 6 7 5 3 3" xfId="43435"/>
    <cellStyle name="Normal 6 7 5 3 3 2" xfId="43436"/>
    <cellStyle name="Normal 6 7 5 3 3 3" xfId="43437"/>
    <cellStyle name="Normal 6 7 5 3 4" xfId="43438"/>
    <cellStyle name="Normal 6 7 5 3 4 2" xfId="43439"/>
    <cellStyle name="Normal 6 7 5 3 5" xfId="43440"/>
    <cellStyle name="Normal 6 7 5 3 5 2" xfId="43441"/>
    <cellStyle name="Normal 6 7 5 3 6" xfId="43442"/>
    <cellStyle name="Normal 6 7 5 3 6 2" xfId="43443"/>
    <cellStyle name="Normal 6 7 5 3 7" xfId="43444"/>
    <cellStyle name="Normal 6 7 5 4" xfId="11711"/>
    <cellStyle name="Normal 6 7 5 4 2" xfId="43445"/>
    <cellStyle name="Normal 6 7 5 4 3" xfId="43446"/>
    <cellStyle name="Normal 6 7 5 4 4" xfId="43447"/>
    <cellStyle name="Normal 6 7 5 5" xfId="11712"/>
    <cellStyle name="Normal 6 7 5 5 2" xfId="43448"/>
    <cellStyle name="Normal 6 7 5 5 3" xfId="43449"/>
    <cellStyle name="Normal 6 7 5 5 4" xfId="43450"/>
    <cellStyle name="Normal 6 7 5 6" xfId="11713"/>
    <cellStyle name="Normal 6 7 5 6 2" xfId="43451"/>
    <cellStyle name="Normal 6 7 5 6 3" xfId="43452"/>
    <cellStyle name="Normal 6 7 5 6 4" xfId="43453"/>
    <cellStyle name="Normal 6 7 5 7" xfId="11714"/>
    <cellStyle name="Normal 6 7 5 7 2" xfId="43454"/>
    <cellStyle name="Normal 6 7 5 7 3" xfId="43455"/>
    <cellStyle name="Normal 6 7 5 8" xfId="11715"/>
    <cellStyle name="Normal 6 7 5 8 2" xfId="43456"/>
    <cellStyle name="Normal 6 7 5 9" xfId="11716"/>
    <cellStyle name="Normal 6 7 5 9 2" xfId="43457"/>
    <cellStyle name="Normal 6 7 6" xfId="964"/>
    <cellStyle name="Normal 6 7 6 10" xfId="11718"/>
    <cellStyle name="Normal 6 7 6 10 2" xfId="43459"/>
    <cellStyle name="Normal 6 7 6 11" xfId="11719"/>
    <cellStyle name="Normal 6 7 6 12" xfId="11720"/>
    <cellStyle name="Normal 6 7 6 13" xfId="11721"/>
    <cellStyle name="Normal 6 7 6 14" xfId="11722"/>
    <cellStyle name="Normal 6 7 6 15" xfId="12063"/>
    <cellStyle name="Normal 6 7 6 16" xfId="43458"/>
    <cellStyle name="Normal 6 7 6 17" xfId="43460"/>
    <cellStyle name="Normal 6 7 6 18" xfId="43461"/>
    <cellStyle name="Normal 6 7 6 19" xfId="43462"/>
    <cellStyle name="Normal 6 7 6 2" xfId="11717"/>
    <cellStyle name="Normal 6 7 6 2 10" xfId="43463"/>
    <cellStyle name="Normal 6 7 6 2 11" xfId="43464"/>
    <cellStyle name="Normal 6 7 6 2 12" xfId="43465"/>
    <cellStyle name="Normal 6 7 6 2 13" xfId="43466"/>
    <cellStyle name="Normal 6 7 6 2 14" xfId="43467"/>
    <cellStyle name="Normal 6 7 6 2 15" xfId="43468"/>
    <cellStyle name="Normal 6 7 6 2 2" xfId="43469"/>
    <cellStyle name="Normal 6 7 6 2 2 2" xfId="43470"/>
    <cellStyle name="Normal 6 7 6 2 2 2 2" xfId="43471"/>
    <cellStyle name="Normal 6 7 6 2 2 3" xfId="43472"/>
    <cellStyle name="Normal 6 7 6 2 2 4" xfId="43473"/>
    <cellStyle name="Normal 6 7 6 2 2 5" xfId="43474"/>
    <cellStyle name="Normal 6 7 6 2 2 6" xfId="43475"/>
    <cellStyle name="Normal 6 7 6 2 2 7" xfId="43476"/>
    <cellStyle name="Normal 6 7 6 2 3" xfId="43477"/>
    <cellStyle name="Normal 6 7 6 2 3 2" xfId="43478"/>
    <cellStyle name="Normal 6 7 6 2 3 3" xfId="43479"/>
    <cellStyle name="Normal 6 7 6 2 3 4" xfId="43480"/>
    <cellStyle name="Normal 6 7 6 2 4" xfId="43481"/>
    <cellStyle name="Normal 6 7 6 2 4 2" xfId="43482"/>
    <cellStyle name="Normal 6 7 6 2 4 3" xfId="43483"/>
    <cellStyle name="Normal 6 7 6 2 4 4" xfId="43484"/>
    <cellStyle name="Normal 6 7 6 2 5" xfId="43485"/>
    <cellStyle name="Normal 6 7 6 2 5 2" xfId="43486"/>
    <cellStyle name="Normal 6 7 6 2 5 3" xfId="43487"/>
    <cellStyle name="Normal 6 7 6 2 5 4" xfId="43488"/>
    <cellStyle name="Normal 6 7 6 2 6" xfId="43489"/>
    <cellStyle name="Normal 6 7 6 2 6 2" xfId="43490"/>
    <cellStyle name="Normal 6 7 6 2 6 3" xfId="43491"/>
    <cellStyle name="Normal 6 7 6 2 7" xfId="43492"/>
    <cellStyle name="Normal 6 7 6 2 7 2" xfId="43493"/>
    <cellStyle name="Normal 6 7 6 2 8" xfId="43494"/>
    <cellStyle name="Normal 6 7 6 2 8 2" xfId="43495"/>
    <cellStyle name="Normal 6 7 6 2 9" xfId="43496"/>
    <cellStyle name="Normal 6 7 6 2 9 2" xfId="43497"/>
    <cellStyle name="Normal 6 7 6 3" xfId="11724"/>
    <cellStyle name="Normal 6 7 6 3 2" xfId="43498"/>
    <cellStyle name="Normal 6 7 6 3 2 2" xfId="43499"/>
    <cellStyle name="Normal 6 7 6 3 2 3" xfId="43500"/>
    <cellStyle name="Normal 6 7 6 3 2 4" xfId="43501"/>
    <cellStyle name="Normal 6 7 6 3 3" xfId="43502"/>
    <cellStyle name="Normal 6 7 6 3 3 2" xfId="43503"/>
    <cellStyle name="Normal 6 7 6 3 3 3" xfId="43504"/>
    <cellStyle name="Normal 6 7 6 3 4" xfId="43505"/>
    <cellStyle name="Normal 6 7 6 3 4 2" xfId="43506"/>
    <cellStyle name="Normal 6 7 6 3 5" xfId="43507"/>
    <cellStyle name="Normal 6 7 6 3 5 2" xfId="43508"/>
    <cellStyle name="Normal 6 7 6 3 6" xfId="43509"/>
    <cellStyle name="Normal 6 7 6 3 6 2" xfId="43510"/>
    <cellStyle name="Normal 6 7 6 3 7" xfId="43511"/>
    <cellStyle name="Normal 6 7 6 4" xfId="11725"/>
    <cellStyle name="Normal 6 7 6 4 2" xfId="43512"/>
    <cellStyle name="Normal 6 7 6 4 3" xfId="43513"/>
    <cellStyle name="Normal 6 7 6 4 4" xfId="43514"/>
    <cellStyle name="Normal 6 7 6 5" xfId="11726"/>
    <cellStyle name="Normal 6 7 6 5 2" xfId="43515"/>
    <cellStyle name="Normal 6 7 6 5 3" xfId="43516"/>
    <cellStyle name="Normal 6 7 6 5 4" xfId="43517"/>
    <cellStyle name="Normal 6 7 6 6" xfId="11727"/>
    <cellStyle name="Normal 6 7 6 6 2" xfId="43518"/>
    <cellStyle name="Normal 6 7 6 6 3" xfId="43519"/>
    <cellStyle name="Normal 6 7 6 6 4" xfId="43520"/>
    <cellStyle name="Normal 6 7 6 7" xfId="11728"/>
    <cellStyle name="Normal 6 7 6 7 2" xfId="43521"/>
    <cellStyle name="Normal 6 7 6 7 3" xfId="43522"/>
    <cellStyle name="Normal 6 7 6 8" xfId="11729"/>
    <cellStyle name="Normal 6 7 6 8 2" xfId="43523"/>
    <cellStyle name="Normal 6 7 6 9" xfId="11730"/>
    <cellStyle name="Normal 6 7 6 9 2" xfId="43524"/>
    <cellStyle name="Normal 6 7 7" xfId="965"/>
    <cellStyle name="Normal 6 7 7 10" xfId="11732"/>
    <cellStyle name="Normal 6 7 7 10 2" xfId="43526"/>
    <cellStyle name="Normal 6 7 7 11" xfId="11733"/>
    <cellStyle name="Normal 6 7 7 12" xfId="11734"/>
    <cellStyle name="Normal 6 7 7 13" xfId="11735"/>
    <cellStyle name="Normal 6 7 7 14" xfId="11736"/>
    <cellStyle name="Normal 6 7 7 15" xfId="12064"/>
    <cellStyle name="Normal 6 7 7 16" xfId="43525"/>
    <cellStyle name="Normal 6 7 7 17" xfId="43527"/>
    <cellStyle name="Normal 6 7 7 18" xfId="43528"/>
    <cellStyle name="Normal 6 7 7 19" xfId="43529"/>
    <cellStyle name="Normal 6 7 7 2" xfId="11731"/>
    <cellStyle name="Normal 6 7 7 2 10" xfId="43530"/>
    <cellStyle name="Normal 6 7 7 2 11" xfId="43531"/>
    <cellStyle name="Normal 6 7 7 2 12" xfId="43532"/>
    <cellStyle name="Normal 6 7 7 2 13" xfId="43533"/>
    <cellStyle name="Normal 6 7 7 2 14" xfId="43534"/>
    <cellStyle name="Normal 6 7 7 2 15" xfId="43535"/>
    <cellStyle name="Normal 6 7 7 2 2" xfId="43536"/>
    <cellStyle name="Normal 6 7 7 2 2 2" xfId="43537"/>
    <cellStyle name="Normal 6 7 7 2 2 2 2" xfId="43538"/>
    <cellStyle name="Normal 6 7 7 2 2 3" xfId="43539"/>
    <cellStyle name="Normal 6 7 7 2 2 4" xfId="43540"/>
    <cellStyle name="Normal 6 7 7 2 2 5" xfId="43541"/>
    <cellStyle name="Normal 6 7 7 2 2 6" xfId="43542"/>
    <cellStyle name="Normal 6 7 7 2 2 7" xfId="43543"/>
    <cellStyle name="Normal 6 7 7 2 3" xfId="43544"/>
    <cellStyle name="Normal 6 7 7 2 3 2" xfId="43545"/>
    <cellStyle name="Normal 6 7 7 2 3 3" xfId="43546"/>
    <cellStyle name="Normal 6 7 7 2 3 4" xfId="43547"/>
    <cellStyle name="Normal 6 7 7 2 4" xfId="43548"/>
    <cellStyle name="Normal 6 7 7 2 4 2" xfId="43549"/>
    <cellStyle name="Normal 6 7 7 2 4 3" xfId="43550"/>
    <cellStyle name="Normal 6 7 7 2 4 4" xfId="43551"/>
    <cellStyle name="Normal 6 7 7 2 5" xfId="43552"/>
    <cellStyle name="Normal 6 7 7 2 5 2" xfId="43553"/>
    <cellStyle name="Normal 6 7 7 2 5 3" xfId="43554"/>
    <cellStyle name="Normal 6 7 7 2 5 4" xfId="43555"/>
    <cellStyle name="Normal 6 7 7 2 6" xfId="43556"/>
    <cellStyle name="Normal 6 7 7 2 6 2" xfId="43557"/>
    <cellStyle name="Normal 6 7 7 2 6 3" xfId="43558"/>
    <cellStyle name="Normal 6 7 7 2 7" xfId="43559"/>
    <cellStyle name="Normal 6 7 7 2 7 2" xfId="43560"/>
    <cellStyle name="Normal 6 7 7 2 8" xfId="43561"/>
    <cellStyle name="Normal 6 7 7 2 8 2" xfId="43562"/>
    <cellStyle name="Normal 6 7 7 2 9" xfId="43563"/>
    <cellStyle name="Normal 6 7 7 2 9 2" xfId="43564"/>
    <cellStyle name="Normal 6 7 7 3" xfId="11738"/>
    <cellStyle name="Normal 6 7 7 3 2" xfId="43565"/>
    <cellStyle name="Normal 6 7 7 3 2 2" xfId="43566"/>
    <cellStyle name="Normal 6 7 7 3 2 3" xfId="43567"/>
    <cellStyle name="Normal 6 7 7 3 2 4" xfId="43568"/>
    <cellStyle name="Normal 6 7 7 3 3" xfId="43569"/>
    <cellStyle name="Normal 6 7 7 3 3 2" xfId="43570"/>
    <cellStyle name="Normal 6 7 7 3 3 3" xfId="43571"/>
    <cellStyle name="Normal 6 7 7 3 4" xfId="43572"/>
    <cellStyle name="Normal 6 7 7 3 4 2" xfId="43573"/>
    <cellStyle name="Normal 6 7 7 3 5" xfId="43574"/>
    <cellStyle name="Normal 6 7 7 3 5 2" xfId="43575"/>
    <cellStyle name="Normal 6 7 7 3 6" xfId="43576"/>
    <cellStyle name="Normal 6 7 7 3 6 2" xfId="43577"/>
    <cellStyle name="Normal 6 7 7 3 7" xfId="43578"/>
    <cellStyle name="Normal 6 7 7 4" xfId="11739"/>
    <cellStyle name="Normal 6 7 7 4 2" xfId="43579"/>
    <cellStyle name="Normal 6 7 7 4 3" xfId="43580"/>
    <cellStyle name="Normal 6 7 7 4 4" xfId="43581"/>
    <cellStyle name="Normal 6 7 7 5" xfId="11740"/>
    <cellStyle name="Normal 6 7 7 5 2" xfId="43582"/>
    <cellStyle name="Normal 6 7 7 5 3" xfId="43583"/>
    <cellStyle name="Normal 6 7 7 5 4" xfId="43584"/>
    <cellStyle name="Normal 6 7 7 6" xfId="11741"/>
    <cellStyle name="Normal 6 7 7 6 2" xfId="43585"/>
    <cellStyle name="Normal 6 7 7 6 3" xfId="43586"/>
    <cellStyle name="Normal 6 7 7 6 4" xfId="43587"/>
    <cellStyle name="Normal 6 7 7 7" xfId="11742"/>
    <cellStyle name="Normal 6 7 7 7 2" xfId="43588"/>
    <cellStyle name="Normal 6 7 7 7 3" xfId="43589"/>
    <cellStyle name="Normal 6 7 7 8" xfId="11743"/>
    <cellStyle name="Normal 6 7 7 8 2" xfId="43590"/>
    <cellStyle name="Normal 6 7 7 9" xfId="11744"/>
    <cellStyle name="Normal 6 7 7 9 2" xfId="43591"/>
    <cellStyle name="Normal 6 7 8" xfId="966"/>
    <cellStyle name="Normal 6 7 8 10" xfId="11746"/>
    <cellStyle name="Normal 6 7 8 10 2" xfId="43593"/>
    <cellStyle name="Normal 6 7 8 11" xfId="11747"/>
    <cellStyle name="Normal 6 7 8 12" xfId="11748"/>
    <cellStyle name="Normal 6 7 8 13" xfId="11749"/>
    <cellStyle name="Normal 6 7 8 14" xfId="11750"/>
    <cellStyle name="Normal 6 7 8 15" xfId="12065"/>
    <cellStyle name="Normal 6 7 8 16" xfId="43592"/>
    <cellStyle name="Normal 6 7 8 17" xfId="43594"/>
    <cellStyle name="Normal 6 7 8 2" xfId="11745"/>
    <cellStyle name="Normal 6 7 8 2 10" xfId="43595"/>
    <cellStyle name="Normal 6 7 8 2 11" xfId="43596"/>
    <cellStyle name="Normal 6 7 8 2 2" xfId="43597"/>
    <cellStyle name="Normal 6 7 8 2 2 2" xfId="43598"/>
    <cellStyle name="Normal 6 7 8 2 2 3" xfId="43599"/>
    <cellStyle name="Normal 6 7 8 2 2 4" xfId="43600"/>
    <cellStyle name="Normal 6 7 8 2 3" xfId="43601"/>
    <cellStyle name="Normal 6 7 8 2 3 2" xfId="43602"/>
    <cellStyle name="Normal 6 7 8 2 3 3" xfId="43603"/>
    <cellStyle name="Normal 6 7 8 2 3 4" xfId="43604"/>
    <cellStyle name="Normal 6 7 8 2 4" xfId="43605"/>
    <cellStyle name="Normal 6 7 8 2 4 2" xfId="43606"/>
    <cellStyle name="Normal 6 7 8 2 4 3" xfId="43607"/>
    <cellStyle name="Normal 6 7 8 2 4 4" xfId="43608"/>
    <cellStyle name="Normal 6 7 8 2 5" xfId="43609"/>
    <cellStyle name="Normal 6 7 8 2 5 2" xfId="43610"/>
    <cellStyle name="Normal 6 7 8 2 5 3" xfId="43611"/>
    <cellStyle name="Normal 6 7 8 2 5 4" xfId="43612"/>
    <cellStyle name="Normal 6 7 8 2 6" xfId="43613"/>
    <cellStyle name="Normal 6 7 8 2 6 2" xfId="43614"/>
    <cellStyle name="Normal 6 7 8 2 7" xfId="43615"/>
    <cellStyle name="Normal 6 7 8 2 7 2" xfId="43616"/>
    <cellStyle name="Normal 6 7 8 2 8" xfId="43617"/>
    <cellStyle name="Normal 6 7 8 2 8 2" xfId="43618"/>
    <cellStyle name="Normal 6 7 8 2 9" xfId="43619"/>
    <cellStyle name="Normal 6 7 8 2 9 2" xfId="43620"/>
    <cellStyle name="Normal 6 7 8 3" xfId="11752"/>
    <cellStyle name="Normal 6 7 8 3 2" xfId="43621"/>
    <cellStyle name="Normal 6 7 8 3 2 2" xfId="43622"/>
    <cellStyle name="Normal 6 7 8 3 2 3" xfId="43623"/>
    <cellStyle name="Normal 6 7 8 3 2 4" xfId="43624"/>
    <cellStyle name="Normal 6 7 8 3 3" xfId="43625"/>
    <cellStyle name="Normal 6 7 8 3 3 2" xfId="43626"/>
    <cellStyle name="Normal 6 7 8 3 3 3" xfId="43627"/>
    <cellStyle name="Normal 6 7 8 3 4" xfId="43628"/>
    <cellStyle name="Normal 6 7 8 3 4 2" xfId="43629"/>
    <cellStyle name="Normal 6 7 8 3 5" xfId="43630"/>
    <cellStyle name="Normal 6 7 8 3 5 2" xfId="43631"/>
    <cellStyle name="Normal 6 7 8 3 6" xfId="43632"/>
    <cellStyle name="Normal 6 7 8 3 6 2" xfId="43633"/>
    <cellStyle name="Normal 6 7 8 3 7" xfId="43634"/>
    <cellStyle name="Normal 6 7 8 4" xfId="11753"/>
    <cellStyle name="Normal 6 7 8 4 2" xfId="43635"/>
    <cellStyle name="Normal 6 7 8 4 3" xfId="43636"/>
    <cellStyle name="Normal 6 7 8 4 4" xfId="43637"/>
    <cellStyle name="Normal 6 7 8 5" xfId="11754"/>
    <cellStyle name="Normal 6 7 8 5 2" xfId="43638"/>
    <cellStyle name="Normal 6 7 8 5 3" xfId="43639"/>
    <cellStyle name="Normal 6 7 8 5 4" xfId="43640"/>
    <cellStyle name="Normal 6 7 8 6" xfId="11755"/>
    <cellStyle name="Normal 6 7 8 6 2" xfId="43641"/>
    <cellStyle name="Normal 6 7 8 6 3" xfId="43642"/>
    <cellStyle name="Normal 6 7 8 6 4" xfId="43643"/>
    <cellStyle name="Normal 6 7 8 7" xfId="11756"/>
    <cellStyle name="Normal 6 7 8 7 2" xfId="43644"/>
    <cellStyle name="Normal 6 7 8 7 3" xfId="43645"/>
    <cellStyle name="Normal 6 7 8 8" xfId="11757"/>
    <cellStyle name="Normal 6 7 8 8 2" xfId="43646"/>
    <cellStyle name="Normal 6 7 8 9" xfId="11758"/>
    <cellStyle name="Normal 6 7 8 9 2" xfId="43647"/>
    <cellStyle name="Normal 6 7 9" xfId="967"/>
    <cellStyle name="Normal 6 7 9 10" xfId="43649"/>
    <cellStyle name="Normal 6 7 9 10 2" xfId="43650"/>
    <cellStyle name="Normal 6 7 9 11" xfId="43651"/>
    <cellStyle name="Normal 6 7 9 12" xfId="43652"/>
    <cellStyle name="Normal 6 7 9 13" xfId="43653"/>
    <cellStyle name="Normal 6 7 9 14" xfId="43654"/>
    <cellStyle name="Normal 6 7 9 15" xfId="43655"/>
    <cellStyle name="Normal 6 7 9 16" xfId="43656"/>
    <cellStyle name="Normal 6 7 9 17" xfId="43657"/>
    <cellStyle name="Normal 6 7 9 2" xfId="11759"/>
    <cellStyle name="Normal 6 7 9 2 10" xfId="43658"/>
    <cellStyle name="Normal 6 7 9 2 11" xfId="43659"/>
    <cellStyle name="Normal 6 7 9 2 2" xfId="43660"/>
    <cellStyle name="Normal 6 7 9 2 2 2" xfId="43661"/>
    <cellStyle name="Normal 6 7 9 2 2 3" xfId="43662"/>
    <cellStyle name="Normal 6 7 9 2 2 4" xfId="43663"/>
    <cellStyle name="Normal 6 7 9 2 3" xfId="43664"/>
    <cellStyle name="Normal 6 7 9 2 3 2" xfId="43665"/>
    <cellStyle name="Normal 6 7 9 2 3 3" xfId="43666"/>
    <cellStyle name="Normal 6 7 9 2 3 4" xfId="43667"/>
    <cellStyle name="Normal 6 7 9 2 4" xfId="43668"/>
    <cellStyle name="Normal 6 7 9 2 4 2" xfId="43669"/>
    <cellStyle name="Normal 6 7 9 2 4 3" xfId="43670"/>
    <cellStyle name="Normal 6 7 9 2 4 4" xfId="43671"/>
    <cellStyle name="Normal 6 7 9 2 5" xfId="43672"/>
    <cellStyle name="Normal 6 7 9 2 5 2" xfId="43673"/>
    <cellStyle name="Normal 6 7 9 2 5 3" xfId="43674"/>
    <cellStyle name="Normal 6 7 9 2 5 4" xfId="43675"/>
    <cellStyle name="Normal 6 7 9 2 6" xfId="43676"/>
    <cellStyle name="Normal 6 7 9 2 6 2" xfId="43677"/>
    <cellStyle name="Normal 6 7 9 2 7" xfId="43678"/>
    <cellStyle name="Normal 6 7 9 2 7 2" xfId="43679"/>
    <cellStyle name="Normal 6 7 9 2 8" xfId="43680"/>
    <cellStyle name="Normal 6 7 9 2 8 2" xfId="43681"/>
    <cellStyle name="Normal 6 7 9 2 9" xfId="43682"/>
    <cellStyle name="Normal 6 7 9 2 9 2" xfId="43683"/>
    <cellStyle name="Normal 6 7 9 3" xfId="12066"/>
    <cellStyle name="Normal 6 7 9 3 2" xfId="43684"/>
    <cellStyle name="Normal 6 7 9 3 2 2" xfId="43685"/>
    <cellStyle name="Normal 6 7 9 3 2 3" xfId="43686"/>
    <cellStyle name="Normal 6 7 9 3 2 4" xfId="43687"/>
    <cellStyle name="Normal 6 7 9 3 3" xfId="43688"/>
    <cellStyle name="Normal 6 7 9 3 3 2" xfId="43689"/>
    <cellStyle name="Normal 6 7 9 3 3 3" xfId="43690"/>
    <cellStyle name="Normal 6 7 9 3 4" xfId="43691"/>
    <cellStyle name="Normal 6 7 9 3 4 2" xfId="43692"/>
    <cellStyle name="Normal 6 7 9 3 5" xfId="43693"/>
    <cellStyle name="Normal 6 7 9 3 5 2" xfId="43694"/>
    <cellStyle name="Normal 6 7 9 3 6" xfId="43695"/>
    <cellStyle name="Normal 6 7 9 3 6 2" xfId="43696"/>
    <cellStyle name="Normal 6 7 9 3 7" xfId="43697"/>
    <cellStyle name="Normal 6 7 9 4" xfId="43648"/>
    <cellStyle name="Normal 6 7 9 4 2" xfId="43698"/>
    <cellStyle name="Normal 6 7 9 4 3" xfId="43699"/>
    <cellStyle name="Normal 6 7 9 4 4" xfId="43700"/>
    <cellStyle name="Normal 6 7 9 5" xfId="43701"/>
    <cellStyle name="Normal 6 7 9 5 2" xfId="43702"/>
    <cellStyle name="Normal 6 7 9 5 3" xfId="43703"/>
    <cellStyle name="Normal 6 7 9 5 4" xfId="43704"/>
    <cellStyle name="Normal 6 7 9 6" xfId="43705"/>
    <cellStyle name="Normal 6 7 9 6 2" xfId="43706"/>
    <cellStyle name="Normal 6 7 9 6 3" xfId="43707"/>
    <cellStyle name="Normal 6 7 9 6 4" xfId="43708"/>
    <cellStyle name="Normal 6 7 9 7" xfId="43709"/>
    <cellStyle name="Normal 6 7 9 7 2" xfId="43710"/>
    <cellStyle name="Normal 6 7 9 7 3" xfId="43711"/>
    <cellStyle name="Normal 6 7 9 8" xfId="43712"/>
    <cellStyle name="Normal 6 7 9 8 2" xfId="43713"/>
    <cellStyle name="Normal 6 7 9 9" xfId="43714"/>
    <cellStyle name="Normal 6 7 9 9 2" xfId="43715"/>
    <cellStyle name="Normal 6 8" xfId="968"/>
    <cellStyle name="Normal 6 8 10" xfId="969"/>
    <cellStyle name="Normal 6 8 10 10" xfId="43718"/>
    <cellStyle name="Normal 6 8 10 11" xfId="43719"/>
    <cellStyle name="Normal 6 8 10 12" xfId="43720"/>
    <cellStyle name="Normal 6 8 10 13" xfId="43721"/>
    <cellStyle name="Normal 6 8 10 14" xfId="43722"/>
    <cellStyle name="Normal 6 8 10 15" xfId="43723"/>
    <cellStyle name="Normal 6 8 10 2" xfId="11761"/>
    <cellStyle name="Normal 6 8 10 2 2" xfId="43724"/>
    <cellStyle name="Normal 6 8 10 2 2 2" xfId="43725"/>
    <cellStyle name="Normal 6 8 10 2 3" xfId="43726"/>
    <cellStyle name="Normal 6 8 10 2 3 2" xfId="43727"/>
    <cellStyle name="Normal 6 8 10 2 4" xfId="43728"/>
    <cellStyle name="Normal 6 8 10 2 4 2" xfId="43729"/>
    <cellStyle name="Normal 6 8 10 2 5" xfId="43730"/>
    <cellStyle name="Normal 6 8 10 2 5 2" xfId="43731"/>
    <cellStyle name="Normal 6 8 10 2 6" xfId="43732"/>
    <cellStyle name="Normal 6 8 10 2 7" xfId="43733"/>
    <cellStyle name="Normal 6 8 10 2 8" xfId="43734"/>
    <cellStyle name="Normal 6 8 10 2 9" xfId="43735"/>
    <cellStyle name="Normal 6 8 10 3" xfId="12068"/>
    <cellStyle name="Normal 6 8 10 3 2" xfId="43736"/>
    <cellStyle name="Normal 6 8 10 3 2 2" xfId="43737"/>
    <cellStyle name="Normal 6 8 10 3 3" xfId="43738"/>
    <cellStyle name="Normal 6 8 10 3 4" xfId="43739"/>
    <cellStyle name="Normal 6 8 10 3 5" xfId="43740"/>
    <cellStyle name="Normal 6 8 10 4" xfId="43717"/>
    <cellStyle name="Normal 6 8 10 4 2" xfId="43741"/>
    <cellStyle name="Normal 6 8 10 5" xfId="43742"/>
    <cellStyle name="Normal 6 8 10 5 2" xfId="43743"/>
    <cellStyle name="Normal 6 8 10 6" xfId="43744"/>
    <cellStyle name="Normal 6 8 10 6 2" xfId="43745"/>
    <cellStyle name="Normal 6 8 10 7" xfId="43746"/>
    <cellStyle name="Normal 6 8 10 7 2" xfId="43747"/>
    <cellStyle name="Normal 6 8 10 8" xfId="43748"/>
    <cellStyle name="Normal 6 8 10 9" xfId="43749"/>
    <cellStyle name="Normal 6 8 11" xfId="11760"/>
    <cellStyle name="Normal 6 8 11 2" xfId="43750"/>
    <cellStyle name="Normal 6 8 11 2 2" xfId="43751"/>
    <cellStyle name="Normal 6 8 11 3" xfId="43752"/>
    <cellStyle name="Normal 6 8 11 3 2" xfId="43753"/>
    <cellStyle name="Normal 6 8 11 4" xfId="43754"/>
    <cellStyle name="Normal 6 8 11 4 2" xfId="43755"/>
    <cellStyle name="Normal 6 8 11 5" xfId="43756"/>
    <cellStyle name="Normal 6 8 11 5 2" xfId="43757"/>
    <cellStyle name="Normal 6 8 11 6" xfId="43758"/>
    <cellStyle name="Normal 6 8 11 7" xfId="43759"/>
    <cellStyle name="Normal 6 8 11 8" xfId="43760"/>
    <cellStyle name="Normal 6 8 11 9" xfId="43761"/>
    <cellStyle name="Normal 6 8 12" xfId="11763"/>
    <cellStyle name="Normal 6 8 12 2" xfId="43762"/>
    <cellStyle name="Normal 6 8 12 2 2" xfId="43763"/>
    <cellStyle name="Normal 6 8 12 3" xfId="43764"/>
    <cellStyle name="Normal 6 8 12 4" xfId="43765"/>
    <cellStyle name="Normal 6 8 12 5" xfId="43766"/>
    <cellStyle name="Normal 6 8 13" xfId="11764"/>
    <cellStyle name="Normal 6 8 13 2" xfId="43767"/>
    <cellStyle name="Normal 6 8 14" xfId="11765"/>
    <cellStyle name="Normal 6 8 14 2" xfId="43768"/>
    <cellStyle name="Normal 6 8 15" xfId="11766"/>
    <cellStyle name="Normal 6 8 15 2" xfId="43769"/>
    <cellStyle name="Normal 6 8 16" xfId="11767"/>
    <cellStyle name="Normal 6 8 16 2" xfId="43770"/>
    <cellStyle name="Normal 6 8 17" xfId="11768"/>
    <cellStyle name="Normal 6 8 18" xfId="11769"/>
    <cellStyle name="Normal 6 8 19" xfId="11770"/>
    <cellStyle name="Normal 6 8 2" xfId="970"/>
    <cellStyle name="Normal 6 8 2 10" xfId="11772"/>
    <cellStyle name="Normal 6 8 2 11" xfId="11773"/>
    <cellStyle name="Normal 6 8 2 12" xfId="11774"/>
    <cellStyle name="Normal 6 8 2 13" xfId="11775"/>
    <cellStyle name="Normal 6 8 2 14" xfId="11776"/>
    <cellStyle name="Normal 6 8 2 15" xfId="12069"/>
    <cellStyle name="Normal 6 8 2 16" xfId="43771"/>
    <cellStyle name="Normal 6 8 2 17" xfId="43772"/>
    <cellStyle name="Normal 6 8 2 18" xfId="43773"/>
    <cellStyle name="Normal 6 8 2 19" xfId="43774"/>
    <cellStyle name="Normal 6 8 2 2" xfId="11771"/>
    <cellStyle name="Normal 6 8 2 2 10" xfId="43775"/>
    <cellStyle name="Normal 6 8 2 2 11" xfId="43776"/>
    <cellStyle name="Normal 6 8 2 2 12" xfId="43777"/>
    <cellStyle name="Normal 6 8 2 2 13" xfId="43778"/>
    <cellStyle name="Normal 6 8 2 2 14" xfId="43779"/>
    <cellStyle name="Normal 6 8 2 2 15" xfId="43780"/>
    <cellStyle name="Normal 6 8 2 2 2" xfId="43781"/>
    <cellStyle name="Normal 6 8 2 2 2 2" xfId="43782"/>
    <cellStyle name="Normal 6 8 2 2 2 2 2" xfId="43783"/>
    <cellStyle name="Normal 6 8 2 2 2 3" xfId="43784"/>
    <cellStyle name="Normal 6 8 2 2 2 4" xfId="43785"/>
    <cellStyle name="Normal 6 8 2 2 2 5" xfId="43786"/>
    <cellStyle name="Normal 6 8 2 2 3" xfId="43787"/>
    <cellStyle name="Normal 6 8 2 2 3 2" xfId="43788"/>
    <cellStyle name="Normal 6 8 2 2 4" xfId="43789"/>
    <cellStyle name="Normal 6 8 2 2 4 2" xfId="43790"/>
    <cellStyle name="Normal 6 8 2 2 5" xfId="43791"/>
    <cellStyle name="Normal 6 8 2 2 5 2" xfId="43792"/>
    <cellStyle name="Normal 6 8 2 2 6" xfId="43793"/>
    <cellStyle name="Normal 6 8 2 2 6 2" xfId="43794"/>
    <cellStyle name="Normal 6 8 2 2 7" xfId="43795"/>
    <cellStyle name="Normal 6 8 2 2 8" xfId="43796"/>
    <cellStyle name="Normal 6 8 2 2 9" xfId="43797"/>
    <cellStyle name="Normal 6 8 2 20" xfId="43798"/>
    <cellStyle name="Normal 6 8 2 3" xfId="11778"/>
    <cellStyle name="Normal 6 8 2 3 2" xfId="43799"/>
    <cellStyle name="Normal 6 8 2 3 2 2" xfId="43800"/>
    <cellStyle name="Normal 6 8 2 3 3" xfId="43801"/>
    <cellStyle name="Normal 6 8 2 3 4" xfId="43802"/>
    <cellStyle name="Normal 6 8 2 3 5" xfId="43803"/>
    <cellStyle name="Normal 6 8 2 3 6" xfId="43804"/>
    <cellStyle name="Normal 6 8 2 3 7" xfId="43805"/>
    <cellStyle name="Normal 6 8 2 4" xfId="11779"/>
    <cellStyle name="Normal 6 8 2 4 2" xfId="43806"/>
    <cellStyle name="Normal 6 8 2 4 3" xfId="43807"/>
    <cellStyle name="Normal 6 8 2 4 4" xfId="43808"/>
    <cellStyle name="Normal 6 8 2 5" xfId="11780"/>
    <cellStyle name="Normal 6 8 2 5 2" xfId="43809"/>
    <cellStyle name="Normal 6 8 2 5 3" xfId="43810"/>
    <cellStyle name="Normal 6 8 2 5 4" xfId="43811"/>
    <cellStyle name="Normal 6 8 2 6" xfId="11781"/>
    <cellStyle name="Normal 6 8 2 6 2" xfId="43812"/>
    <cellStyle name="Normal 6 8 2 6 3" xfId="43813"/>
    <cellStyle name="Normal 6 8 2 7" xfId="11782"/>
    <cellStyle name="Normal 6 8 2 7 2" xfId="43814"/>
    <cellStyle name="Normal 6 8 2 7 3" xfId="43815"/>
    <cellStyle name="Normal 6 8 2 8" xfId="11783"/>
    <cellStyle name="Normal 6 8 2 8 2" xfId="43816"/>
    <cellStyle name="Normal 6 8 2 9" xfId="11784"/>
    <cellStyle name="Normal 6 8 2 9 2" xfId="43817"/>
    <cellStyle name="Normal 6 8 20" xfId="11785"/>
    <cellStyle name="Normal 6 8 21" xfId="11786"/>
    <cellStyle name="Normal 6 8 22" xfId="11787"/>
    <cellStyle name="Normal 6 8 23" xfId="12067"/>
    <cellStyle name="Normal 6 8 24" xfId="43716"/>
    <cellStyle name="Normal 6 8 25" xfId="43818"/>
    <cellStyle name="Normal 6 8 26" xfId="43819"/>
    <cellStyle name="Normal 6 8 27" xfId="43820"/>
    <cellStyle name="Normal 6 8 3" xfId="971"/>
    <cellStyle name="Normal 6 8 3 10" xfId="11789"/>
    <cellStyle name="Normal 6 8 3 11" xfId="11790"/>
    <cellStyle name="Normal 6 8 3 12" xfId="11791"/>
    <cellStyle name="Normal 6 8 3 13" xfId="11792"/>
    <cellStyle name="Normal 6 8 3 14" xfId="11793"/>
    <cellStyle name="Normal 6 8 3 15" xfId="12070"/>
    <cellStyle name="Normal 6 8 3 16" xfId="43821"/>
    <cellStyle name="Normal 6 8 3 17" xfId="43822"/>
    <cellStyle name="Normal 6 8 3 18" xfId="43823"/>
    <cellStyle name="Normal 6 8 3 19" xfId="43824"/>
    <cellStyle name="Normal 6 8 3 2" xfId="11788"/>
    <cellStyle name="Normal 6 8 3 2 10" xfId="43825"/>
    <cellStyle name="Normal 6 8 3 2 11" xfId="43826"/>
    <cellStyle name="Normal 6 8 3 2 12" xfId="43827"/>
    <cellStyle name="Normal 6 8 3 2 13" xfId="43828"/>
    <cellStyle name="Normal 6 8 3 2 14" xfId="43829"/>
    <cellStyle name="Normal 6 8 3 2 15" xfId="43830"/>
    <cellStyle name="Normal 6 8 3 2 2" xfId="43831"/>
    <cellStyle name="Normal 6 8 3 2 2 2" xfId="43832"/>
    <cellStyle name="Normal 6 8 3 2 2 2 2" xfId="43833"/>
    <cellStyle name="Normal 6 8 3 2 2 3" xfId="43834"/>
    <cellStyle name="Normal 6 8 3 2 2 4" xfId="43835"/>
    <cellStyle name="Normal 6 8 3 2 2 5" xfId="43836"/>
    <cellStyle name="Normal 6 8 3 2 3" xfId="43837"/>
    <cellStyle name="Normal 6 8 3 2 3 2" xfId="43838"/>
    <cellStyle name="Normal 6 8 3 2 4" xfId="43839"/>
    <cellStyle name="Normal 6 8 3 2 4 2" xfId="43840"/>
    <cellStyle name="Normal 6 8 3 2 5" xfId="43841"/>
    <cellStyle name="Normal 6 8 3 2 5 2" xfId="43842"/>
    <cellStyle name="Normal 6 8 3 2 6" xfId="43843"/>
    <cellStyle name="Normal 6 8 3 2 6 2" xfId="43844"/>
    <cellStyle name="Normal 6 8 3 2 7" xfId="43845"/>
    <cellStyle name="Normal 6 8 3 2 8" xfId="43846"/>
    <cellStyle name="Normal 6 8 3 2 9" xfId="43847"/>
    <cellStyle name="Normal 6 8 3 20" xfId="43848"/>
    <cellStyle name="Normal 6 8 3 3" xfId="11795"/>
    <cellStyle name="Normal 6 8 3 3 2" xfId="43849"/>
    <cellStyle name="Normal 6 8 3 3 2 2" xfId="43850"/>
    <cellStyle name="Normal 6 8 3 3 3" xfId="43851"/>
    <cellStyle name="Normal 6 8 3 3 4" xfId="43852"/>
    <cellStyle name="Normal 6 8 3 3 5" xfId="43853"/>
    <cellStyle name="Normal 6 8 3 3 6" xfId="43854"/>
    <cellStyle name="Normal 6 8 3 3 7" xfId="43855"/>
    <cellStyle name="Normal 6 8 3 4" xfId="11796"/>
    <cellStyle name="Normal 6 8 3 4 2" xfId="43856"/>
    <cellStyle name="Normal 6 8 3 4 3" xfId="43857"/>
    <cellStyle name="Normal 6 8 3 5" xfId="11797"/>
    <cellStyle name="Normal 6 8 3 5 2" xfId="43858"/>
    <cellStyle name="Normal 6 8 3 5 3" xfId="43859"/>
    <cellStyle name="Normal 6 8 3 6" xfId="11798"/>
    <cellStyle name="Normal 6 8 3 6 2" xfId="43860"/>
    <cellStyle name="Normal 6 8 3 6 3" xfId="43861"/>
    <cellStyle name="Normal 6 8 3 7" xfId="11799"/>
    <cellStyle name="Normal 6 8 3 7 2" xfId="43862"/>
    <cellStyle name="Normal 6 8 3 7 3" xfId="43863"/>
    <cellStyle name="Normal 6 8 3 8" xfId="11800"/>
    <cellStyle name="Normal 6 8 3 9" xfId="11801"/>
    <cellStyle name="Normal 6 8 4" xfId="972"/>
    <cellStyle name="Normal 6 8 4 10" xfId="11803"/>
    <cellStyle name="Normal 6 8 4 11" xfId="11804"/>
    <cellStyle name="Normal 6 8 4 12" xfId="11805"/>
    <cellStyle name="Normal 6 8 4 13" xfId="11806"/>
    <cellStyle name="Normal 6 8 4 14" xfId="11807"/>
    <cellStyle name="Normal 6 8 4 15" xfId="12071"/>
    <cellStyle name="Normal 6 8 4 16" xfId="43864"/>
    <cellStyle name="Normal 6 8 4 17" xfId="43865"/>
    <cellStyle name="Normal 6 8 4 18" xfId="43866"/>
    <cellStyle name="Normal 6 8 4 19" xfId="43867"/>
    <cellStyle name="Normal 6 8 4 2" xfId="11802"/>
    <cellStyle name="Normal 6 8 4 2 10" xfId="43868"/>
    <cellStyle name="Normal 6 8 4 2 11" xfId="43869"/>
    <cellStyle name="Normal 6 8 4 2 12" xfId="43870"/>
    <cellStyle name="Normal 6 8 4 2 13" xfId="43871"/>
    <cellStyle name="Normal 6 8 4 2 2" xfId="43872"/>
    <cellStyle name="Normal 6 8 4 2 2 2" xfId="43873"/>
    <cellStyle name="Normal 6 8 4 2 2 2 2" xfId="43874"/>
    <cellStyle name="Normal 6 8 4 2 2 3" xfId="43875"/>
    <cellStyle name="Normal 6 8 4 2 2 4" xfId="43876"/>
    <cellStyle name="Normal 6 8 4 2 2 5" xfId="43877"/>
    <cellStyle name="Normal 6 8 4 2 3" xfId="43878"/>
    <cellStyle name="Normal 6 8 4 2 3 2" xfId="43879"/>
    <cellStyle name="Normal 6 8 4 2 4" xfId="43880"/>
    <cellStyle name="Normal 6 8 4 2 4 2" xfId="43881"/>
    <cellStyle name="Normal 6 8 4 2 5" xfId="43882"/>
    <cellStyle name="Normal 6 8 4 2 5 2" xfId="43883"/>
    <cellStyle name="Normal 6 8 4 2 6" xfId="43884"/>
    <cellStyle name="Normal 6 8 4 2 6 2" xfId="43885"/>
    <cellStyle name="Normal 6 8 4 2 7" xfId="43886"/>
    <cellStyle name="Normal 6 8 4 2 8" xfId="43887"/>
    <cellStyle name="Normal 6 8 4 2 9" xfId="43888"/>
    <cellStyle name="Normal 6 8 4 20" xfId="43889"/>
    <cellStyle name="Normal 6 8 4 3" xfId="11809"/>
    <cellStyle name="Normal 6 8 4 3 2" xfId="43890"/>
    <cellStyle name="Normal 6 8 4 3 2 2" xfId="43891"/>
    <cellStyle name="Normal 6 8 4 3 3" xfId="43892"/>
    <cellStyle name="Normal 6 8 4 3 4" xfId="43893"/>
    <cellStyle name="Normal 6 8 4 3 5" xfId="43894"/>
    <cellStyle name="Normal 6 8 4 4" xfId="11810"/>
    <cellStyle name="Normal 6 8 4 4 2" xfId="43895"/>
    <cellStyle name="Normal 6 8 4 5" xfId="11811"/>
    <cellStyle name="Normal 6 8 4 5 2" xfId="43896"/>
    <cellStyle name="Normal 6 8 4 6" xfId="11812"/>
    <cellStyle name="Normal 6 8 4 6 2" xfId="43897"/>
    <cellStyle name="Normal 6 8 4 7" xfId="11813"/>
    <cellStyle name="Normal 6 8 4 7 2" xfId="43898"/>
    <cellStyle name="Normal 6 8 4 8" xfId="11814"/>
    <cellStyle name="Normal 6 8 4 9" xfId="11815"/>
    <cellStyle name="Normal 6 8 5" xfId="973"/>
    <cellStyle name="Normal 6 8 5 10" xfId="11817"/>
    <cellStyle name="Normal 6 8 5 11" xfId="11818"/>
    <cellStyle name="Normal 6 8 5 12" xfId="11819"/>
    <cellStyle name="Normal 6 8 5 13" xfId="11820"/>
    <cellStyle name="Normal 6 8 5 14" xfId="11821"/>
    <cellStyle name="Normal 6 8 5 15" xfId="12072"/>
    <cellStyle name="Normal 6 8 5 16" xfId="43899"/>
    <cellStyle name="Normal 6 8 5 17" xfId="43900"/>
    <cellStyle name="Normal 6 8 5 18" xfId="43901"/>
    <cellStyle name="Normal 6 8 5 19" xfId="43902"/>
    <cellStyle name="Normal 6 8 5 2" xfId="11816"/>
    <cellStyle name="Normal 6 8 5 2 10" xfId="43903"/>
    <cellStyle name="Normal 6 8 5 2 11" xfId="43904"/>
    <cellStyle name="Normal 6 8 5 2 12" xfId="43905"/>
    <cellStyle name="Normal 6 8 5 2 13" xfId="43906"/>
    <cellStyle name="Normal 6 8 5 2 2" xfId="43907"/>
    <cellStyle name="Normal 6 8 5 2 2 2" xfId="43908"/>
    <cellStyle name="Normal 6 8 5 2 2 2 2" xfId="43909"/>
    <cellStyle name="Normal 6 8 5 2 2 3" xfId="43910"/>
    <cellStyle name="Normal 6 8 5 2 2 4" xfId="43911"/>
    <cellStyle name="Normal 6 8 5 2 2 5" xfId="43912"/>
    <cellStyle name="Normal 6 8 5 2 3" xfId="43913"/>
    <cellStyle name="Normal 6 8 5 2 3 2" xfId="43914"/>
    <cellStyle name="Normal 6 8 5 2 4" xfId="43915"/>
    <cellStyle name="Normal 6 8 5 2 4 2" xfId="43916"/>
    <cellStyle name="Normal 6 8 5 2 5" xfId="43917"/>
    <cellStyle name="Normal 6 8 5 2 5 2" xfId="43918"/>
    <cellStyle name="Normal 6 8 5 2 6" xfId="43919"/>
    <cellStyle name="Normal 6 8 5 2 6 2" xfId="43920"/>
    <cellStyle name="Normal 6 8 5 2 7" xfId="43921"/>
    <cellStyle name="Normal 6 8 5 2 8" xfId="43922"/>
    <cellStyle name="Normal 6 8 5 2 9" xfId="43923"/>
    <cellStyle name="Normal 6 8 5 3" xfId="11823"/>
    <cellStyle name="Normal 6 8 5 3 2" xfId="43924"/>
    <cellStyle name="Normal 6 8 5 3 2 2" xfId="43925"/>
    <cellStyle name="Normal 6 8 5 3 3" xfId="43926"/>
    <cellStyle name="Normal 6 8 5 3 4" xfId="43927"/>
    <cellStyle name="Normal 6 8 5 3 5" xfId="43928"/>
    <cellStyle name="Normal 6 8 5 4" xfId="11824"/>
    <cellStyle name="Normal 6 8 5 4 2" xfId="43929"/>
    <cellStyle name="Normal 6 8 5 5" xfId="11825"/>
    <cellStyle name="Normal 6 8 5 5 2" xfId="43930"/>
    <cellStyle name="Normal 6 8 5 6" xfId="11826"/>
    <cellStyle name="Normal 6 8 5 6 2" xfId="43931"/>
    <cellStyle name="Normal 6 8 5 7" xfId="11827"/>
    <cellStyle name="Normal 6 8 5 7 2" xfId="43932"/>
    <cellStyle name="Normal 6 8 5 8" xfId="11828"/>
    <cellStyle name="Normal 6 8 5 9" xfId="11829"/>
    <cellStyle name="Normal 6 8 6" xfId="974"/>
    <cellStyle name="Normal 6 8 6 10" xfId="11831"/>
    <cellStyle name="Normal 6 8 6 11" xfId="11832"/>
    <cellStyle name="Normal 6 8 6 12" xfId="11833"/>
    <cellStyle name="Normal 6 8 6 13" xfId="11834"/>
    <cellStyle name="Normal 6 8 6 14" xfId="11835"/>
    <cellStyle name="Normal 6 8 6 15" xfId="12073"/>
    <cellStyle name="Normal 6 8 6 16" xfId="43933"/>
    <cellStyle name="Normal 6 8 6 17" xfId="43934"/>
    <cellStyle name="Normal 6 8 6 18" xfId="43935"/>
    <cellStyle name="Normal 6 8 6 19" xfId="43936"/>
    <cellStyle name="Normal 6 8 6 2" xfId="11830"/>
    <cellStyle name="Normal 6 8 6 2 10" xfId="43937"/>
    <cellStyle name="Normal 6 8 6 2 11" xfId="43938"/>
    <cellStyle name="Normal 6 8 6 2 12" xfId="43939"/>
    <cellStyle name="Normal 6 8 6 2 13" xfId="43940"/>
    <cellStyle name="Normal 6 8 6 2 2" xfId="43941"/>
    <cellStyle name="Normal 6 8 6 2 2 2" xfId="43942"/>
    <cellStyle name="Normal 6 8 6 2 2 2 2" xfId="43943"/>
    <cellStyle name="Normal 6 8 6 2 2 3" xfId="43944"/>
    <cellStyle name="Normal 6 8 6 2 2 4" xfId="43945"/>
    <cellStyle name="Normal 6 8 6 2 2 5" xfId="43946"/>
    <cellStyle name="Normal 6 8 6 2 3" xfId="43947"/>
    <cellStyle name="Normal 6 8 6 2 3 2" xfId="43948"/>
    <cellStyle name="Normal 6 8 6 2 4" xfId="43949"/>
    <cellStyle name="Normal 6 8 6 2 4 2" xfId="43950"/>
    <cellStyle name="Normal 6 8 6 2 5" xfId="43951"/>
    <cellStyle name="Normal 6 8 6 2 5 2" xfId="43952"/>
    <cellStyle name="Normal 6 8 6 2 6" xfId="43953"/>
    <cellStyle name="Normal 6 8 6 2 6 2" xfId="43954"/>
    <cellStyle name="Normal 6 8 6 2 7" xfId="43955"/>
    <cellStyle name="Normal 6 8 6 2 8" xfId="43956"/>
    <cellStyle name="Normal 6 8 6 2 9" xfId="43957"/>
    <cellStyle name="Normal 6 8 6 3" xfId="11837"/>
    <cellStyle name="Normal 6 8 6 3 2" xfId="43958"/>
    <cellStyle name="Normal 6 8 6 3 2 2" xfId="43959"/>
    <cellStyle name="Normal 6 8 6 3 3" xfId="43960"/>
    <cellStyle name="Normal 6 8 6 3 4" xfId="43961"/>
    <cellStyle name="Normal 6 8 6 3 5" xfId="43962"/>
    <cellStyle name="Normal 6 8 6 4" xfId="11838"/>
    <cellStyle name="Normal 6 8 6 4 2" xfId="43963"/>
    <cellStyle name="Normal 6 8 6 5" xfId="11839"/>
    <cellStyle name="Normal 6 8 6 5 2" xfId="43964"/>
    <cellStyle name="Normal 6 8 6 6" xfId="11840"/>
    <cellStyle name="Normal 6 8 6 6 2" xfId="43965"/>
    <cellStyle name="Normal 6 8 6 7" xfId="11841"/>
    <cellStyle name="Normal 6 8 6 7 2" xfId="43966"/>
    <cellStyle name="Normal 6 8 6 8" xfId="11842"/>
    <cellStyle name="Normal 6 8 6 9" xfId="11843"/>
    <cellStyle name="Normal 6 8 7" xfId="975"/>
    <cellStyle name="Normal 6 8 7 10" xfId="11845"/>
    <cellStyle name="Normal 6 8 7 11" xfId="11846"/>
    <cellStyle name="Normal 6 8 7 12" xfId="11847"/>
    <cellStyle name="Normal 6 8 7 13" xfId="11848"/>
    <cellStyle name="Normal 6 8 7 14" xfId="11849"/>
    <cellStyle name="Normal 6 8 7 15" xfId="12074"/>
    <cellStyle name="Normal 6 8 7 16" xfId="43967"/>
    <cellStyle name="Normal 6 8 7 17" xfId="43968"/>
    <cellStyle name="Normal 6 8 7 18" xfId="43969"/>
    <cellStyle name="Normal 6 8 7 2" xfId="11844"/>
    <cellStyle name="Normal 6 8 7 2 10" xfId="43970"/>
    <cellStyle name="Normal 6 8 7 2 11" xfId="43971"/>
    <cellStyle name="Normal 6 8 7 2 12" xfId="43972"/>
    <cellStyle name="Normal 6 8 7 2 13" xfId="43973"/>
    <cellStyle name="Normal 6 8 7 2 2" xfId="43974"/>
    <cellStyle name="Normal 6 8 7 2 2 2" xfId="43975"/>
    <cellStyle name="Normal 6 8 7 2 2 2 2" xfId="43976"/>
    <cellStyle name="Normal 6 8 7 2 2 3" xfId="43977"/>
    <cellStyle name="Normal 6 8 7 2 2 4" xfId="43978"/>
    <cellStyle name="Normal 6 8 7 2 2 5" xfId="43979"/>
    <cellStyle name="Normal 6 8 7 2 3" xfId="43980"/>
    <cellStyle name="Normal 6 8 7 2 3 2" xfId="43981"/>
    <cellStyle name="Normal 6 8 7 2 4" xfId="43982"/>
    <cellStyle name="Normal 6 8 7 2 4 2" xfId="43983"/>
    <cellStyle name="Normal 6 8 7 2 5" xfId="43984"/>
    <cellStyle name="Normal 6 8 7 2 5 2" xfId="43985"/>
    <cellStyle name="Normal 6 8 7 2 6" xfId="43986"/>
    <cellStyle name="Normal 6 8 7 2 6 2" xfId="43987"/>
    <cellStyle name="Normal 6 8 7 2 7" xfId="43988"/>
    <cellStyle name="Normal 6 8 7 2 8" xfId="43989"/>
    <cellStyle name="Normal 6 8 7 2 9" xfId="43990"/>
    <cellStyle name="Normal 6 8 7 3" xfId="11851"/>
    <cellStyle name="Normal 6 8 7 3 2" xfId="43991"/>
    <cellStyle name="Normal 6 8 7 3 2 2" xfId="43992"/>
    <cellStyle name="Normal 6 8 7 3 3" xfId="43993"/>
    <cellStyle name="Normal 6 8 7 3 4" xfId="43994"/>
    <cellStyle name="Normal 6 8 7 3 5" xfId="43995"/>
    <cellStyle name="Normal 6 8 7 4" xfId="11852"/>
    <cellStyle name="Normal 6 8 7 4 2" xfId="43996"/>
    <cellStyle name="Normal 6 8 7 5" xfId="11853"/>
    <cellStyle name="Normal 6 8 7 5 2" xfId="43997"/>
    <cellStyle name="Normal 6 8 7 6" xfId="11854"/>
    <cellStyle name="Normal 6 8 7 6 2" xfId="43998"/>
    <cellStyle name="Normal 6 8 7 7" xfId="11855"/>
    <cellStyle name="Normal 6 8 7 7 2" xfId="43999"/>
    <cellStyle name="Normal 6 8 7 8" xfId="11856"/>
    <cellStyle name="Normal 6 8 7 9" xfId="11857"/>
    <cellStyle name="Normal 6 8 8" xfId="976"/>
    <cellStyle name="Normal 6 8 8 10" xfId="11859"/>
    <cellStyle name="Normal 6 8 8 11" xfId="11860"/>
    <cellStyle name="Normal 6 8 8 12" xfId="11861"/>
    <cellStyle name="Normal 6 8 8 13" xfId="11862"/>
    <cellStyle name="Normal 6 8 8 14" xfId="11863"/>
    <cellStyle name="Normal 6 8 8 15" xfId="12075"/>
    <cellStyle name="Normal 6 8 8 16" xfId="44000"/>
    <cellStyle name="Normal 6 8 8 2" xfId="11858"/>
    <cellStyle name="Normal 6 8 8 2 2" xfId="44001"/>
    <cellStyle name="Normal 6 8 8 2 2 2" xfId="44002"/>
    <cellStyle name="Normal 6 8 8 2 3" xfId="44003"/>
    <cellStyle name="Normal 6 8 8 2 3 2" xfId="44004"/>
    <cellStyle name="Normal 6 8 8 2 4" xfId="44005"/>
    <cellStyle name="Normal 6 8 8 2 4 2" xfId="44006"/>
    <cellStyle name="Normal 6 8 8 2 5" xfId="44007"/>
    <cellStyle name="Normal 6 8 8 2 5 2" xfId="44008"/>
    <cellStyle name="Normal 6 8 8 2 6" xfId="44009"/>
    <cellStyle name="Normal 6 8 8 2 7" xfId="44010"/>
    <cellStyle name="Normal 6 8 8 2 8" xfId="44011"/>
    <cellStyle name="Normal 6 8 8 2 9" xfId="44012"/>
    <cellStyle name="Normal 6 8 8 3" xfId="11865"/>
    <cellStyle name="Normal 6 8 8 3 2" xfId="44013"/>
    <cellStyle name="Normal 6 8 8 3 2 2" xfId="44014"/>
    <cellStyle name="Normal 6 8 8 3 3" xfId="44015"/>
    <cellStyle name="Normal 6 8 8 3 4" xfId="44016"/>
    <cellStyle name="Normal 6 8 8 3 5" xfId="44017"/>
    <cellStyle name="Normal 6 8 8 4" xfId="11866"/>
    <cellStyle name="Normal 6 8 8 4 2" xfId="44018"/>
    <cellStyle name="Normal 6 8 8 5" xfId="11867"/>
    <cellStyle name="Normal 6 8 8 5 2" xfId="44019"/>
    <cellStyle name="Normal 6 8 8 6" xfId="11868"/>
    <cellStyle name="Normal 6 8 8 6 2" xfId="44020"/>
    <cellStyle name="Normal 6 8 8 7" xfId="11869"/>
    <cellStyle name="Normal 6 8 8 7 2" xfId="44021"/>
    <cellStyle name="Normal 6 8 8 8" xfId="11870"/>
    <cellStyle name="Normal 6 8 8 9" xfId="11871"/>
    <cellStyle name="Normal 6 8 9" xfId="977"/>
    <cellStyle name="Normal 6 8 9 10" xfId="44023"/>
    <cellStyle name="Normal 6 8 9 11" xfId="44024"/>
    <cellStyle name="Normal 6 8 9 12" xfId="44025"/>
    <cellStyle name="Normal 6 8 9 13" xfId="44026"/>
    <cellStyle name="Normal 6 8 9 14" xfId="44027"/>
    <cellStyle name="Normal 6 8 9 15" xfId="44028"/>
    <cellStyle name="Normal 6 8 9 16" xfId="44029"/>
    <cellStyle name="Normal 6 8 9 2" xfId="11872"/>
    <cellStyle name="Normal 6 8 9 2 2" xfId="44030"/>
    <cellStyle name="Normal 6 8 9 2 2 2" xfId="44031"/>
    <cellStyle name="Normal 6 8 9 2 3" xfId="44032"/>
    <cellStyle name="Normal 6 8 9 2 3 2" xfId="44033"/>
    <cellStyle name="Normal 6 8 9 2 4" xfId="44034"/>
    <cellStyle name="Normal 6 8 9 2 4 2" xfId="44035"/>
    <cellStyle name="Normal 6 8 9 2 5" xfId="44036"/>
    <cellStyle name="Normal 6 8 9 2 5 2" xfId="44037"/>
    <cellStyle name="Normal 6 8 9 2 6" xfId="44038"/>
    <cellStyle name="Normal 6 8 9 2 7" xfId="44039"/>
    <cellStyle name="Normal 6 8 9 2 8" xfId="44040"/>
    <cellStyle name="Normal 6 8 9 2 9" xfId="44041"/>
    <cellStyle name="Normal 6 8 9 3" xfId="12076"/>
    <cellStyle name="Normal 6 8 9 3 2" xfId="44042"/>
    <cellStyle name="Normal 6 8 9 3 2 2" xfId="44043"/>
    <cellStyle name="Normal 6 8 9 3 3" xfId="44044"/>
    <cellStyle name="Normal 6 8 9 3 4" xfId="44045"/>
    <cellStyle name="Normal 6 8 9 3 5" xfId="44046"/>
    <cellStyle name="Normal 6 8 9 4" xfId="44022"/>
    <cellStyle name="Normal 6 8 9 4 2" xfId="44047"/>
    <cellStyle name="Normal 6 8 9 5" xfId="44048"/>
    <cellStyle name="Normal 6 8 9 5 2" xfId="44049"/>
    <cellStyle name="Normal 6 8 9 6" xfId="44050"/>
    <cellStyle name="Normal 6 8 9 6 2" xfId="44051"/>
    <cellStyle name="Normal 6 8 9 7" xfId="44052"/>
    <cellStyle name="Normal 6 8 9 7 2" xfId="44053"/>
    <cellStyle name="Normal 6 8 9 8" xfId="44054"/>
    <cellStyle name="Normal 6 8 9 9" xfId="44055"/>
    <cellStyle name="Normal 6 9" xfId="978"/>
    <cellStyle name="Normal 6 9 10" xfId="11874"/>
    <cellStyle name="Normal 6 9 10 10" xfId="44057"/>
    <cellStyle name="Normal 6 9 10 11" xfId="44058"/>
    <cellStyle name="Normal 6 9 10 12" xfId="44059"/>
    <cellStyle name="Normal 6 9 10 13" xfId="44060"/>
    <cellStyle name="Normal 6 9 10 14" xfId="44061"/>
    <cellStyle name="Normal 6 9 10 15" xfId="44062"/>
    <cellStyle name="Normal 6 9 10 2" xfId="44063"/>
    <cellStyle name="Normal 6 9 10 2 2" xfId="44064"/>
    <cellStyle name="Normal 6 9 10 2 2 2" xfId="44065"/>
    <cellStyle name="Normal 6 9 10 2 3" xfId="44066"/>
    <cellStyle name="Normal 6 9 10 2 3 2" xfId="44067"/>
    <cellStyle name="Normal 6 9 10 2 4" xfId="44068"/>
    <cellStyle name="Normal 6 9 10 2 4 2" xfId="44069"/>
    <cellStyle name="Normal 6 9 10 2 5" xfId="44070"/>
    <cellStyle name="Normal 6 9 10 2 5 2" xfId="44071"/>
    <cellStyle name="Normal 6 9 10 2 6" xfId="44072"/>
    <cellStyle name="Normal 6 9 10 2 7" xfId="44073"/>
    <cellStyle name="Normal 6 9 10 2 8" xfId="44074"/>
    <cellStyle name="Normal 6 9 10 2 9" xfId="44075"/>
    <cellStyle name="Normal 6 9 10 3" xfId="44076"/>
    <cellStyle name="Normal 6 9 10 3 2" xfId="44077"/>
    <cellStyle name="Normal 6 9 10 3 2 2" xfId="44078"/>
    <cellStyle name="Normal 6 9 10 3 3" xfId="44079"/>
    <cellStyle name="Normal 6 9 10 3 4" xfId="44080"/>
    <cellStyle name="Normal 6 9 10 3 5" xfId="44081"/>
    <cellStyle name="Normal 6 9 10 4" xfId="44082"/>
    <cellStyle name="Normal 6 9 10 4 2" xfId="44083"/>
    <cellStyle name="Normal 6 9 10 5" xfId="44084"/>
    <cellStyle name="Normal 6 9 10 5 2" xfId="44085"/>
    <cellStyle name="Normal 6 9 10 6" xfId="44086"/>
    <cellStyle name="Normal 6 9 10 6 2" xfId="44087"/>
    <cellStyle name="Normal 6 9 10 7" xfId="44088"/>
    <cellStyle name="Normal 6 9 10 7 2" xfId="44089"/>
    <cellStyle name="Normal 6 9 10 8" xfId="44090"/>
    <cellStyle name="Normal 6 9 10 9" xfId="44091"/>
    <cellStyle name="Normal 6 9 11" xfId="11875"/>
    <cellStyle name="Normal 6 9 11 2" xfId="44092"/>
    <cellStyle name="Normal 6 9 11 2 2" xfId="44093"/>
    <cellStyle name="Normal 6 9 11 3" xfId="44094"/>
    <cellStyle name="Normal 6 9 11 3 2" xfId="44095"/>
    <cellStyle name="Normal 6 9 11 4" xfId="44096"/>
    <cellStyle name="Normal 6 9 11 4 2" xfId="44097"/>
    <cellStyle name="Normal 6 9 11 5" xfId="44098"/>
    <cellStyle name="Normal 6 9 11 5 2" xfId="44099"/>
    <cellStyle name="Normal 6 9 11 6" xfId="44100"/>
    <cellStyle name="Normal 6 9 11 7" xfId="44101"/>
    <cellStyle name="Normal 6 9 11 8" xfId="44102"/>
    <cellStyle name="Normal 6 9 11 9" xfId="44103"/>
    <cellStyle name="Normal 6 9 12" xfId="11876"/>
    <cellStyle name="Normal 6 9 12 2" xfId="44104"/>
    <cellStyle name="Normal 6 9 12 2 2" xfId="44105"/>
    <cellStyle name="Normal 6 9 12 3" xfId="44106"/>
    <cellStyle name="Normal 6 9 12 4" xfId="44107"/>
    <cellStyle name="Normal 6 9 12 5" xfId="44108"/>
    <cellStyle name="Normal 6 9 13" xfId="11877"/>
    <cellStyle name="Normal 6 9 13 2" xfId="44109"/>
    <cellStyle name="Normal 6 9 14" xfId="11878"/>
    <cellStyle name="Normal 6 9 14 2" xfId="44110"/>
    <cellStyle name="Normal 6 9 15" xfId="12077"/>
    <cellStyle name="Normal 6 9 15 2" xfId="44111"/>
    <cellStyle name="Normal 6 9 16" xfId="44056"/>
    <cellStyle name="Normal 6 9 16 2" xfId="44112"/>
    <cellStyle name="Normal 6 9 17" xfId="44113"/>
    <cellStyle name="Normal 6 9 18" xfId="44114"/>
    <cellStyle name="Normal 6 9 19" xfId="44115"/>
    <cellStyle name="Normal 6 9 2" xfId="11873"/>
    <cellStyle name="Normal 6 9 2 10" xfId="44117"/>
    <cellStyle name="Normal 6 9 2 11" xfId="44118"/>
    <cellStyle name="Normal 6 9 2 12" xfId="44119"/>
    <cellStyle name="Normal 6 9 2 13" xfId="44120"/>
    <cellStyle name="Normal 6 9 2 14" xfId="44121"/>
    <cellStyle name="Normal 6 9 2 15" xfId="44122"/>
    <cellStyle name="Normal 6 9 2 16" xfId="44123"/>
    <cellStyle name="Normal 6 9 2 17" xfId="44124"/>
    <cellStyle name="Normal 6 9 2 18" xfId="44125"/>
    <cellStyle name="Normal 6 9 2 19" xfId="44126"/>
    <cellStyle name="Normal 6 9 2 2" xfId="44127"/>
    <cellStyle name="Normal 6 9 2 2 10" xfId="44128"/>
    <cellStyle name="Normal 6 9 2 2 11" xfId="44129"/>
    <cellStyle name="Normal 6 9 2 2 12" xfId="44130"/>
    <cellStyle name="Normal 6 9 2 2 13" xfId="44131"/>
    <cellStyle name="Normal 6 9 2 2 14" xfId="44132"/>
    <cellStyle name="Normal 6 9 2 2 15" xfId="44133"/>
    <cellStyle name="Normal 6 9 2 2 2" xfId="44134"/>
    <cellStyle name="Normal 6 9 2 2 2 2" xfId="44135"/>
    <cellStyle name="Normal 6 9 2 2 2 2 2" xfId="44136"/>
    <cellStyle name="Normal 6 9 2 2 2 3" xfId="44137"/>
    <cellStyle name="Normal 6 9 2 2 2 4" xfId="44138"/>
    <cellStyle name="Normal 6 9 2 2 2 5" xfId="44139"/>
    <cellStyle name="Normal 6 9 2 2 3" xfId="44140"/>
    <cellStyle name="Normal 6 9 2 2 3 2" xfId="44141"/>
    <cellStyle name="Normal 6 9 2 2 4" xfId="44142"/>
    <cellStyle name="Normal 6 9 2 2 4 2" xfId="44143"/>
    <cellStyle name="Normal 6 9 2 2 5" xfId="44144"/>
    <cellStyle name="Normal 6 9 2 2 5 2" xfId="44145"/>
    <cellStyle name="Normal 6 9 2 2 6" xfId="44146"/>
    <cellStyle name="Normal 6 9 2 2 6 2" xfId="44147"/>
    <cellStyle name="Normal 6 9 2 2 7" xfId="44148"/>
    <cellStyle name="Normal 6 9 2 2 8" xfId="44149"/>
    <cellStyle name="Normal 6 9 2 2 9" xfId="44150"/>
    <cellStyle name="Normal 6 9 2 20" xfId="44151"/>
    <cellStyle name="Normal 6 9 2 3" xfId="44152"/>
    <cellStyle name="Normal 6 9 2 3 2" xfId="44153"/>
    <cellStyle name="Normal 6 9 2 3 2 2" xfId="44154"/>
    <cellStyle name="Normal 6 9 2 3 3" xfId="44155"/>
    <cellStyle name="Normal 6 9 2 3 4" xfId="44156"/>
    <cellStyle name="Normal 6 9 2 3 5" xfId="44157"/>
    <cellStyle name="Normal 6 9 2 3 6" xfId="44158"/>
    <cellStyle name="Normal 6 9 2 3 7" xfId="44159"/>
    <cellStyle name="Normal 6 9 2 4" xfId="44160"/>
    <cellStyle name="Normal 6 9 2 4 2" xfId="44161"/>
    <cellStyle name="Normal 6 9 2 4 3" xfId="44162"/>
    <cellStyle name="Normal 6 9 2 4 4" xfId="44163"/>
    <cellStyle name="Normal 6 9 2 5" xfId="44164"/>
    <cellStyle name="Normal 6 9 2 5 2" xfId="44165"/>
    <cellStyle name="Normal 6 9 2 5 3" xfId="44166"/>
    <cellStyle name="Normal 6 9 2 5 4" xfId="44167"/>
    <cellStyle name="Normal 6 9 2 6" xfId="44168"/>
    <cellStyle name="Normal 6 9 2 6 2" xfId="44169"/>
    <cellStyle name="Normal 6 9 2 6 3" xfId="44170"/>
    <cellStyle name="Normal 6 9 2 7" xfId="44171"/>
    <cellStyle name="Normal 6 9 2 7 2" xfId="44172"/>
    <cellStyle name="Normal 6 9 2 7 3" xfId="44173"/>
    <cellStyle name="Normal 6 9 2 8" xfId="44174"/>
    <cellStyle name="Normal 6 9 2 8 2" xfId="44175"/>
    <cellStyle name="Normal 6 9 2 9" xfId="44176"/>
    <cellStyle name="Normal 6 9 2 9 2" xfId="44177"/>
    <cellStyle name="Normal 6 9 20" xfId="44178"/>
    <cellStyle name="Normal 6 9 21" xfId="44179"/>
    <cellStyle name="Normal 6 9 22" xfId="44180"/>
    <cellStyle name="Normal 6 9 23" xfId="44181"/>
    <cellStyle name="Normal 6 9 24" xfId="44182"/>
    <cellStyle name="Normal 6 9 25" xfId="44183"/>
    <cellStyle name="Normal 6 9 26" xfId="44184"/>
    <cellStyle name="Normal 6 9 27" xfId="44185"/>
    <cellStyle name="Normal 6 9 3" xfId="11880"/>
    <cellStyle name="Normal 6 9 3 10" xfId="44187"/>
    <cellStyle name="Normal 6 9 3 11" xfId="44188"/>
    <cellStyle name="Normal 6 9 3 12" xfId="44189"/>
    <cellStyle name="Normal 6 9 3 13" xfId="44190"/>
    <cellStyle name="Normal 6 9 3 14" xfId="44191"/>
    <cellStyle name="Normal 6 9 3 15" xfId="44192"/>
    <cellStyle name="Normal 6 9 3 16" xfId="44193"/>
    <cellStyle name="Normal 6 9 3 17" xfId="44194"/>
    <cellStyle name="Normal 6 9 3 18" xfId="44195"/>
    <cellStyle name="Normal 6 9 3 19" xfId="44196"/>
    <cellStyle name="Normal 6 9 3 2" xfId="44197"/>
    <cellStyle name="Normal 6 9 3 2 10" xfId="44198"/>
    <cellStyle name="Normal 6 9 3 2 11" xfId="44199"/>
    <cellStyle name="Normal 6 9 3 2 12" xfId="44200"/>
    <cellStyle name="Normal 6 9 3 2 13" xfId="44201"/>
    <cellStyle name="Normal 6 9 3 2 14" xfId="44202"/>
    <cellStyle name="Normal 6 9 3 2 15" xfId="44203"/>
    <cellStyle name="Normal 6 9 3 2 2" xfId="44204"/>
    <cellStyle name="Normal 6 9 3 2 2 2" xfId="44205"/>
    <cellStyle name="Normal 6 9 3 2 2 2 2" xfId="44206"/>
    <cellStyle name="Normal 6 9 3 2 2 3" xfId="44207"/>
    <cellStyle name="Normal 6 9 3 2 2 4" xfId="44208"/>
    <cellStyle name="Normal 6 9 3 2 2 5" xfId="44209"/>
    <cellStyle name="Normal 6 9 3 2 3" xfId="44210"/>
    <cellStyle name="Normal 6 9 3 2 3 2" xfId="44211"/>
    <cellStyle name="Normal 6 9 3 2 4" xfId="44212"/>
    <cellStyle name="Normal 6 9 3 2 4 2" xfId="44213"/>
    <cellStyle name="Normal 6 9 3 2 5" xfId="44214"/>
    <cellStyle name="Normal 6 9 3 2 5 2" xfId="44215"/>
    <cellStyle name="Normal 6 9 3 2 6" xfId="44216"/>
    <cellStyle name="Normal 6 9 3 2 6 2" xfId="44217"/>
    <cellStyle name="Normal 6 9 3 2 7" xfId="44218"/>
    <cellStyle name="Normal 6 9 3 2 8" xfId="44219"/>
    <cellStyle name="Normal 6 9 3 2 9" xfId="44220"/>
    <cellStyle name="Normal 6 9 3 20" xfId="44221"/>
    <cellStyle name="Normal 6 9 3 3" xfId="44222"/>
    <cellStyle name="Normal 6 9 3 3 2" xfId="44223"/>
    <cellStyle name="Normal 6 9 3 3 2 2" xfId="44224"/>
    <cellStyle name="Normal 6 9 3 3 3" xfId="44225"/>
    <cellStyle name="Normal 6 9 3 3 4" xfId="44226"/>
    <cellStyle name="Normal 6 9 3 3 5" xfId="44227"/>
    <cellStyle name="Normal 6 9 3 3 6" xfId="44228"/>
    <cellStyle name="Normal 6 9 3 3 7" xfId="44229"/>
    <cellStyle name="Normal 6 9 3 4" xfId="44230"/>
    <cellStyle name="Normal 6 9 3 4 2" xfId="44231"/>
    <cellStyle name="Normal 6 9 3 4 3" xfId="44232"/>
    <cellStyle name="Normal 6 9 3 5" xfId="44233"/>
    <cellStyle name="Normal 6 9 3 5 2" xfId="44234"/>
    <cellStyle name="Normal 6 9 3 5 3" xfId="44235"/>
    <cellStyle name="Normal 6 9 3 6" xfId="44236"/>
    <cellStyle name="Normal 6 9 3 6 2" xfId="44237"/>
    <cellStyle name="Normal 6 9 3 6 3" xfId="44238"/>
    <cellStyle name="Normal 6 9 3 7" xfId="44239"/>
    <cellStyle name="Normal 6 9 3 7 2" xfId="44240"/>
    <cellStyle name="Normal 6 9 3 7 3" xfId="44241"/>
    <cellStyle name="Normal 6 9 3 8" xfId="44242"/>
    <cellStyle name="Normal 6 9 3 9" xfId="44243"/>
    <cellStyle name="Normal 6 9 4" xfId="11881"/>
    <cellStyle name="Normal 6 9 4 10" xfId="44245"/>
    <cellStyle name="Normal 6 9 4 11" xfId="44246"/>
    <cellStyle name="Normal 6 9 4 12" xfId="44247"/>
    <cellStyle name="Normal 6 9 4 13" xfId="44248"/>
    <cellStyle name="Normal 6 9 4 14" xfId="44249"/>
    <cellStyle name="Normal 6 9 4 15" xfId="44250"/>
    <cellStyle name="Normal 6 9 4 16" xfId="44251"/>
    <cellStyle name="Normal 6 9 4 17" xfId="44252"/>
    <cellStyle name="Normal 6 9 4 18" xfId="44253"/>
    <cellStyle name="Normal 6 9 4 19" xfId="44254"/>
    <cellStyle name="Normal 6 9 4 2" xfId="44255"/>
    <cellStyle name="Normal 6 9 4 2 10" xfId="44256"/>
    <cellStyle name="Normal 6 9 4 2 11" xfId="44257"/>
    <cellStyle name="Normal 6 9 4 2 12" xfId="44258"/>
    <cellStyle name="Normal 6 9 4 2 13" xfId="44259"/>
    <cellStyle name="Normal 6 9 4 2 2" xfId="44260"/>
    <cellStyle name="Normal 6 9 4 2 2 2" xfId="44261"/>
    <cellStyle name="Normal 6 9 4 2 2 2 2" xfId="44262"/>
    <cellStyle name="Normal 6 9 4 2 2 3" xfId="44263"/>
    <cellStyle name="Normal 6 9 4 2 2 4" xfId="44264"/>
    <cellStyle name="Normal 6 9 4 2 2 5" xfId="44265"/>
    <cellStyle name="Normal 6 9 4 2 3" xfId="44266"/>
    <cellStyle name="Normal 6 9 4 2 3 2" xfId="44267"/>
    <cellStyle name="Normal 6 9 4 2 4" xfId="44268"/>
    <cellStyle name="Normal 6 9 4 2 4 2" xfId="44269"/>
    <cellStyle name="Normal 6 9 4 2 5" xfId="44270"/>
    <cellStyle name="Normal 6 9 4 2 5 2" xfId="44271"/>
    <cellStyle name="Normal 6 9 4 2 6" xfId="44272"/>
    <cellStyle name="Normal 6 9 4 2 6 2" xfId="44273"/>
    <cellStyle name="Normal 6 9 4 2 7" xfId="44274"/>
    <cellStyle name="Normal 6 9 4 2 8" xfId="44275"/>
    <cellStyle name="Normal 6 9 4 2 9" xfId="44276"/>
    <cellStyle name="Normal 6 9 4 20" xfId="44277"/>
    <cellStyle name="Normal 6 9 4 3" xfId="44278"/>
    <cellStyle name="Normal 6 9 4 3 2" xfId="44279"/>
    <cellStyle name="Normal 6 9 4 3 2 2" xfId="44280"/>
    <cellStyle name="Normal 6 9 4 3 3" xfId="44281"/>
    <cellStyle name="Normal 6 9 4 3 4" xfId="44282"/>
    <cellStyle name="Normal 6 9 4 3 5" xfId="44283"/>
    <cellStyle name="Normal 6 9 4 4" xfId="44284"/>
    <cellStyle name="Normal 6 9 4 4 2" xfId="44285"/>
    <cellStyle name="Normal 6 9 4 5" xfId="44286"/>
    <cellStyle name="Normal 6 9 4 5 2" xfId="44287"/>
    <cellStyle name="Normal 6 9 4 6" xfId="44288"/>
    <cellStyle name="Normal 6 9 4 6 2" xfId="44289"/>
    <cellStyle name="Normal 6 9 4 7" xfId="44290"/>
    <cellStyle name="Normal 6 9 4 7 2" xfId="44291"/>
    <cellStyle name="Normal 6 9 4 8" xfId="44292"/>
    <cellStyle name="Normal 6 9 4 9" xfId="44293"/>
    <cellStyle name="Normal 6 9 5" xfId="11882"/>
    <cellStyle name="Normal 6 9 5 10" xfId="44295"/>
    <cellStyle name="Normal 6 9 5 11" xfId="44296"/>
    <cellStyle name="Normal 6 9 5 12" xfId="44297"/>
    <cellStyle name="Normal 6 9 5 13" xfId="44298"/>
    <cellStyle name="Normal 6 9 5 14" xfId="44299"/>
    <cellStyle name="Normal 6 9 5 15" xfId="44300"/>
    <cellStyle name="Normal 6 9 5 16" xfId="44301"/>
    <cellStyle name="Normal 6 9 5 17" xfId="44302"/>
    <cellStyle name="Normal 6 9 5 18" xfId="44303"/>
    <cellStyle name="Normal 6 9 5 19" xfId="44304"/>
    <cellStyle name="Normal 6 9 5 2" xfId="44305"/>
    <cellStyle name="Normal 6 9 5 2 10" xfId="44306"/>
    <cellStyle name="Normal 6 9 5 2 11" xfId="44307"/>
    <cellStyle name="Normal 6 9 5 2 12" xfId="44308"/>
    <cellStyle name="Normal 6 9 5 2 13" xfId="44309"/>
    <cellStyle name="Normal 6 9 5 2 2" xfId="44310"/>
    <cellStyle name="Normal 6 9 5 2 2 2" xfId="44311"/>
    <cellStyle name="Normal 6 9 5 2 2 2 2" xfId="44312"/>
    <cellStyle name="Normal 6 9 5 2 2 3" xfId="44313"/>
    <cellStyle name="Normal 6 9 5 2 2 4" xfId="44314"/>
    <cellStyle name="Normal 6 9 5 2 2 5" xfId="44315"/>
    <cellStyle name="Normal 6 9 5 2 3" xfId="44316"/>
    <cellStyle name="Normal 6 9 5 2 3 2" xfId="44317"/>
    <cellStyle name="Normal 6 9 5 2 4" xfId="44318"/>
    <cellStyle name="Normal 6 9 5 2 4 2" xfId="44319"/>
    <cellStyle name="Normal 6 9 5 2 5" xfId="44320"/>
    <cellStyle name="Normal 6 9 5 2 5 2" xfId="44321"/>
    <cellStyle name="Normal 6 9 5 2 6" xfId="44322"/>
    <cellStyle name="Normal 6 9 5 2 6 2" xfId="44323"/>
    <cellStyle name="Normal 6 9 5 2 7" xfId="44324"/>
    <cellStyle name="Normal 6 9 5 2 8" xfId="44325"/>
    <cellStyle name="Normal 6 9 5 2 9" xfId="44326"/>
    <cellStyle name="Normal 6 9 5 3" xfId="44327"/>
    <cellStyle name="Normal 6 9 5 3 2" xfId="44328"/>
    <cellStyle name="Normal 6 9 5 3 2 2" xfId="44329"/>
    <cellStyle name="Normal 6 9 5 3 3" xfId="44330"/>
    <cellStyle name="Normal 6 9 5 3 4" xfId="44331"/>
    <cellStyle name="Normal 6 9 5 3 5" xfId="44332"/>
    <cellStyle name="Normal 6 9 5 4" xfId="44333"/>
    <cellStyle name="Normal 6 9 5 4 2" xfId="44334"/>
    <cellStyle name="Normal 6 9 5 5" xfId="44335"/>
    <cellStyle name="Normal 6 9 5 5 2" xfId="44336"/>
    <cellStyle name="Normal 6 9 5 6" xfId="44337"/>
    <cellStyle name="Normal 6 9 5 6 2" xfId="44338"/>
    <cellStyle name="Normal 6 9 5 7" xfId="44339"/>
    <cellStyle name="Normal 6 9 5 7 2" xfId="44340"/>
    <cellStyle name="Normal 6 9 5 8" xfId="44341"/>
    <cellStyle name="Normal 6 9 5 9" xfId="44342"/>
    <cellStyle name="Normal 6 9 6" xfId="11883"/>
    <cellStyle name="Normal 6 9 6 10" xfId="44344"/>
    <cellStyle name="Normal 6 9 6 11" xfId="44345"/>
    <cellStyle name="Normal 6 9 6 12" xfId="44346"/>
    <cellStyle name="Normal 6 9 6 13" xfId="44347"/>
    <cellStyle name="Normal 6 9 6 14" xfId="44348"/>
    <cellStyle name="Normal 6 9 6 15" xfId="44349"/>
    <cellStyle name="Normal 6 9 6 16" xfId="44350"/>
    <cellStyle name="Normal 6 9 6 17" xfId="44351"/>
    <cellStyle name="Normal 6 9 6 18" xfId="44352"/>
    <cellStyle name="Normal 6 9 6 19" xfId="44353"/>
    <cellStyle name="Normal 6 9 6 2" xfId="44354"/>
    <cellStyle name="Normal 6 9 6 2 10" xfId="44355"/>
    <cellStyle name="Normal 6 9 6 2 11" xfId="44356"/>
    <cellStyle name="Normal 6 9 6 2 12" xfId="44357"/>
    <cellStyle name="Normal 6 9 6 2 13" xfId="44358"/>
    <cellStyle name="Normal 6 9 6 2 2" xfId="44359"/>
    <cellStyle name="Normal 6 9 6 2 2 2" xfId="44360"/>
    <cellStyle name="Normal 6 9 6 2 2 2 2" xfId="44361"/>
    <cellStyle name="Normal 6 9 6 2 2 3" xfId="44362"/>
    <cellStyle name="Normal 6 9 6 2 2 4" xfId="44363"/>
    <cellStyle name="Normal 6 9 6 2 2 5" xfId="44364"/>
    <cellStyle name="Normal 6 9 6 2 3" xfId="44365"/>
    <cellStyle name="Normal 6 9 6 2 3 2" xfId="44366"/>
    <cellStyle name="Normal 6 9 6 2 4" xfId="44367"/>
    <cellStyle name="Normal 6 9 6 2 4 2" xfId="44368"/>
    <cellStyle name="Normal 6 9 6 2 5" xfId="44369"/>
    <cellStyle name="Normal 6 9 6 2 5 2" xfId="44370"/>
    <cellStyle name="Normal 6 9 6 2 6" xfId="44371"/>
    <cellStyle name="Normal 6 9 6 2 6 2" xfId="44372"/>
    <cellStyle name="Normal 6 9 6 2 7" xfId="44373"/>
    <cellStyle name="Normal 6 9 6 2 8" xfId="44374"/>
    <cellStyle name="Normal 6 9 6 2 9" xfId="44375"/>
    <cellStyle name="Normal 6 9 6 3" xfId="44376"/>
    <cellStyle name="Normal 6 9 6 3 2" xfId="44377"/>
    <cellStyle name="Normal 6 9 6 3 2 2" xfId="44378"/>
    <cellStyle name="Normal 6 9 6 3 3" xfId="44379"/>
    <cellStyle name="Normal 6 9 6 3 4" xfId="44380"/>
    <cellStyle name="Normal 6 9 6 3 5" xfId="44381"/>
    <cellStyle name="Normal 6 9 6 4" xfId="44382"/>
    <cellStyle name="Normal 6 9 6 4 2" xfId="44383"/>
    <cellStyle name="Normal 6 9 6 5" xfId="44384"/>
    <cellStyle name="Normal 6 9 6 5 2" xfId="44385"/>
    <cellStyle name="Normal 6 9 6 6" xfId="44386"/>
    <cellStyle name="Normal 6 9 6 6 2" xfId="44387"/>
    <cellStyle name="Normal 6 9 6 7" xfId="44388"/>
    <cellStyle name="Normal 6 9 6 7 2" xfId="44389"/>
    <cellStyle name="Normal 6 9 6 8" xfId="44390"/>
    <cellStyle name="Normal 6 9 6 9" xfId="44391"/>
    <cellStyle name="Normal 6 9 7" xfId="11884"/>
    <cellStyle name="Normal 6 9 7 10" xfId="44393"/>
    <cellStyle name="Normal 6 9 7 11" xfId="44394"/>
    <cellStyle name="Normal 6 9 7 12" xfId="44395"/>
    <cellStyle name="Normal 6 9 7 13" xfId="44396"/>
    <cellStyle name="Normal 6 9 7 14" xfId="44397"/>
    <cellStyle name="Normal 6 9 7 15" xfId="44398"/>
    <cellStyle name="Normal 6 9 7 16" xfId="44399"/>
    <cellStyle name="Normal 6 9 7 17" xfId="44400"/>
    <cellStyle name="Normal 6 9 7 18" xfId="44401"/>
    <cellStyle name="Normal 6 9 7 2" xfId="44402"/>
    <cellStyle name="Normal 6 9 7 2 10" xfId="44403"/>
    <cellStyle name="Normal 6 9 7 2 11" xfId="44404"/>
    <cellStyle name="Normal 6 9 7 2 12" xfId="44405"/>
    <cellStyle name="Normal 6 9 7 2 13" xfId="44406"/>
    <cellStyle name="Normal 6 9 7 2 2" xfId="44407"/>
    <cellStyle name="Normal 6 9 7 2 2 2" xfId="44408"/>
    <cellStyle name="Normal 6 9 7 2 2 2 2" xfId="44409"/>
    <cellStyle name="Normal 6 9 7 2 2 3" xfId="44410"/>
    <cellStyle name="Normal 6 9 7 2 2 4" xfId="44411"/>
    <cellStyle name="Normal 6 9 7 2 2 5" xfId="44412"/>
    <cellStyle name="Normal 6 9 7 2 3" xfId="44413"/>
    <cellStyle name="Normal 6 9 7 2 3 2" xfId="44414"/>
    <cellStyle name="Normal 6 9 7 2 4" xfId="44415"/>
    <cellStyle name="Normal 6 9 7 2 4 2" xfId="44416"/>
    <cellStyle name="Normal 6 9 7 2 5" xfId="44417"/>
    <cellStyle name="Normal 6 9 7 2 5 2" xfId="44418"/>
    <cellStyle name="Normal 6 9 7 2 6" xfId="44419"/>
    <cellStyle name="Normal 6 9 7 2 6 2" xfId="44420"/>
    <cellStyle name="Normal 6 9 7 2 7" xfId="44421"/>
    <cellStyle name="Normal 6 9 7 2 8" xfId="44422"/>
    <cellStyle name="Normal 6 9 7 2 9" xfId="44423"/>
    <cellStyle name="Normal 6 9 7 3" xfId="44424"/>
    <cellStyle name="Normal 6 9 7 3 2" xfId="44425"/>
    <cellStyle name="Normal 6 9 7 3 2 2" xfId="44426"/>
    <cellStyle name="Normal 6 9 7 3 3" xfId="44427"/>
    <cellStyle name="Normal 6 9 7 3 4" xfId="44428"/>
    <cellStyle name="Normal 6 9 7 3 5" xfId="44429"/>
    <cellStyle name="Normal 6 9 7 4" xfId="44430"/>
    <cellStyle name="Normal 6 9 7 4 2" xfId="44431"/>
    <cellStyle name="Normal 6 9 7 5" xfId="44432"/>
    <cellStyle name="Normal 6 9 7 5 2" xfId="44433"/>
    <cellStyle name="Normal 6 9 7 6" xfId="44434"/>
    <cellStyle name="Normal 6 9 7 6 2" xfId="44435"/>
    <cellStyle name="Normal 6 9 7 7" xfId="44436"/>
    <cellStyle name="Normal 6 9 7 7 2" xfId="44437"/>
    <cellStyle name="Normal 6 9 7 8" xfId="44438"/>
    <cellStyle name="Normal 6 9 7 9" xfId="44439"/>
    <cellStyle name="Normal 6 9 8" xfId="11885"/>
    <cellStyle name="Normal 6 9 8 10" xfId="44441"/>
    <cellStyle name="Normal 6 9 8 11" xfId="44442"/>
    <cellStyle name="Normal 6 9 8 12" xfId="44443"/>
    <cellStyle name="Normal 6 9 8 13" xfId="44444"/>
    <cellStyle name="Normal 6 9 8 14" xfId="44445"/>
    <cellStyle name="Normal 6 9 8 15" xfId="44446"/>
    <cellStyle name="Normal 6 9 8 16" xfId="44447"/>
    <cellStyle name="Normal 6 9 8 2" xfId="44448"/>
    <cellStyle name="Normal 6 9 8 2 2" xfId="44449"/>
    <cellStyle name="Normal 6 9 8 2 2 2" xfId="44450"/>
    <cellStyle name="Normal 6 9 8 2 3" xfId="44451"/>
    <cellStyle name="Normal 6 9 8 2 3 2" xfId="44452"/>
    <cellStyle name="Normal 6 9 8 2 4" xfId="44453"/>
    <cellStyle name="Normal 6 9 8 2 4 2" xfId="44454"/>
    <cellStyle name="Normal 6 9 8 2 5" xfId="44455"/>
    <cellStyle name="Normal 6 9 8 2 5 2" xfId="44456"/>
    <cellStyle name="Normal 6 9 8 2 6" xfId="44457"/>
    <cellStyle name="Normal 6 9 8 2 7" xfId="44458"/>
    <cellStyle name="Normal 6 9 8 2 8" xfId="44459"/>
    <cellStyle name="Normal 6 9 8 2 9" xfId="44460"/>
    <cellStyle name="Normal 6 9 8 3" xfId="44461"/>
    <cellStyle name="Normal 6 9 8 3 2" xfId="44462"/>
    <cellStyle name="Normal 6 9 8 3 2 2" xfId="44463"/>
    <cellStyle name="Normal 6 9 8 3 3" xfId="44464"/>
    <cellStyle name="Normal 6 9 8 3 4" xfId="44465"/>
    <cellStyle name="Normal 6 9 8 3 5" xfId="44466"/>
    <cellStyle name="Normal 6 9 8 4" xfId="44467"/>
    <cellStyle name="Normal 6 9 8 4 2" xfId="44468"/>
    <cellStyle name="Normal 6 9 8 5" xfId="44469"/>
    <cellStyle name="Normal 6 9 8 5 2" xfId="44470"/>
    <cellStyle name="Normal 6 9 8 6" xfId="44471"/>
    <cellStyle name="Normal 6 9 8 6 2" xfId="44472"/>
    <cellStyle name="Normal 6 9 8 7" xfId="44473"/>
    <cellStyle name="Normal 6 9 8 7 2" xfId="44474"/>
    <cellStyle name="Normal 6 9 8 8" xfId="44475"/>
    <cellStyle name="Normal 6 9 8 9" xfId="44476"/>
    <cellStyle name="Normal 6 9 9" xfId="11886"/>
    <cellStyle name="Normal 6 9 9 10" xfId="44478"/>
    <cellStyle name="Normal 6 9 9 11" xfId="44479"/>
    <cellStyle name="Normal 6 9 9 12" xfId="44480"/>
    <cellStyle name="Normal 6 9 9 13" xfId="44481"/>
    <cellStyle name="Normal 6 9 9 14" xfId="44482"/>
    <cellStyle name="Normal 6 9 9 15" xfId="44483"/>
    <cellStyle name="Normal 6 9 9 16" xfId="44484"/>
    <cellStyle name="Normal 6 9 9 2" xfId="44485"/>
    <cellStyle name="Normal 6 9 9 2 2" xfId="44486"/>
    <cellStyle name="Normal 6 9 9 2 2 2" xfId="44487"/>
    <cellStyle name="Normal 6 9 9 2 3" xfId="44488"/>
    <cellStyle name="Normal 6 9 9 2 3 2" xfId="44489"/>
    <cellStyle name="Normal 6 9 9 2 4" xfId="44490"/>
    <cellStyle name="Normal 6 9 9 2 4 2" xfId="44491"/>
    <cellStyle name="Normal 6 9 9 2 5" xfId="44492"/>
    <cellStyle name="Normal 6 9 9 2 5 2" xfId="44493"/>
    <cellStyle name="Normal 6 9 9 2 6" xfId="44494"/>
    <cellStyle name="Normal 6 9 9 2 7" xfId="44495"/>
    <cellStyle name="Normal 6 9 9 2 8" xfId="44496"/>
    <cellStyle name="Normal 6 9 9 2 9" xfId="44497"/>
    <cellStyle name="Normal 6 9 9 3" xfId="44498"/>
    <cellStyle name="Normal 6 9 9 3 2" xfId="44499"/>
    <cellStyle name="Normal 6 9 9 3 2 2" xfId="44500"/>
    <cellStyle name="Normal 6 9 9 3 3" xfId="44501"/>
    <cellStyle name="Normal 6 9 9 3 4" xfId="44502"/>
    <cellStyle name="Normal 6 9 9 3 5" xfId="44503"/>
    <cellStyle name="Normal 6 9 9 4" xfId="44504"/>
    <cellStyle name="Normal 6 9 9 4 2" xfId="44505"/>
    <cellStyle name="Normal 6 9 9 5" xfId="44506"/>
    <cellStyle name="Normal 6 9 9 5 2" xfId="44507"/>
    <cellStyle name="Normal 6 9 9 6" xfId="44508"/>
    <cellStyle name="Normal 6 9 9 6 2" xfId="44509"/>
    <cellStyle name="Normal 6 9 9 7" xfId="44510"/>
    <cellStyle name="Normal 6 9 9 7 2" xfId="44511"/>
    <cellStyle name="Normal 6 9 9 8" xfId="44512"/>
    <cellStyle name="Normal 6 9 9 9" xfId="44513"/>
    <cellStyle name="Normal 60" xfId="44514"/>
    <cellStyle name="Normal 61" xfId="44515"/>
    <cellStyle name="Normal 62" xfId="44516"/>
    <cellStyle name="Normal 63" xfId="44517"/>
    <cellStyle name="Normal 64" xfId="44518"/>
    <cellStyle name="Normal 65" xfId="44519"/>
    <cellStyle name="Normal 66" xfId="44520"/>
    <cellStyle name="Normal 67" xfId="44521"/>
    <cellStyle name="Normal 68" xfId="44522"/>
    <cellStyle name="Normal 69" xfId="44523"/>
    <cellStyle name="Normal 7" xfId="979"/>
    <cellStyle name="Normal 7 10" xfId="44525"/>
    <cellStyle name="Normal 7 10 10" xfId="44526"/>
    <cellStyle name="Normal 7 10 10 10" xfId="44527"/>
    <cellStyle name="Normal 7 10 10 11" xfId="44528"/>
    <cellStyle name="Normal 7 10 10 12" xfId="44529"/>
    <cellStyle name="Normal 7 10 10 13" xfId="44530"/>
    <cellStyle name="Normal 7 10 10 14" xfId="44531"/>
    <cellStyle name="Normal 7 10 10 2" xfId="44532"/>
    <cellStyle name="Normal 7 10 10 2 2" xfId="44533"/>
    <cellStyle name="Normal 7 10 10 2 2 2" xfId="44534"/>
    <cellStyle name="Normal 7 10 10 2 3" xfId="44535"/>
    <cellStyle name="Normal 7 10 10 2 3 2" xfId="44536"/>
    <cellStyle name="Normal 7 10 10 2 4" xfId="44537"/>
    <cellStyle name="Normal 7 10 10 2 4 2" xfId="44538"/>
    <cellStyle name="Normal 7 10 10 2 5" xfId="44539"/>
    <cellStyle name="Normal 7 10 10 2 5 2" xfId="44540"/>
    <cellStyle name="Normal 7 10 10 2 6" xfId="44541"/>
    <cellStyle name="Normal 7 10 10 2 7" xfId="44542"/>
    <cellStyle name="Normal 7 10 10 2 8" xfId="44543"/>
    <cellStyle name="Normal 7 10 10 2 9" xfId="44544"/>
    <cellStyle name="Normal 7 10 10 3" xfId="44545"/>
    <cellStyle name="Normal 7 10 10 3 2" xfId="44546"/>
    <cellStyle name="Normal 7 10 10 3 2 2" xfId="44547"/>
    <cellStyle name="Normal 7 10 10 3 3" xfId="44548"/>
    <cellStyle name="Normal 7 10 10 3 4" xfId="44549"/>
    <cellStyle name="Normal 7 10 10 3 5" xfId="44550"/>
    <cellStyle name="Normal 7 10 10 4" xfId="44551"/>
    <cellStyle name="Normal 7 10 10 4 2" xfId="44552"/>
    <cellStyle name="Normal 7 10 10 5" xfId="44553"/>
    <cellStyle name="Normal 7 10 10 5 2" xfId="44554"/>
    <cellStyle name="Normal 7 10 10 6" xfId="44555"/>
    <cellStyle name="Normal 7 10 10 6 2" xfId="44556"/>
    <cellStyle name="Normal 7 10 10 7" xfId="44557"/>
    <cellStyle name="Normal 7 10 10 7 2" xfId="44558"/>
    <cellStyle name="Normal 7 10 10 8" xfId="44559"/>
    <cellStyle name="Normal 7 10 10 9" xfId="44560"/>
    <cellStyle name="Normal 7 10 11" xfId="44561"/>
    <cellStyle name="Normal 7 10 11 2" xfId="44562"/>
    <cellStyle name="Normal 7 10 11 2 2" xfId="44563"/>
    <cellStyle name="Normal 7 10 11 3" xfId="44564"/>
    <cellStyle name="Normal 7 10 11 3 2" xfId="44565"/>
    <cellStyle name="Normal 7 10 11 4" xfId="44566"/>
    <cellStyle name="Normal 7 10 11 4 2" xfId="44567"/>
    <cellStyle name="Normal 7 10 11 5" xfId="44568"/>
    <cellStyle name="Normal 7 10 11 5 2" xfId="44569"/>
    <cellStyle name="Normal 7 10 11 6" xfId="44570"/>
    <cellStyle name="Normal 7 10 11 7" xfId="44571"/>
    <cellStyle name="Normal 7 10 11 8" xfId="44572"/>
    <cellStyle name="Normal 7 10 11 9" xfId="44573"/>
    <cellStyle name="Normal 7 10 12" xfId="44574"/>
    <cellStyle name="Normal 7 10 12 2" xfId="44575"/>
    <cellStyle name="Normal 7 10 12 2 2" xfId="44576"/>
    <cellStyle name="Normal 7 10 12 3" xfId="44577"/>
    <cellStyle name="Normal 7 10 12 4" xfId="44578"/>
    <cellStyle name="Normal 7 10 12 5" xfId="44579"/>
    <cellStyle name="Normal 7 10 13" xfId="44580"/>
    <cellStyle name="Normal 7 10 13 2" xfId="44581"/>
    <cellStyle name="Normal 7 10 14" xfId="44582"/>
    <cellStyle name="Normal 7 10 14 2" xfId="44583"/>
    <cellStyle name="Normal 7 10 15" xfId="44584"/>
    <cellStyle name="Normal 7 10 15 2" xfId="44585"/>
    <cellStyle name="Normal 7 10 16" xfId="44586"/>
    <cellStyle name="Normal 7 10 16 2" xfId="44587"/>
    <cellStyle name="Normal 7 10 17" xfId="44588"/>
    <cellStyle name="Normal 7 10 18" xfId="44589"/>
    <cellStyle name="Normal 7 10 19" xfId="44590"/>
    <cellStyle name="Normal 7 10 2" xfId="44591"/>
    <cellStyle name="Normal 7 10 2 10" xfId="44592"/>
    <cellStyle name="Normal 7 10 2 11" xfId="44593"/>
    <cellStyle name="Normal 7 10 2 12" xfId="44594"/>
    <cellStyle name="Normal 7 10 2 13" xfId="44595"/>
    <cellStyle name="Normal 7 10 2 14" xfId="44596"/>
    <cellStyle name="Normal 7 10 2 15" xfId="44597"/>
    <cellStyle name="Normal 7 10 2 16" xfId="44598"/>
    <cellStyle name="Normal 7 10 2 17" xfId="44599"/>
    <cellStyle name="Normal 7 10 2 18" xfId="44600"/>
    <cellStyle name="Normal 7 10 2 2" xfId="44601"/>
    <cellStyle name="Normal 7 10 2 2 10" xfId="44602"/>
    <cellStyle name="Normal 7 10 2 2 11" xfId="44603"/>
    <cellStyle name="Normal 7 10 2 2 12" xfId="44604"/>
    <cellStyle name="Normal 7 10 2 2 13" xfId="44605"/>
    <cellStyle name="Normal 7 10 2 2 2" xfId="44606"/>
    <cellStyle name="Normal 7 10 2 2 2 2" xfId="44607"/>
    <cellStyle name="Normal 7 10 2 2 2 2 2" xfId="44608"/>
    <cellStyle name="Normal 7 10 2 2 2 3" xfId="44609"/>
    <cellStyle name="Normal 7 10 2 2 2 4" xfId="44610"/>
    <cellStyle name="Normal 7 10 2 2 2 5" xfId="44611"/>
    <cellStyle name="Normal 7 10 2 2 3" xfId="44612"/>
    <cellStyle name="Normal 7 10 2 2 3 2" xfId="44613"/>
    <cellStyle name="Normal 7 10 2 2 4" xfId="44614"/>
    <cellStyle name="Normal 7 10 2 2 4 2" xfId="44615"/>
    <cellStyle name="Normal 7 10 2 2 5" xfId="44616"/>
    <cellStyle name="Normal 7 10 2 2 5 2" xfId="44617"/>
    <cellStyle name="Normal 7 10 2 2 6" xfId="44618"/>
    <cellStyle name="Normal 7 10 2 2 6 2" xfId="44619"/>
    <cellStyle name="Normal 7 10 2 2 7" xfId="44620"/>
    <cellStyle name="Normal 7 10 2 2 8" xfId="44621"/>
    <cellStyle name="Normal 7 10 2 2 9" xfId="44622"/>
    <cellStyle name="Normal 7 10 2 3" xfId="44623"/>
    <cellStyle name="Normal 7 10 2 3 2" xfId="44624"/>
    <cellStyle name="Normal 7 10 2 3 2 2" xfId="44625"/>
    <cellStyle name="Normal 7 10 2 3 3" xfId="44626"/>
    <cellStyle name="Normal 7 10 2 3 4" xfId="44627"/>
    <cellStyle name="Normal 7 10 2 3 5" xfId="44628"/>
    <cellStyle name="Normal 7 10 2 4" xfId="44629"/>
    <cellStyle name="Normal 7 10 2 4 2" xfId="44630"/>
    <cellStyle name="Normal 7 10 2 5" xfId="44631"/>
    <cellStyle name="Normal 7 10 2 5 2" xfId="44632"/>
    <cellStyle name="Normal 7 10 2 6" xfId="44633"/>
    <cellStyle name="Normal 7 10 2 6 2" xfId="44634"/>
    <cellStyle name="Normal 7 10 2 7" xfId="44635"/>
    <cellStyle name="Normal 7 10 2 7 2" xfId="44636"/>
    <cellStyle name="Normal 7 10 2 8" xfId="44637"/>
    <cellStyle name="Normal 7 10 2 9" xfId="44638"/>
    <cellStyle name="Normal 7 10 20" xfId="44639"/>
    <cellStyle name="Normal 7 10 21" xfId="44640"/>
    <cellStyle name="Normal 7 10 22" xfId="44641"/>
    <cellStyle name="Normal 7 10 23" xfId="44642"/>
    <cellStyle name="Normal 7 10 24" xfId="44643"/>
    <cellStyle name="Normal 7 10 25" xfId="44644"/>
    <cellStyle name="Normal 7 10 3" xfId="44645"/>
    <cellStyle name="Normal 7 10 3 10" xfId="44646"/>
    <cellStyle name="Normal 7 10 3 11" xfId="44647"/>
    <cellStyle name="Normal 7 10 3 12" xfId="44648"/>
    <cellStyle name="Normal 7 10 3 13" xfId="44649"/>
    <cellStyle name="Normal 7 10 3 14" xfId="44650"/>
    <cellStyle name="Normal 7 10 3 15" xfId="44651"/>
    <cellStyle name="Normal 7 10 3 16" xfId="44652"/>
    <cellStyle name="Normal 7 10 3 17" xfId="44653"/>
    <cellStyle name="Normal 7 10 3 18" xfId="44654"/>
    <cellStyle name="Normal 7 10 3 2" xfId="44655"/>
    <cellStyle name="Normal 7 10 3 2 10" xfId="44656"/>
    <cellStyle name="Normal 7 10 3 2 11" xfId="44657"/>
    <cellStyle name="Normal 7 10 3 2 12" xfId="44658"/>
    <cellStyle name="Normal 7 10 3 2 13" xfId="44659"/>
    <cellStyle name="Normal 7 10 3 2 2" xfId="44660"/>
    <cellStyle name="Normal 7 10 3 2 2 2" xfId="44661"/>
    <cellStyle name="Normal 7 10 3 2 2 2 2" xfId="44662"/>
    <cellStyle name="Normal 7 10 3 2 2 3" xfId="44663"/>
    <cellStyle name="Normal 7 10 3 2 2 4" xfId="44664"/>
    <cellStyle name="Normal 7 10 3 2 2 5" xfId="44665"/>
    <cellStyle name="Normal 7 10 3 2 3" xfId="44666"/>
    <cellStyle name="Normal 7 10 3 2 3 2" xfId="44667"/>
    <cellStyle name="Normal 7 10 3 2 4" xfId="44668"/>
    <cellStyle name="Normal 7 10 3 2 4 2" xfId="44669"/>
    <cellStyle name="Normal 7 10 3 2 5" xfId="44670"/>
    <cellStyle name="Normal 7 10 3 2 5 2" xfId="44671"/>
    <cellStyle name="Normal 7 10 3 2 6" xfId="44672"/>
    <cellStyle name="Normal 7 10 3 2 6 2" xfId="44673"/>
    <cellStyle name="Normal 7 10 3 2 7" xfId="44674"/>
    <cellStyle name="Normal 7 10 3 2 8" xfId="44675"/>
    <cellStyle name="Normal 7 10 3 2 9" xfId="44676"/>
    <cellStyle name="Normal 7 10 3 3" xfId="44677"/>
    <cellStyle name="Normal 7 10 3 3 2" xfId="44678"/>
    <cellStyle name="Normal 7 10 3 3 2 2" xfId="44679"/>
    <cellStyle name="Normal 7 10 3 3 3" xfId="44680"/>
    <cellStyle name="Normal 7 10 3 3 4" xfId="44681"/>
    <cellStyle name="Normal 7 10 3 3 5" xfId="44682"/>
    <cellStyle name="Normal 7 10 3 4" xfId="44683"/>
    <cellStyle name="Normal 7 10 3 4 2" xfId="44684"/>
    <cellStyle name="Normal 7 10 3 5" xfId="44685"/>
    <cellStyle name="Normal 7 10 3 5 2" xfId="44686"/>
    <cellStyle name="Normal 7 10 3 6" xfId="44687"/>
    <cellStyle name="Normal 7 10 3 6 2" xfId="44688"/>
    <cellStyle name="Normal 7 10 3 7" xfId="44689"/>
    <cellStyle name="Normal 7 10 3 7 2" xfId="44690"/>
    <cellStyle name="Normal 7 10 3 8" xfId="44691"/>
    <cellStyle name="Normal 7 10 3 9" xfId="44692"/>
    <cellStyle name="Normal 7 10 4" xfId="44693"/>
    <cellStyle name="Normal 7 10 4 10" xfId="44694"/>
    <cellStyle name="Normal 7 10 4 11" xfId="44695"/>
    <cellStyle name="Normal 7 10 4 12" xfId="44696"/>
    <cellStyle name="Normal 7 10 4 13" xfId="44697"/>
    <cellStyle name="Normal 7 10 4 14" xfId="44698"/>
    <cellStyle name="Normal 7 10 4 15" xfId="44699"/>
    <cellStyle name="Normal 7 10 4 16" xfId="44700"/>
    <cellStyle name="Normal 7 10 4 17" xfId="44701"/>
    <cellStyle name="Normal 7 10 4 18" xfId="44702"/>
    <cellStyle name="Normal 7 10 4 2" xfId="44703"/>
    <cellStyle name="Normal 7 10 4 2 10" xfId="44704"/>
    <cellStyle name="Normal 7 10 4 2 11" xfId="44705"/>
    <cellStyle name="Normal 7 10 4 2 12" xfId="44706"/>
    <cellStyle name="Normal 7 10 4 2 13" xfId="44707"/>
    <cellStyle name="Normal 7 10 4 2 2" xfId="44708"/>
    <cellStyle name="Normal 7 10 4 2 2 2" xfId="44709"/>
    <cellStyle name="Normal 7 10 4 2 2 2 2" xfId="44710"/>
    <cellStyle name="Normal 7 10 4 2 2 3" xfId="44711"/>
    <cellStyle name="Normal 7 10 4 2 2 4" xfId="44712"/>
    <cellStyle name="Normal 7 10 4 2 2 5" xfId="44713"/>
    <cellStyle name="Normal 7 10 4 2 3" xfId="44714"/>
    <cellStyle name="Normal 7 10 4 2 3 2" xfId="44715"/>
    <cellStyle name="Normal 7 10 4 2 4" xfId="44716"/>
    <cellStyle name="Normal 7 10 4 2 4 2" xfId="44717"/>
    <cellStyle name="Normal 7 10 4 2 5" xfId="44718"/>
    <cellStyle name="Normal 7 10 4 2 5 2" xfId="44719"/>
    <cellStyle name="Normal 7 10 4 2 6" xfId="44720"/>
    <cellStyle name="Normal 7 10 4 2 6 2" xfId="44721"/>
    <cellStyle name="Normal 7 10 4 2 7" xfId="44722"/>
    <cellStyle name="Normal 7 10 4 2 8" xfId="44723"/>
    <cellStyle name="Normal 7 10 4 2 9" xfId="44724"/>
    <cellStyle name="Normal 7 10 4 3" xfId="44725"/>
    <cellStyle name="Normal 7 10 4 3 2" xfId="44726"/>
    <cellStyle name="Normal 7 10 4 3 2 2" xfId="44727"/>
    <cellStyle name="Normal 7 10 4 3 3" xfId="44728"/>
    <cellStyle name="Normal 7 10 4 3 4" xfId="44729"/>
    <cellStyle name="Normal 7 10 4 3 5" xfId="44730"/>
    <cellStyle name="Normal 7 10 4 4" xfId="44731"/>
    <cellStyle name="Normal 7 10 4 4 2" xfId="44732"/>
    <cellStyle name="Normal 7 10 4 5" xfId="44733"/>
    <cellStyle name="Normal 7 10 4 5 2" xfId="44734"/>
    <cellStyle name="Normal 7 10 4 6" xfId="44735"/>
    <cellStyle name="Normal 7 10 4 6 2" xfId="44736"/>
    <cellStyle name="Normal 7 10 4 7" xfId="44737"/>
    <cellStyle name="Normal 7 10 4 7 2" xfId="44738"/>
    <cellStyle name="Normal 7 10 4 8" xfId="44739"/>
    <cellStyle name="Normal 7 10 4 9" xfId="44740"/>
    <cellStyle name="Normal 7 10 5" xfId="44741"/>
    <cellStyle name="Normal 7 10 5 10" xfId="44742"/>
    <cellStyle name="Normal 7 10 5 11" xfId="44743"/>
    <cellStyle name="Normal 7 10 5 12" xfId="44744"/>
    <cellStyle name="Normal 7 10 5 13" xfId="44745"/>
    <cellStyle name="Normal 7 10 5 14" xfId="44746"/>
    <cellStyle name="Normal 7 10 5 15" xfId="44747"/>
    <cellStyle name="Normal 7 10 5 16" xfId="44748"/>
    <cellStyle name="Normal 7 10 5 17" xfId="44749"/>
    <cellStyle name="Normal 7 10 5 2" xfId="44750"/>
    <cellStyle name="Normal 7 10 5 2 10" xfId="44751"/>
    <cellStyle name="Normal 7 10 5 2 11" xfId="44752"/>
    <cellStyle name="Normal 7 10 5 2 12" xfId="44753"/>
    <cellStyle name="Normal 7 10 5 2 13" xfId="44754"/>
    <cellStyle name="Normal 7 10 5 2 2" xfId="44755"/>
    <cellStyle name="Normal 7 10 5 2 2 2" xfId="44756"/>
    <cellStyle name="Normal 7 10 5 2 2 2 2" xfId="44757"/>
    <cellStyle name="Normal 7 10 5 2 2 3" xfId="44758"/>
    <cellStyle name="Normal 7 10 5 2 2 4" xfId="44759"/>
    <cellStyle name="Normal 7 10 5 2 2 5" xfId="44760"/>
    <cellStyle name="Normal 7 10 5 2 3" xfId="44761"/>
    <cellStyle name="Normal 7 10 5 2 3 2" xfId="44762"/>
    <cellStyle name="Normal 7 10 5 2 4" xfId="44763"/>
    <cellStyle name="Normal 7 10 5 2 4 2" xfId="44764"/>
    <cellStyle name="Normal 7 10 5 2 5" xfId="44765"/>
    <cellStyle name="Normal 7 10 5 2 5 2" xfId="44766"/>
    <cellStyle name="Normal 7 10 5 2 6" xfId="44767"/>
    <cellStyle name="Normal 7 10 5 2 6 2" xfId="44768"/>
    <cellStyle name="Normal 7 10 5 2 7" xfId="44769"/>
    <cellStyle name="Normal 7 10 5 2 8" xfId="44770"/>
    <cellStyle name="Normal 7 10 5 2 9" xfId="44771"/>
    <cellStyle name="Normal 7 10 5 3" xfId="44772"/>
    <cellStyle name="Normal 7 10 5 3 2" xfId="44773"/>
    <cellStyle name="Normal 7 10 5 3 2 2" xfId="44774"/>
    <cellStyle name="Normal 7 10 5 3 3" xfId="44775"/>
    <cellStyle name="Normal 7 10 5 3 4" xfId="44776"/>
    <cellStyle name="Normal 7 10 5 3 5" xfId="44777"/>
    <cellStyle name="Normal 7 10 5 4" xfId="44778"/>
    <cellStyle name="Normal 7 10 5 4 2" xfId="44779"/>
    <cellStyle name="Normal 7 10 5 5" xfId="44780"/>
    <cellStyle name="Normal 7 10 5 5 2" xfId="44781"/>
    <cellStyle name="Normal 7 10 5 6" xfId="44782"/>
    <cellStyle name="Normal 7 10 5 6 2" xfId="44783"/>
    <cellStyle name="Normal 7 10 5 7" xfId="44784"/>
    <cellStyle name="Normal 7 10 5 7 2" xfId="44785"/>
    <cellStyle name="Normal 7 10 5 8" xfId="44786"/>
    <cellStyle name="Normal 7 10 5 9" xfId="44787"/>
    <cellStyle name="Normal 7 10 6" xfId="44788"/>
    <cellStyle name="Normal 7 10 6 10" xfId="44789"/>
    <cellStyle name="Normal 7 10 6 11" xfId="44790"/>
    <cellStyle name="Normal 7 10 6 12" xfId="44791"/>
    <cellStyle name="Normal 7 10 6 13" xfId="44792"/>
    <cellStyle name="Normal 7 10 6 14" xfId="44793"/>
    <cellStyle name="Normal 7 10 6 15" xfId="44794"/>
    <cellStyle name="Normal 7 10 6 16" xfId="44795"/>
    <cellStyle name="Normal 7 10 6 17" xfId="44796"/>
    <cellStyle name="Normal 7 10 6 2" xfId="44797"/>
    <cellStyle name="Normal 7 10 6 2 10" xfId="44798"/>
    <cellStyle name="Normal 7 10 6 2 11" xfId="44799"/>
    <cellStyle name="Normal 7 10 6 2 12" xfId="44800"/>
    <cellStyle name="Normal 7 10 6 2 13" xfId="44801"/>
    <cellStyle name="Normal 7 10 6 2 2" xfId="44802"/>
    <cellStyle name="Normal 7 10 6 2 2 2" xfId="44803"/>
    <cellStyle name="Normal 7 10 6 2 2 2 2" xfId="44804"/>
    <cellStyle name="Normal 7 10 6 2 2 3" xfId="44805"/>
    <cellStyle name="Normal 7 10 6 2 2 4" xfId="44806"/>
    <cellStyle name="Normal 7 10 6 2 2 5" xfId="44807"/>
    <cellStyle name="Normal 7 10 6 2 3" xfId="44808"/>
    <cellStyle name="Normal 7 10 6 2 3 2" xfId="44809"/>
    <cellStyle name="Normal 7 10 6 2 4" xfId="44810"/>
    <cellStyle name="Normal 7 10 6 2 4 2" xfId="44811"/>
    <cellStyle name="Normal 7 10 6 2 5" xfId="44812"/>
    <cellStyle name="Normal 7 10 6 2 5 2" xfId="44813"/>
    <cellStyle name="Normal 7 10 6 2 6" xfId="44814"/>
    <cellStyle name="Normal 7 10 6 2 6 2" xfId="44815"/>
    <cellStyle name="Normal 7 10 6 2 7" xfId="44816"/>
    <cellStyle name="Normal 7 10 6 2 8" xfId="44817"/>
    <cellStyle name="Normal 7 10 6 2 9" xfId="44818"/>
    <cellStyle name="Normal 7 10 6 3" xfId="44819"/>
    <cellStyle name="Normal 7 10 6 3 2" xfId="44820"/>
    <cellStyle name="Normal 7 10 6 3 2 2" xfId="44821"/>
    <cellStyle name="Normal 7 10 6 3 3" xfId="44822"/>
    <cellStyle name="Normal 7 10 6 3 4" xfId="44823"/>
    <cellStyle name="Normal 7 10 6 3 5" xfId="44824"/>
    <cellStyle name="Normal 7 10 6 4" xfId="44825"/>
    <cellStyle name="Normal 7 10 6 4 2" xfId="44826"/>
    <cellStyle name="Normal 7 10 6 5" xfId="44827"/>
    <cellStyle name="Normal 7 10 6 5 2" xfId="44828"/>
    <cellStyle name="Normal 7 10 6 6" xfId="44829"/>
    <cellStyle name="Normal 7 10 6 6 2" xfId="44830"/>
    <cellStyle name="Normal 7 10 6 7" xfId="44831"/>
    <cellStyle name="Normal 7 10 6 7 2" xfId="44832"/>
    <cellStyle name="Normal 7 10 6 8" xfId="44833"/>
    <cellStyle name="Normal 7 10 6 9" xfId="44834"/>
    <cellStyle name="Normal 7 10 7" xfId="44835"/>
    <cellStyle name="Normal 7 10 7 10" xfId="44836"/>
    <cellStyle name="Normal 7 10 7 11" xfId="44837"/>
    <cellStyle name="Normal 7 10 7 12" xfId="44838"/>
    <cellStyle name="Normal 7 10 7 13" xfId="44839"/>
    <cellStyle name="Normal 7 10 7 14" xfId="44840"/>
    <cellStyle name="Normal 7 10 7 15" xfId="44841"/>
    <cellStyle name="Normal 7 10 7 16" xfId="44842"/>
    <cellStyle name="Normal 7 10 7 17" xfId="44843"/>
    <cellStyle name="Normal 7 10 7 2" xfId="44844"/>
    <cellStyle name="Normal 7 10 7 2 10" xfId="44845"/>
    <cellStyle name="Normal 7 10 7 2 11" xfId="44846"/>
    <cellStyle name="Normal 7 10 7 2 12" xfId="44847"/>
    <cellStyle name="Normal 7 10 7 2 13" xfId="44848"/>
    <cellStyle name="Normal 7 10 7 2 2" xfId="44849"/>
    <cellStyle name="Normal 7 10 7 2 2 2" xfId="44850"/>
    <cellStyle name="Normal 7 10 7 2 2 2 2" xfId="44851"/>
    <cellStyle name="Normal 7 10 7 2 2 3" xfId="44852"/>
    <cellStyle name="Normal 7 10 7 2 2 4" xfId="44853"/>
    <cellStyle name="Normal 7 10 7 2 2 5" xfId="44854"/>
    <cellStyle name="Normal 7 10 7 2 3" xfId="44855"/>
    <cellStyle name="Normal 7 10 7 2 3 2" xfId="44856"/>
    <cellStyle name="Normal 7 10 7 2 4" xfId="44857"/>
    <cellStyle name="Normal 7 10 7 2 4 2" xfId="44858"/>
    <cellStyle name="Normal 7 10 7 2 5" xfId="44859"/>
    <cellStyle name="Normal 7 10 7 2 5 2" xfId="44860"/>
    <cellStyle name="Normal 7 10 7 2 6" xfId="44861"/>
    <cellStyle name="Normal 7 10 7 2 6 2" xfId="44862"/>
    <cellStyle name="Normal 7 10 7 2 7" xfId="44863"/>
    <cellStyle name="Normal 7 10 7 2 8" xfId="44864"/>
    <cellStyle name="Normal 7 10 7 2 9" xfId="44865"/>
    <cellStyle name="Normal 7 10 7 3" xfId="44866"/>
    <cellStyle name="Normal 7 10 7 3 2" xfId="44867"/>
    <cellStyle name="Normal 7 10 7 3 2 2" xfId="44868"/>
    <cellStyle name="Normal 7 10 7 3 3" xfId="44869"/>
    <cellStyle name="Normal 7 10 7 3 4" xfId="44870"/>
    <cellStyle name="Normal 7 10 7 3 5" xfId="44871"/>
    <cellStyle name="Normal 7 10 7 4" xfId="44872"/>
    <cellStyle name="Normal 7 10 7 4 2" xfId="44873"/>
    <cellStyle name="Normal 7 10 7 5" xfId="44874"/>
    <cellStyle name="Normal 7 10 7 5 2" xfId="44875"/>
    <cellStyle name="Normal 7 10 7 6" xfId="44876"/>
    <cellStyle name="Normal 7 10 7 6 2" xfId="44877"/>
    <cellStyle name="Normal 7 10 7 7" xfId="44878"/>
    <cellStyle name="Normal 7 10 7 7 2" xfId="44879"/>
    <cellStyle name="Normal 7 10 7 8" xfId="44880"/>
    <cellStyle name="Normal 7 10 7 9" xfId="44881"/>
    <cellStyle name="Normal 7 10 8" xfId="44882"/>
    <cellStyle name="Normal 7 10 8 10" xfId="44883"/>
    <cellStyle name="Normal 7 10 8 11" xfId="44884"/>
    <cellStyle name="Normal 7 10 8 12" xfId="44885"/>
    <cellStyle name="Normal 7 10 8 13" xfId="44886"/>
    <cellStyle name="Normal 7 10 8 14" xfId="44887"/>
    <cellStyle name="Normal 7 10 8 15" xfId="44888"/>
    <cellStyle name="Normal 7 10 8 2" xfId="44889"/>
    <cellStyle name="Normal 7 10 8 2 2" xfId="44890"/>
    <cellStyle name="Normal 7 10 8 2 2 2" xfId="44891"/>
    <cellStyle name="Normal 7 10 8 2 3" xfId="44892"/>
    <cellStyle name="Normal 7 10 8 2 3 2" xfId="44893"/>
    <cellStyle name="Normal 7 10 8 2 4" xfId="44894"/>
    <cellStyle name="Normal 7 10 8 2 4 2" xfId="44895"/>
    <cellStyle name="Normal 7 10 8 2 5" xfId="44896"/>
    <cellStyle name="Normal 7 10 8 2 5 2" xfId="44897"/>
    <cellStyle name="Normal 7 10 8 2 6" xfId="44898"/>
    <cellStyle name="Normal 7 10 8 2 7" xfId="44899"/>
    <cellStyle name="Normal 7 10 8 2 8" xfId="44900"/>
    <cellStyle name="Normal 7 10 8 2 9" xfId="44901"/>
    <cellStyle name="Normal 7 10 8 3" xfId="44902"/>
    <cellStyle name="Normal 7 10 8 3 2" xfId="44903"/>
    <cellStyle name="Normal 7 10 8 3 2 2" xfId="44904"/>
    <cellStyle name="Normal 7 10 8 3 3" xfId="44905"/>
    <cellStyle name="Normal 7 10 8 3 4" xfId="44906"/>
    <cellStyle name="Normal 7 10 8 3 5" xfId="44907"/>
    <cellStyle name="Normal 7 10 8 4" xfId="44908"/>
    <cellStyle name="Normal 7 10 8 4 2" xfId="44909"/>
    <cellStyle name="Normal 7 10 8 5" xfId="44910"/>
    <cellStyle name="Normal 7 10 8 5 2" xfId="44911"/>
    <cellStyle name="Normal 7 10 8 6" xfId="44912"/>
    <cellStyle name="Normal 7 10 8 6 2" xfId="44913"/>
    <cellStyle name="Normal 7 10 8 7" xfId="44914"/>
    <cellStyle name="Normal 7 10 8 7 2" xfId="44915"/>
    <cellStyle name="Normal 7 10 8 8" xfId="44916"/>
    <cellStyle name="Normal 7 10 8 9" xfId="44917"/>
    <cellStyle name="Normal 7 10 9" xfId="44918"/>
    <cellStyle name="Normal 7 10 9 10" xfId="44919"/>
    <cellStyle name="Normal 7 10 9 11" xfId="44920"/>
    <cellStyle name="Normal 7 10 9 12" xfId="44921"/>
    <cellStyle name="Normal 7 10 9 13" xfId="44922"/>
    <cellStyle name="Normal 7 10 9 14" xfId="44923"/>
    <cellStyle name="Normal 7 10 9 15" xfId="44924"/>
    <cellStyle name="Normal 7 10 9 2" xfId="44925"/>
    <cellStyle name="Normal 7 10 9 2 2" xfId="44926"/>
    <cellStyle name="Normal 7 10 9 2 2 2" xfId="44927"/>
    <cellStyle name="Normal 7 10 9 2 3" xfId="44928"/>
    <cellStyle name="Normal 7 10 9 2 3 2" xfId="44929"/>
    <cellStyle name="Normal 7 10 9 2 4" xfId="44930"/>
    <cellStyle name="Normal 7 10 9 2 4 2" xfId="44931"/>
    <cellStyle name="Normal 7 10 9 2 5" xfId="44932"/>
    <cellStyle name="Normal 7 10 9 2 5 2" xfId="44933"/>
    <cellStyle name="Normal 7 10 9 2 6" xfId="44934"/>
    <cellStyle name="Normal 7 10 9 2 7" xfId="44935"/>
    <cellStyle name="Normal 7 10 9 2 8" xfId="44936"/>
    <cellStyle name="Normal 7 10 9 2 9" xfId="44937"/>
    <cellStyle name="Normal 7 10 9 3" xfId="44938"/>
    <cellStyle name="Normal 7 10 9 3 2" xfId="44939"/>
    <cellStyle name="Normal 7 10 9 3 2 2" xfId="44940"/>
    <cellStyle name="Normal 7 10 9 3 3" xfId="44941"/>
    <cellStyle name="Normal 7 10 9 3 4" xfId="44942"/>
    <cellStyle name="Normal 7 10 9 3 5" xfId="44943"/>
    <cellStyle name="Normal 7 10 9 4" xfId="44944"/>
    <cellStyle name="Normal 7 10 9 4 2" xfId="44945"/>
    <cellStyle name="Normal 7 10 9 5" xfId="44946"/>
    <cellStyle name="Normal 7 10 9 5 2" xfId="44947"/>
    <cellStyle name="Normal 7 10 9 6" xfId="44948"/>
    <cellStyle name="Normal 7 10 9 6 2" xfId="44949"/>
    <cellStyle name="Normal 7 10 9 7" xfId="44950"/>
    <cellStyle name="Normal 7 10 9 7 2" xfId="44951"/>
    <cellStyle name="Normal 7 10 9 8" xfId="44952"/>
    <cellStyle name="Normal 7 10 9 9" xfId="44953"/>
    <cellStyle name="Normal 7 11" xfId="44954"/>
    <cellStyle name="Normal 7 11 10" xfId="44955"/>
    <cellStyle name="Normal 7 11 11" xfId="44956"/>
    <cellStyle name="Normal 7 11 12" xfId="44957"/>
    <cellStyle name="Normal 7 11 13" xfId="44958"/>
    <cellStyle name="Normal 7 11 14" xfId="44959"/>
    <cellStyle name="Normal 7 11 15" xfId="44960"/>
    <cellStyle name="Normal 7 11 16" xfId="44961"/>
    <cellStyle name="Normal 7 11 17" xfId="44962"/>
    <cellStyle name="Normal 7 11 18" xfId="44963"/>
    <cellStyle name="Normal 7 11 2" xfId="44964"/>
    <cellStyle name="Normal 7 11 2 10" xfId="44965"/>
    <cellStyle name="Normal 7 11 2 11" xfId="44966"/>
    <cellStyle name="Normal 7 11 2 12" xfId="44967"/>
    <cellStyle name="Normal 7 11 2 13" xfId="44968"/>
    <cellStyle name="Normal 7 11 2 2" xfId="44969"/>
    <cellStyle name="Normal 7 11 2 2 2" xfId="44970"/>
    <cellStyle name="Normal 7 11 2 2 2 2" xfId="44971"/>
    <cellStyle name="Normal 7 11 2 2 3" xfId="44972"/>
    <cellStyle name="Normal 7 11 2 2 4" xfId="44973"/>
    <cellStyle name="Normal 7 11 2 2 5" xfId="44974"/>
    <cellStyle name="Normal 7 11 2 3" xfId="44975"/>
    <cellStyle name="Normal 7 11 2 3 2" xfId="44976"/>
    <cellStyle name="Normal 7 11 2 4" xfId="44977"/>
    <cellStyle name="Normal 7 11 2 4 2" xfId="44978"/>
    <cellStyle name="Normal 7 11 2 5" xfId="44979"/>
    <cellStyle name="Normal 7 11 2 5 2" xfId="44980"/>
    <cellStyle name="Normal 7 11 2 6" xfId="44981"/>
    <cellStyle name="Normal 7 11 2 6 2" xfId="44982"/>
    <cellStyle name="Normal 7 11 2 7" xfId="44983"/>
    <cellStyle name="Normal 7 11 2 8" xfId="44984"/>
    <cellStyle name="Normal 7 11 2 9" xfId="44985"/>
    <cellStyle name="Normal 7 11 3" xfId="44986"/>
    <cellStyle name="Normal 7 11 3 2" xfId="44987"/>
    <cellStyle name="Normal 7 11 3 2 2" xfId="44988"/>
    <cellStyle name="Normal 7 11 3 3" xfId="44989"/>
    <cellStyle name="Normal 7 11 3 4" xfId="44990"/>
    <cellStyle name="Normal 7 11 3 5" xfId="44991"/>
    <cellStyle name="Normal 7 11 4" xfId="44992"/>
    <cellStyle name="Normal 7 11 4 2" xfId="44993"/>
    <cellStyle name="Normal 7 11 5" xfId="44994"/>
    <cellStyle name="Normal 7 11 5 2" xfId="44995"/>
    <cellStyle name="Normal 7 11 6" xfId="44996"/>
    <cellStyle name="Normal 7 11 6 2" xfId="44997"/>
    <cellStyle name="Normal 7 11 7" xfId="44998"/>
    <cellStyle name="Normal 7 11 7 2" xfId="44999"/>
    <cellStyle name="Normal 7 11 8" xfId="45000"/>
    <cellStyle name="Normal 7 11 9" xfId="45001"/>
    <cellStyle name="Normal 7 12" xfId="45002"/>
    <cellStyle name="Normal 7 12 10" xfId="45003"/>
    <cellStyle name="Normal 7 12 11" xfId="45004"/>
    <cellStyle name="Normal 7 12 12" xfId="45005"/>
    <cellStyle name="Normal 7 12 13" xfId="45006"/>
    <cellStyle name="Normal 7 12 14" xfId="45007"/>
    <cellStyle name="Normal 7 12 15" xfId="45008"/>
    <cellStyle name="Normal 7 12 16" xfId="45009"/>
    <cellStyle name="Normal 7 12 17" xfId="45010"/>
    <cellStyle name="Normal 7 12 18" xfId="45011"/>
    <cellStyle name="Normal 7 12 2" xfId="45012"/>
    <cellStyle name="Normal 7 12 2 10" xfId="45013"/>
    <cellStyle name="Normal 7 12 2 11" xfId="45014"/>
    <cellStyle name="Normal 7 12 2 12" xfId="45015"/>
    <cellStyle name="Normal 7 12 2 13" xfId="45016"/>
    <cellStyle name="Normal 7 12 2 2" xfId="45017"/>
    <cellStyle name="Normal 7 12 2 2 2" xfId="45018"/>
    <cellStyle name="Normal 7 12 2 2 2 2" xfId="45019"/>
    <cellStyle name="Normal 7 12 2 2 3" xfId="45020"/>
    <cellStyle name="Normal 7 12 2 2 4" xfId="45021"/>
    <cellStyle name="Normal 7 12 2 2 5" xfId="45022"/>
    <cellStyle name="Normal 7 12 2 3" xfId="45023"/>
    <cellStyle name="Normal 7 12 2 3 2" xfId="45024"/>
    <cellStyle name="Normal 7 12 2 4" xfId="45025"/>
    <cellStyle name="Normal 7 12 2 4 2" xfId="45026"/>
    <cellStyle name="Normal 7 12 2 5" xfId="45027"/>
    <cellStyle name="Normal 7 12 2 5 2" xfId="45028"/>
    <cellStyle name="Normal 7 12 2 6" xfId="45029"/>
    <cellStyle name="Normal 7 12 2 6 2" xfId="45030"/>
    <cellStyle name="Normal 7 12 2 7" xfId="45031"/>
    <cellStyle name="Normal 7 12 2 8" xfId="45032"/>
    <cellStyle name="Normal 7 12 2 9" xfId="45033"/>
    <cellStyle name="Normal 7 12 3" xfId="45034"/>
    <cellStyle name="Normal 7 12 3 2" xfId="45035"/>
    <cellStyle name="Normal 7 12 3 2 2" xfId="45036"/>
    <cellStyle name="Normal 7 12 3 3" xfId="45037"/>
    <cellStyle name="Normal 7 12 3 4" xfId="45038"/>
    <cellStyle name="Normal 7 12 3 5" xfId="45039"/>
    <cellStyle name="Normal 7 12 4" xfId="45040"/>
    <cellStyle name="Normal 7 12 4 2" xfId="45041"/>
    <cellStyle name="Normal 7 12 5" xfId="45042"/>
    <cellStyle name="Normal 7 12 5 2" xfId="45043"/>
    <cellStyle name="Normal 7 12 6" xfId="45044"/>
    <cellStyle name="Normal 7 12 6 2" xfId="45045"/>
    <cellStyle name="Normal 7 12 7" xfId="45046"/>
    <cellStyle name="Normal 7 12 7 2" xfId="45047"/>
    <cellStyle name="Normal 7 12 8" xfId="45048"/>
    <cellStyle name="Normal 7 12 9" xfId="45049"/>
    <cellStyle name="Normal 7 13" xfId="45050"/>
    <cellStyle name="Normal 7 13 10" xfId="45051"/>
    <cellStyle name="Normal 7 13 11" xfId="45052"/>
    <cellStyle name="Normal 7 13 12" xfId="45053"/>
    <cellStyle name="Normal 7 13 13" xfId="45054"/>
    <cellStyle name="Normal 7 13 14" xfId="45055"/>
    <cellStyle name="Normal 7 13 15" xfId="45056"/>
    <cellStyle name="Normal 7 13 16" xfId="45057"/>
    <cellStyle name="Normal 7 13 17" xfId="45058"/>
    <cellStyle name="Normal 7 13 18" xfId="45059"/>
    <cellStyle name="Normal 7 13 2" xfId="45060"/>
    <cellStyle name="Normal 7 13 2 10" xfId="45061"/>
    <cellStyle name="Normal 7 13 2 11" xfId="45062"/>
    <cellStyle name="Normal 7 13 2 12" xfId="45063"/>
    <cellStyle name="Normal 7 13 2 13" xfId="45064"/>
    <cellStyle name="Normal 7 13 2 2" xfId="45065"/>
    <cellStyle name="Normal 7 13 2 2 2" xfId="45066"/>
    <cellStyle name="Normal 7 13 2 2 2 2" xfId="45067"/>
    <cellStyle name="Normal 7 13 2 2 3" xfId="45068"/>
    <cellStyle name="Normal 7 13 2 2 4" xfId="45069"/>
    <cellStyle name="Normal 7 13 2 2 5" xfId="45070"/>
    <cellStyle name="Normal 7 13 2 3" xfId="45071"/>
    <cellStyle name="Normal 7 13 2 3 2" xfId="45072"/>
    <cellStyle name="Normal 7 13 2 4" xfId="45073"/>
    <cellStyle name="Normal 7 13 2 4 2" xfId="45074"/>
    <cellStyle name="Normal 7 13 2 5" xfId="45075"/>
    <cellStyle name="Normal 7 13 2 5 2" xfId="45076"/>
    <cellStyle name="Normal 7 13 2 6" xfId="45077"/>
    <cellStyle name="Normal 7 13 2 6 2" xfId="45078"/>
    <cellStyle name="Normal 7 13 2 7" xfId="45079"/>
    <cellStyle name="Normal 7 13 2 8" xfId="45080"/>
    <cellStyle name="Normal 7 13 2 9" xfId="45081"/>
    <cellStyle name="Normal 7 13 3" xfId="45082"/>
    <cellStyle name="Normal 7 13 3 2" xfId="45083"/>
    <cellStyle name="Normal 7 13 3 2 2" xfId="45084"/>
    <cellStyle name="Normal 7 13 3 3" xfId="45085"/>
    <cellStyle name="Normal 7 13 3 4" xfId="45086"/>
    <cellStyle name="Normal 7 13 3 5" xfId="45087"/>
    <cellStyle name="Normal 7 13 4" xfId="45088"/>
    <cellStyle name="Normal 7 13 4 2" xfId="45089"/>
    <cellStyle name="Normal 7 13 5" xfId="45090"/>
    <cellStyle name="Normal 7 13 5 2" xfId="45091"/>
    <cellStyle name="Normal 7 13 6" xfId="45092"/>
    <cellStyle name="Normal 7 13 6 2" xfId="45093"/>
    <cellStyle name="Normal 7 13 7" xfId="45094"/>
    <cellStyle name="Normal 7 13 7 2" xfId="45095"/>
    <cellStyle name="Normal 7 13 8" xfId="45096"/>
    <cellStyle name="Normal 7 13 9" xfId="45097"/>
    <cellStyle name="Normal 7 14" xfId="45098"/>
    <cellStyle name="Normal 7 14 10" xfId="45099"/>
    <cellStyle name="Normal 7 14 11" xfId="45100"/>
    <cellStyle name="Normal 7 14 12" xfId="45101"/>
    <cellStyle name="Normal 7 14 13" xfId="45102"/>
    <cellStyle name="Normal 7 14 14" xfId="45103"/>
    <cellStyle name="Normal 7 14 15" xfId="45104"/>
    <cellStyle name="Normal 7 14 16" xfId="45105"/>
    <cellStyle name="Normal 7 14 17" xfId="45106"/>
    <cellStyle name="Normal 7 14 18" xfId="45107"/>
    <cellStyle name="Normal 7 14 2" xfId="45108"/>
    <cellStyle name="Normal 7 14 2 10" xfId="45109"/>
    <cellStyle name="Normal 7 14 2 11" xfId="45110"/>
    <cellStyle name="Normal 7 14 2 12" xfId="45111"/>
    <cellStyle name="Normal 7 14 2 13" xfId="45112"/>
    <cellStyle name="Normal 7 14 2 2" xfId="45113"/>
    <cellStyle name="Normal 7 14 2 2 2" xfId="45114"/>
    <cellStyle name="Normal 7 14 2 2 2 2" xfId="45115"/>
    <cellStyle name="Normal 7 14 2 2 3" xfId="45116"/>
    <cellStyle name="Normal 7 14 2 2 4" xfId="45117"/>
    <cellStyle name="Normal 7 14 2 2 5" xfId="45118"/>
    <cellStyle name="Normal 7 14 2 3" xfId="45119"/>
    <cellStyle name="Normal 7 14 2 3 2" xfId="45120"/>
    <cellStyle name="Normal 7 14 2 4" xfId="45121"/>
    <cellStyle name="Normal 7 14 2 4 2" xfId="45122"/>
    <cellStyle name="Normal 7 14 2 5" xfId="45123"/>
    <cellStyle name="Normal 7 14 2 5 2" xfId="45124"/>
    <cellStyle name="Normal 7 14 2 6" xfId="45125"/>
    <cellStyle name="Normal 7 14 2 6 2" xfId="45126"/>
    <cellStyle name="Normal 7 14 2 7" xfId="45127"/>
    <cellStyle name="Normal 7 14 2 8" xfId="45128"/>
    <cellStyle name="Normal 7 14 2 9" xfId="45129"/>
    <cellStyle name="Normal 7 14 3" xfId="45130"/>
    <cellStyle name="Normal 7 14 3 2" xfId="45131"/>
    <cellStyle name="Normal 7 14 3 2 2" xfId="45132"/>
    <cellStyle name="Normal 7 14 3 3" xfId="45133"/>
    <cellStyle name="Normal 7 14 3 4" xfId="45134"/>
    <cellStyle name="Normal 7 14 3 5" xfId="45135"/>
    <cellStyle name="Normal 7 14 4" xfId="45136"/>
    <cellStyle name="Normal 7 14 4 2" xfId="45137"/>
    <cellStyle name="Normal 7 14 5" xfId="45138"/>
    <cellStyle name="Normal 7 14 5 2" xfId="45139"/>
    <cellStyle name="Normal 7 14 6" xfId="45140"/>
    <cellStyle name="Normal 7 14 6 2" xfId="45141"/>
    <cellStyle name="Normal 7 14 7" xfId="45142"/>
    <cellStyle name="Normal 7 14 7 2" xfId="45143"/>
    <cellStyle name="Normal 7 14 8" xfId="45144"/>
    <cellStyle name="Normal 7 14 9" xfId="45145"/>
    <cellStyle name="Normal 7 15" xfId="45146"/>
    <cellStyle name="Normal 7 15 10" xfId="45147"/>
    <cellStyle name="Normal 7 15 11" xfId="45148"/>
    <cellStyle name="Normal 7 15 12" xfId="45149"/>
    <cellStyle name="Normal 7 15 13" xfId="45150"/>
    <cellStyle name="Normal 7 15 14" xfId="45151"/>
    <cellStyle name="Normal 7 15 15" xfId="45152"/>
    <cellStyle name="Normal 7 15 16" xfId="45153"/>
    <cellStyle name="Normal 7 15 17" xfId="45154"/>
    <cellStyle name="Normal 7 15 18" xfId="45155"/>
    <cellStyle name="Normal 7 15 2" xfId="45156"/>
    <cellStyle name="Normal 7 15 2 10" xfId="45157"/>
    <cellStyle name="Normal 7 15 2 11" xfId="45158"/>
    <cellStyle name="Normal 7 15 2 12" xfId="45159"/>
    <cellStyle name="Normal 7 15 2 13" xfId="45160"/>
    <cellStyle name="Normal 7 15 2 2" xfId="45161"/>
    <cellStyle name="Normal 7 15 2 2 2" xfId="45162"/>
    <cellStyle name="Normal 7 15 2 2 2 2" xfId="45163"/>
    <cellStyle name="Normal 7 15 2 2 3" xfId="45164"/>
    <cellStyle name="Normal 7 15 2 2 4" xfId="45165"/>
    <cellStyle name="Normal 7 15 2 2 5" xfId="45166"/>
    <cellStyle name="Normal 7 15 2 3" xfId="45167"/>
    <cellStyle name="Normal 7 15 2 3 2" xfId="45168"/>
    <cellStyle name="Normal 7 15 2 4" xfId="45169"/>
    <cellStyle name="Normal 7 15 2 4 2" xfId="45170"/>
    <cellStyle name="Normal 7 15 2 5" xfId="45171"/>
    <cellStyle name="Normal 7 15 2 5 2" xfId="45172"/>
    <cellStyle name="Normal 7 15 2 6" xfId="45173"/>
    <cellStyle name="Normal 7 15 2 6 2" xfId="45174"/>
    <cellStyle name="Normal 7 15 2 7" xfId="45175"/>
    <cellStyle name="Normal 7 15 2 8" xfId="45176"/>
    <cellStyle name="Normal 7 15 2 9" xfId="45177"/>
    <cellStyle name="Normal 7 15 3" xfId="45178"/>
    <cellStyle name="Normal 7 15 3 2" xfId="45179"/>
    <cellStyle name="Normal 7 15 3 2 2" xfId="45180"/>
    <cellStyle name="Normal 7 15 3 3" xfId="45181"/>
    <cellStyle name="Normal 7 15 3 4" xfId="45182"/>
    <cellStyle name="Normal 7 15 3 5" xfId="45183"/>
    <cellStyle name="Normal 7 15 4" xfId="45184"/>
    <cellStyle name="Normal 7 15 4 2" xfId="45185"/>
    <cellStyle name="Normal 7 15 5" xfId="45186"/>
    <cellStyle name="Normal 7 15 5 2" xfId="45187"/>
    <cellStyle name="Normal 7 15 6" xfId="45188"/>
    <cellStyle name="Normal 7 15 6 2" xfId="45189"/>
    <cellStyle name="Normal 7 15 7" xfId="45190"/>
    <cellStyle name="Normal 7 15 7 2" xfId="45191"/>
    <cellStyle name="Normal 7 15 8" xfId="45192"/>
    <cellStyle name="Normal 7 15 9" xfId="45193"/>
    <cellStyle name="Normal 7 16" xfId="45194"/>
    <cellStyle name="Normal 7 16 10" xfId="45195"/>
    <cellStyle name="Normal 7 16 11" xfId="45196"/>
    <cellStyle name="Normal 7 16 12" xfId="45197"/>
    <cellStyle name="Normal 7 16 13" xfId="45198"/>
    <cellStyle name="Normal 7 16 14" xfId="45199"/>
    <cellStyle name="Normal 7 16 15" xfId="45200"/>
    <cellStyle name="Normal 7 16 16" xfId="45201"/>
    <cellStyle name="Normal 7 16 17" xfId="45202"/>
    <cellStyle name="Normal 7 16 2" xfId="45203"/>
    <cellStyle name="Normal 7 16 2 10" xfId="45204"/>
    <cellStyle name="Normal 7 16 2 11" xfId="45205"/>
    <cellStyle name="Normal 7 16 2 12" xfId="45206"/>
    <cellStyle name="Normal 7 16 2 13" xfId="45207"/>
    <cellStyle name="Normal 7 16 2 2" xfId="45208"/>
    <cellStyle name="Normal 7 16 2 2 2" xfId="45209"/>
    <cellStyle name="Normal 7 16 2 2 2 2" xfId="45210"/>
    <cellStyle name="Normal 7 16 2 2 3" xfId="45211"/>
    <cellStyle name="Normal 7 16 2 2 4" xfId="45212"/>
    <cellStyle name="Normal 7 16 2 2 5" xfId="45213"/>
    <cellStyle name="Normal 7 16 2 3" xfId="45214"/>
    <cellStyle name="Normal 7 16 2 3 2" xfId="45215"/>
    <cellStyle name="Normal 7 16 2 4" xfId="45216"/>
    <cellStyle name="Normal 7 16 2 4 2" xfId="45217"/>
    <cellStyle name="Normal 7 16 2 5" xfId="45218"/>
    <cellStyle name="Normal 7 16 2 5 2" xfId="45219"/>
    <cellStyle name="Normal 7 16 2 6" xfId="45220"/>
    <cellStyle name="Normal 7 16 2 6 2" xfId="45221"/>
    <cellStyle name="Normal 7 16 2 7" xfId="45222"/>
    <cellStyle name="Normal 7 16 2 8" xfId="45223"/>
    <cellStyle name="Normal 7 16 2 9" xfId="45224"/>
    <cellStyle name="Normal 7 16 3" xfId="45225"/>
    <cellStyle name="Normal 7 16 3 2" xfId="45226"/>
    <cellStyle name="Normal 7 16 3 2 2" xfId="45227"/>
    <cellStyle name="Normal 7 16 3 3" xfId="45228"/>
    <cellStyle name="Normal 7 16 3 4" xfId="45229"/>
    <cellStyle name="Normal 7 16 3 5" xfId="45230"/>
    <cellStyle name="Normal 7 16 4" xfId="45231"/>
    <cellStyle name="Normal 7 16 4 2" xfId="45232"/>
    <cellStyle name="Normal 7 16 5" xfId="45233"/>
    <cellStyle name="Normal 7 16 5 2" xfId="45234"/>
    <cellStyle name="Normal 7 16 6" xfId="45235"/>
    <cellStyle name="Normal 7 16 6 2" xfId="45236"/>
    <cellStyle name="Normal 7 16 7" xfId="45237"/>
    <cellStyle name="Normal 7 16 7 2" xfId="45238"/>
    <cellStyle name="Normal 7 16 8" xfId="45239"/>
    <cellStyle name="Normal 7 16 9" xfId="45240"/>
    <cellStyle name="Normal 7 17" xfId="45241"/>
    <cellStyle name="Normal 7 17 10" xfId="45242"/>
    <cellStyle name="Normal 7 17 11" xfId="45243"/>
    <cellStyle name="Normal 7 17 12" xfId="45244"/>
    <cellStyle name="Normal 7 17 13" xfId="45245"/>
    <cellStyle name="Normal 7 17 14" xfId="45246"/>
    <cellStyle name="Normal 7 17 15" xfId="45247"/>
    <cellStyle name="Normal 7 17 2" xfId="45248"/>
    <cellStyle name="Normal 7 17 2 2" xfId="45249"/>
    <cellStyle name="Normal 7 17 2 2 2" xfId="45250"/>
    <cellStyle name="Normal 7 17 2 3" xfId="45251"/>
    <cellStyle name="Normal 7 17 2 3 2" xfId="45252"/>
    <cellStyle name="Normal 7 17 2 4" xfId="45253"/>
    <cellStyle name="Normal 7 17 2 4 2" xfId="45254"/>
    <cellStyle name="Normal 7 17 2 5" xfId="45255"/>
    <cellStyle name="Normal 7 17 2 5 2" xfId="45256"/>
    <cellStyle name="Normal 7 17 2 6" xfId="45257"/>
    <cellStyle name="Normal 7 17 2 7" xfId="45258"/>
    <cellStyle name="Normal 7 17 2 8" xfId="45259"/>
    <cellStyle name="Normal 7 17 2 9" xfId="45260"/>
    <cellStyle name="Normal 7 17 3" xfId="45261"/>
    <cellStyle name="Normal 7 17 3 2" xfId="45262"/>
    <cellStyle name="Normal 7 17 3 2 2" xfId="45263"/>
    <cellStyle name="Normal 7 17 3 3" xfId="45264"/>
    <cellStyle name="Normal 7 17 3 4" xfId="45265"/>
    <cellStyle name="Normal 7 17 3 5" xfId="45266"/>
    <cellStyle name="Normal 7 17 4" xfId="45267"/>
    <cellStyle name="Normal 7 17 4 2" xfId="45268"/>
    <cellStyle name="Normal 7 17 5" xfId="45269"/>
    <cellStyle name="Normal 7 17 5 2" xfId="45270"/>
    <cellStyle name="Normal 7 17 6" xfId="45271"/>
    <cellStyle name="Normal 7 17 6 2" xfId="45272"/>
    <cellStyle name="Normal 7 17 7" xfId="45273"/>
    <cellStyle name="Normal 7 17 7 2" xfId="45274"/>
    <cellStyle name="Normal 7 17 8" xfId="45275"/>
    <cellStyle name="Normal 7 17 9" xfId="45276"/>
    <cellStyle name="Normal 7 18" xfId="45277"/>
    <cellStyle name="Normal 7 18 10" xfId="45278"/>
    <cellStyle name="Normal 7 18 11" xfId="45279"/>
    <cellStyle name="Normal 7 18 12" xfId="45280"/>
    <cellStyle name="Normal 7 18 13" xfId="45281"/>
    <cellStyle name="Normal 7 18 14" xfId="45282"/>
    <cellStyle name="Normal 7 18 15" xfId="45283"/>
    <cellStyle name="Normal 7 18 2" xfId="45284"/>
    <cellStyle name="Normal 7 18 2 2" xfId="45285"/>
    <cellStyle name="Normal 7 18 2 2 2" xfId="45286"/>
    <cellStyle name="Normal 7 18 2 3" xfId="45287"/>
    <cellStyle name="Normal 7 18 2 3 2" xfId="45288"/>
    <cellStyle name="Normal 7 18 2 4" xfId="45289"/>
    <cellStyle name="Normal 7 18 2 4 2" xfId="45290"/>
    <cellStyle name="Normal 7 18 2 5" xfId="45291"/>
    <cellStyle name="Normal 7 18 2 5 2" xfId="45292"/>
    <cellStyle name="Normal 7 18 2 6" xfId="45293"/>
    <cellStyle name="Normal 7 18 2 7" xfId="45294"/>
    <cellStyle name="Normal 7 18 2 8" xfId="45295"/>
    <cellStyle name="Normal 7 18 2 9" xfId="45296"/>
    <cellStyle name="Normal 7 18 3" xfId="45297"/>
    <cellStyle name="Normal 7 18 3 2" xfId="45298"/>
    <cellStyle name="Normal 7 18 3 2 2" xfId="45299"/>
    <cellStyle name="Normal 7 18 3 3" xfId="45300"/>
    <cellStyle name="Normal 7 18 3 4" xfId="45301"/>
    <cellStyle name="Normal 7 18 3 5" xfId="45302"/>
    <cellStyle name="Normal 7 18 4" xfId="45303"/>
    <cellStyle name="Normal 7 18 4 2" xfId="45304"/>
    <cellStyle name="Normal 7 18 5" xfId="45305"/>
    <cellStyle name="Normal 7 18 5 2" xfId="45306"/>
    <cellStyle name="Normal 7 18 6" xfId="45307"/>
    <cellStyle name="Normal 7 18 6 2" xfId="45308"/>
    <cellStyle name="Normal 7 18 7" xfId="45309"/>
    <cellStyle name="Normal 7 18 7 2" xfId="45310"/>
    <cellStyle name="Normal 7 18 8" xfId="45311"/>
    <cellStyle name="Normal 7 18 9" xfId="45312"/>
    <cellStyle name="Normal 7 19" xfId="45313"/>
    <cellStyle name="Normal 7 19 10" xfId="45314"/>
    <cellStyle name="Normal 7 19 11" xfId="45315"/>
    <cellStyle name="Normal 7 19 12" xfId="45316"/>
    <cellStyle name="Normal 7 19 13" xfId="45317"/>
    <cellStyle name="Normal 7 19 14" xfId="45318"/>
    <cellStyle name="Normal 7 19 2" xfId="45319"/>
    <cellStyle name="Normal 7 19 2 2" xfId="45320"/>
    <cellStyle name="Normal 7 19 2 2 2" xfId="45321"/>
    <cellStyle name="Normal 7 19 2 3" xfId="45322"/>
    <cellStyle name="Normal 7 19 2 3 2" xfId="45323"/>
    <cellStyle name="Normal 7 19 2 4" xfId="45324"/>
    <cellStyle name="Normal 7 19 2 4 2" xfId="45325"/>
    <cellStyle name="Normal 7 19 2 5" xfId="45326"/>
    <cellStyle name="Normal 7 19 2 5 2" xfId="45327"/>
    <cellStyle name="Normal 7 19 2 6" xfId="45328"/>
    <cellStyle name="Normal 7 19 2 7" xfId="45329"/>
    <cellStyle name="Normal 7 19 2 8" xfId="45330"/>
    <cellStyle name="Normal 7 19 2 9" xfId="45331"/>
    <cellStyle name="Normal 7 19 3" xfId="45332"/>
    <cellStyle name="Normal 7 19 3 2" xfId="45333"/>
    <cellStyle name="Normal 7 19 3 2 2" xfId="45334"/>
    <cellStyle name="Normal 7 19 3 3" xfId="45335"/>
    <cellStyle name="Normal 7 19 3 4" xfId="45336"/>
    <cellStyle name="Normal 7 19 3 5" xfId="45337"/>
    <cellStyle name="Normal 7 19 4" xfId="45338"/>
    <cellStyle name="Normal 7 19 4 2" xfId="45339"/>
    <cellStyle name="Normal 7 19 5" xfId="45340"/>
    <cellStyle name="Normal 7 19 5 2" xfId="45341"/>
    <cellStyle name="Normal 7 19 6" xfId="45342"/>
    <cellStyle name="Normal 7 19 6 2" xfId="45343"/>
    <cellStyle name="Normal 7 19 7" xfId="45344"/>
    <cellStyle name="Normal 7 19 7 2" xfId="45345"/>
    <cellStyle name="Normal 7 19 8" xfId="45346"/>
    <cellStyle name="Normal 7 19 9" xfId="45347"/>
    <cellStyle name="Normal 7 2" xfId="1005"/>
    <cellStyle name="Normal 7 2 10" xfId="45349"/>
    <cellStyle name="Normal 7 2 10 10" xfId="45350"/>
    <cellStyle name="Normal 7 2 10 11" xfId="45351"/>
    <cellStyle name="Normal 7 2 10 12" xfId="45352"/>
    <cellStyle name="Normal 7 2 10 13" xfId="45353"/>
    <cellStyle name="Normal 7 2 10 14" xfId="45354"/>
    <cellStyle name="Normal 7 2 10 15" xfId="45355"/>
    <cellStyle name="Normal 7 2 10 2" xfId="45356"/>
    <cellStyle name="Normal 7 2 10 2 2" xfId="45357"/>
    <cellStyle name="Normal 7 2 10 2 2 2" xfId="45358"/>
    <cellStyle name="Normal 7 2 10 2 3" xfId="45359"/>
    <cellStyle name="Normal 7 2 10 2 3 2" xfId="45360"/>
    <cellStyle name="Normal 7 2 10 2 4" xfId="45361"/>
    <cellStyle name="Normal 7 2 10 2 4 2" xfId="45362"/>
    <cellStyle name="Normal 7 2 10 2 5" xfId="45363"/>
    <cellStyle name="Normal 7 2 10 2 5 2" xfId="45364"/>
    <cellStyle name="Normal 7 2 10 2 6" xfId="45365"/>
    <cellStyle name="Normal 7 2 10 2 7" xfId="45366"/>
    <cellStyle name="Normal 7 2 10 2 8" xfId="45367"/>
    <cellStyle name="Normal 7 2 10 2 9" xfId="45368"/>
    <cellStyle name="Normal 7 2 10 3" xfId="45369"/>
    <cellStyle name="Normal 7 2 10 3 2" xfId="45370"/>
    <cellStyle name="Normal 7 2 10 3 2 2" xfId="45371"/>
    <cellStyle name="Normal 7 2 10 3 3" xfId="45372"/>
    <cellStyle name="Normal 7 2 10 3 4" xfId="45373"/>
    <cellStyle name="Normal 7 2 10 3 5" xfId="45374"/>
    <cellStyle name="Normal 7 2 10 4" xfId="45375"/>
    <cellStyle name="Normal 7 2 10 4 2" xfId="45376"/>
    <cellStyle name="Normal 7 2 10 5" xfId="45377"/>
    <cellStyle name="Normal 7 2 10 5 2" xfId="45378"/>
    <cellStyle name="Normal 7 2 10 6" xfId="45379"/>
    <cellStyle name="Normal 7 2 10 6 2" xfId="45380"/>
    <cellStyle name="Normal 7 2 10 7" xfId="45381"/>
    <cellStyle name="Normal 7 2 10 7 2" xfId="45382"/>
    <cellStyle name="Normal 7 2 10 8" xfId="45383"/>
    <cellStyle name="Normal 7 2 10 9" xfId="45384"/>
    <cellStyle name="Normal 7 2 11" xfId="45385"/>
    <cellStyle name="Normal 7 2 11 2" xfId="45386"/>
    <cellStyle name="Normal 7 2 11 2 2" xfId="45387"/>
    <cellStyle name="Normal 7 2 11 3" xfId="45388"/>
    <cellStyle name="Normal 7 2 11 3 2" xfId="45389"/>
    <cellStyle name="Normal 7 2 11 4" xfId="45390"/>
    <cellStyle name="Normal 7 2 11 4 2" xfId="45391"/>
    <cellStyle name="Normal 7 2 11 5" xfId="45392"/>
    <cellStyle name="Normal 7 2 11 5 2" xfId="45393"/>
    <cellStyle name="Normal 7 2 11 6" xfId="45394"/>
    <cellStyle name="Normal 7 2 11 7" xfId="45395"/>
    <cellStyle name="Normal 7 2 11 8" xfId="45396"/>
    <cellStyle name="Normal 7 2 11 9" xfId="45397"/>
    <cellStyle name="Normal 7 2 12" xfId="45398"/>
    <cellStyle name="Normal 7 2 12 2" xfId="45399"/>
    <cellStyle name="Normal 7 2 12 2 2" xfId="45400"/>
    <cellStyle name="Normal 7 2 12 3" xfId="45401"/>
    <cellStyle name="Normal 7 2 12 4" xfId="45402"/>
    <cellStyle name="Normal 7 2 12 5" xfId="45403"/>
    <cellStyle name="Normal 7 2 13" xfId="45404"/>
    <cellStyle name="Normal 7 2 13 2" xfId="45405"/>
    <cellStyle name="Normal 7 2 14" xfId="45406"/>
    <cellStyle name="Normal 7 2 14 2" xfId="45407"/>
    <cellStyle name="Normal 7 2 15" xfId="45408"/>
    <cellStyle name="Normal 7 2 15 2" xfId="45409"/>
    <cellStyle name="Normal 7 2 16" xfId="45410"/>
    <cellStyle name="Normal 7 2 16 2" xfId="45411"/>
    <cellStyle name="Normal 7 2 17" xfId="45412"/>
    <cellStyle name="Normal 7 2 18" xfId="45413"/>
    <cellStyle name="Normal 7 2 19" xfId="45414"/>
    <cellStyle name="Normal 7 2 2" xfId="45348"/>
    <cellStyle name="Normal 7 2 2 10" xfId="45416"/>
    <cellStyle name="Normal 7 2 2 10 2" xfId="45417"/>
    <cellStyle name="Normal 7 2 2 11" xfId="45418"/>
    <cellStyle name="Normal 7 2 2 11 2" xfId="45419"/>
    <cellStyle name="Normal 7 2 2 12" xfId="45420"/>
    <cellStyle name="Normal 7 2 2 13" xfId="45421"/>
    <cellStyle name="Normal 7 2 2 14" xfId="45422"/>
    <cellStyle name="Normal 7 2 2 15" xfId="45423"/>
    <cellStyle name="Normal 7 2 2 16" xfId="45424"/>
    <cellStyle name="Normal 7 2 2 17" xfId="45425"/>
    <cellStyle name="Normal 7 2 2 18" xfId="45426"/>
    <cellStyle name="Normal 7 2 2 19" xfId="45427"/>
    <cellStyle name="Normal 7 2 2 2" xfId="45428"/>
    <cellStyle name="Normal 7 2 2 2 10" xfId="45429"/>
    <cellStyle name="Normal 7 2 2 2 11" xfId="45430"/>
    <cellStyle name="Normal 7 2 2 2 12" xfId="45431"/>
    <cellStyle name="Normal 7 2 2 2 13" xfId="45432"/>
    <cellStyle name="Normal 7 2 2 2 14" xfId="45433"/>
    <cellStyle name="Normal 7 2 2 2 15" xfId="45434"/>
    <cellStyle name="Normal 7 2 2 2 16" xfId="45435"/>
    <cellStyle name="Normal 7 2 2 2 2" xfId="45436"/>
    <cellStyle name="Normal 7 2 2 2 2 2" xfId="45437"/>
    <cellStyle name="Normal 7 2 2 2 2 2 2" xfId="45438"/>
    <cellStyle name="Normal 7 2 2 2 2 3" xfId="45439"/>
    <cellStyle name="Normal 7 2 2 2 2 3 2" xfId="45440"/>
    <cellStyle name="Normal 7 2 2 2 2 4" xfId="45441"/>
    <cellStyle name="Normal 7 2 2 2 2 4 2" xfId="45442"/>
    <cellStyle name="Normal 7 2 2 2 2 5" xfId="45443"/>
    <cellStyle name="Normal 7 2 2 2 2 5 2" xfId="45444"/>
    <cellStyle name="Normal 7 2 2 2 2 6" xfId="45445"/>
    <cellStyle name="Normal 7 2 2 2 2 7" xfId="45446"/>
    <cellStyle name="Normal 7 2 2 2 2 8" xfId="45447"/>
    <cellStyle name="Normal 7 2 2 2 2 9" xfId="45448"/>
    <cellStyle name="Normal 7 2 2 2 3" xfId="45449"/>
    <cellStyle name="Normal 7 2 2 2 3 2" xfId="45450"/>
    <cellStyle name="Normal 7 2 2 2 3 2 2" xfId="45451"/>
    <cellStyle name="Normal 7 2 2 2 3 3" xfId="45452"/>
    <cellStyle name="Normal 7 2 2 2 3 4" xfId="45453"/>
    <cellStyle name="Normal 7 2 2 2 3 5" xfId="45454"/>
    <cellStyle name="Normal 7 2 2 2 4" xfId="45455"/>
    <cellStyle name="Normal 7 2 2 2 4 2" xfId="45456"/>
    <cellStyle name="Normal 7 2 2 2 5" xfId="45457"/>
    <cellStyle name="Normal 7 2 2 2 5 2" xfId="45458"/>
    <cellStyle name="Normal 7 2 2 2 6" xfId="45459"/>
    <cellStyle name="Normal 7 2 2 2 6 2" xfId="45460"/>
    <cellStyle name="Normal 7 2 2 2 7" xfId="45461"/>
    <cellStyle name="Normal 7 2 2 2 7 2" xfId="45462"/>
    <cellStyle name="Normal 7 2 2 2 8" xfId="45463"/>
    <cellStyle name="Normal 7 2 2 2 9" xfId="45464"/>
    <cellStyle name="Normal 7 2 2 20" xfId="45465"/>
    <cellStyle name="Normal 7 2 2 3" xfId="45466"/>
    <cellStyle name="Normal 7 2 2 3 10" xfId="45467"/>
    <cellStyle name="Normal 7 2 2 3 11" xfId="45468"/>
    <cellStyle name="Normal 7 2 2 3 12" xfId="45469"/>
    <cellStyle name="Normal 7 2 2 3 13" xfId="45470"/>
    <cellStyle name="Normal 7 2 2 3 14" xfId="45471"/>
    <cellStyle name="Normal 7 2 2 3 15" xfId="45472"/>
    <cellStyle name="Normal 7 2 2 3 16" xfId="45473"/>
    <cellStyle name="Normal 7 2 2 3 2" xfId="45474"/>
    <cellStyle name="Normal 7 2 2 3 2 2" xfId="45475"/>
    <cellStyle name="Normal 7 2 2 3 2 2 2" xfId="45476"/>
    <cellStyle name="Normal 7 2 2 3 2 3" xfId="45477"/>
    <cellStyle name="Normal 7 2 2 3 2 3 2" xfId="45478"/>
    <cellStyle name="Normal 7 2 2 3 2 4" xfId="45479"/>
    <cellStyle name="Normal 7 2 2 3 2 4 2" xfId="45480"/>
    <cellStyle name="Normal 7 2 2 3 2 5" xfId="45481"/>
    <cellStyle name="Normal 7 2 2 3 2 5 2" xfId="45482"/>
    <cellStyle name="Normal 7 2 2 3 2 6" xfId="45483"/>
    <cellStyle name="Normal 7 2 2 3 2 7" xfId="45484"/>
    <cellStyle name="Normal 7 2 2 3 2 8" xfId="45485"/>
    <cellStyle name="Normal 7 2 2 3 2 9" xfId="45486"/>
    <cellStyle name="Normal 7 2 2 3 3" xfId="45487"/>
    <cellStyle name="Normal 7 2 2 3 3 2" xfId="45488"/>
    <cellStyle name="Normal 7 2 2 3 3 2 2" xfId="45489"/>
    <cellStyle name="Normal 7 2 2 3 3 3" xfId="45490"/>
    <cellStyle name="Normal 7 2 2 3 3 4" xfId="45491"/>
    <cellStyle name="Normal 7 2 2 3 3 5" xfId="45492"/>
    <cellStyle name="Normal 7 2 2 3 4" xfId="45493"/>
    <cellStyle name="Normal 7 2 2 3 4 2" xfId="45494"/>
    <cellStyle name="Normal 7 2 2 3 5" xfId="45495"/>
    <cellStyle name="Normal 7 2 2 3 5 2" xfId="45496"/>
    <cellStyle name="Normal 7 2 2 3 6" xfId="45497"/>
    <cellStyle name="Normal 7 2 2 3 6 2" xfId="45498"/>
    <cellStyle name="Normal 7 2 2 3 7" xfId="45499"/>
    <cellStyle name="Normal 7 2 2 3 7 2" xfId="45500"/>
    <cellStyle name="Normal 7 2 2 3 8" xfId="45501"/>
    <cellStyle name="Normal 7 2 2 3 9" xfId="45502"/>
    <cellStyle name="Normal 7 2 2 4" xfId="45503"/>
    <cellStyle name="Normal 7 2 2 4 10" xfId="45504"/>
    <cellStyle name="Normal 7 2 2 4 11" xfId="45505"/>
    <cellStyle name="Normal 7 2 2 4 12" xfId="45506"/>
    <cellStyle name="Normal 7 2 2 4 13" xfId="45507"/>
    <cellStyle name="Normal 7 2 2 4 14" xfId="45508"/>
    <cellStyle name="Normal 7 2 2 4 15" xfId="45509"/>
    <cellStyle name="Normal 7 2 2 4 2" xfId="45510"/>
    <cellStyle name="Normal 7 2 2 4 2 2" xfId="45511"/>
    <cellStyle name="Normal 7 2 2 4 2 2 2" xfId="45512"/>
    <cellStyle name="Normal 7 2 2 4 2 3" xfId="45513"/>
    <cellStyle name="Normal 7 2 2 4 2 3 2" xfId="45514"/>
    <cellStyle name="Normal 7 2 2 4 2 4" xfId="45515"/>
    <cellStyle name="Normal 7 2 2 4 2 4 2" xfId="45516"/>
    <cellStyle name="Normal 7 2 2 4 2 5" xfId="45517"/>
    <cellStyle name="Normal 7 2 2 4 2 5 2" xfId="45518"/>
    <cellStyle name="Normal 7 2 2 4 2 6" xfId="45519"/>
    <cellStyle name="Normal 7 2 2 4 2 7" xfId="45520"/>
    <cellStyle name="Normal 7 2 2 4 2 8" xfId="45521"/>
    <cellStyle name="Normal 7 2 2 4 2 9" xfId="45522"/>
    <cellStyle name="Normal 7 2 2 4 3" xfId="45523"/>
    <cellStyle name="Normal 7 2 2 4 3 2" xfId="45524"/>
    <cellStyle name="Normal 7 2 2 4 3 2 2" xfId="45525"/>
    <cellStyle name="Normal 7 2 2 4 3 3" xfId="45526"/>
    <cellStyle name="Normal 7 2 2 4 3 4" xfId="45527"/>
    <cellStyle name="Normal 7 2 2 4 3 5" xfId="45528"/>
    <cellStyle name="Normal 7 2 2 4 4" xfId="45529"/>
    <cellStyle name="Normal 7 2 2 4 4 2" xfId="45530"/>
    <cellStyle name="Normal 7 2 2 4 5" xfId="45531"/>
    <cellStyle name="Normal 7 2 2 4 5 2" xfId="45532"/>
    <cellStyle name="Normal 7 2 2 4 6" xfId="45533"/>
    <cellStyle name="Normal 7 2 2 4 6 2" xfId="45534"/>
    <cellStyle name="Normal 7 2 2 4 7" xfId="45535"/>
    <cellStyle name="Normal 7 2 2 4 7 2" xfId="45536"/>
    <cellStyle name="Normal 7 2 2 4 8" xfId="45537"/>
    <cellStyle name="Normal 7 2 2 4 9" xfId="45538"/>
    <cellStyle name="Normal 7 2 2 5" xfId="45539"/>
    <cellStyle name="Normal 7 2 2 5 10" xfId="45540"/>
    <cellStyle name="Normal 7 2 2 5 11" xfId="45541"/>
    <cellStyle name="Normal 7 2 2 5 12" xfId="45542"/>
    <cellStyle name="Normal 7 2 2 5 13" xfId="45543"/>
    <cellStyle name="Normal 7 2 2 5 14" xfId="45544"/>
    <cellStyle name="Normal 7 2 2 5 2" xfId="45545"/>
    <cellStyle name="Normal 7 2 2 5 2 2" xfId="45546"/>
    <cellStyle name="Normal 7 2 2 5 2 2 2" xfId="45547"/>
    <cellStyle name="Normal 7 2 2 5 2 3" xfId="45548"/>
    <cellStyle name="Normal 7 2 2 5 2 3 2" xfId="45549"/>
    <cellStyle name="Normal 7 2 2 5 2 4" xfId="45550"/>
    <cellStyle name="Normal 7 2 2 5 2 4 2" xfId="45551"/>
    <cellStyle name="Normal 7 2 2 5 2 5" xfId="45552"/>
    <cellStyle name="Normal 7 2 2 5 2 5 2" xfId="45553"/>
    <cellStyle name="Normal 7 2 2 5 2 6" xfId="45554"/>
    <cellStyle name="Normal 7 2 2 5 2 7" xfId="45555"/>
    <cellStyle name="Normal 7 2 2 5 2 8" xfId="45556"/>
    <cellStyle name="Normal 7 2 2 5 2 9" xfId="45557"/>
    <cellStyle name="Normal 7 2 2 5 3" xfId="45558"/>
    <cellStyle name="Normal 7 2 2 5 3 2" xfId="45559"/>
    <cellStyle name="Normal 7 2 2 5 3 2 2" xfId="45560"/>
    <cellStyle name="Normal 7 2 2 5 3 3" xfId="45561"/>
    <cellStyle name="Normal 7 2 2 5 3 4" xfId="45562"/>
    <cellStyle name="Normal 7 2 2 5 3 5" xfId="45563"/>
    <cellStyle name="Normal 7 2 2 5 4" xfId="45564"/>
    <cellStyle name="Normal 7 2 2 5 4 2" xfId="45565"/>
    <cellStyle name="Normal 7 2 2 5 5" xfId="45566"/>
    <cellStyle name="Normal 7 2 2 5 5 2" xfId="45567"/>
    <cellStyle name="Normal 7 2 2 5 6" xfId="45568"/>
    <cellStyle name="Normal 7 2 2 5 6 2" xfId="45569"/>
    <cellStyle name="Normal 7 2 2 5 7" xfId="45570"/>
    <cellStyle name="Normal 7 2 2 5 7 2" xfId="45571"/>
    <cellStyle name="Normal 7 2 2 5 8" xfId="45572"/>
    <cellStyle name="Normal 7 2 2 5 9" xfId="45573"/>
    <cellStyle name="Normal 7 2 2 6" xfId="45574"/>
    <cellStyle name="Normal 7 2 2 6 2" xfId="45575"/>
    <cellStyle name="Normal 7 2 2 6 2 2" xfId="45576"/>
    <cellStyle name="Normal 7 2 2 6 3" xfId="45577"/>
    <cellStyle name="Normal 7 2 2 6 3 2" xfId="45578"/>
    <cellStyle name="Normal 7 2 2 6 4" xfId="45579"/>
    <cellStyle name="Normal 7 2 2 6 4 2" xfId="45580"/>
    <cellStyle name="Normal 7 2 2 6 5" xfId="45581"/>
    <cellStyle name="Normal 7 2 2 6 5 2" xfId="45582"/>
    <cellStyle name="Normal 7 2 2 6 6" xfId="45583"/>
    <cellStyle name="Normal 7 2 2 6 7" xfId="45584"/>
    <cellStyle name="Normal 7 2 2 6 8" xfId="45585"/>
    <cellStyle name="Normal 7 2 2 6 9" xfId="45586"/>
    <cellStyle name="Normal 7 2 2 7" xfId="45587"/>
    <cellStyle name="Normal 7 2 2 7 2" xfId="45588"/>
    <cellStyle name="Normal 7 2 2 7 2 2" xfId="45589"/>
    <cellStyle name="Normal 7 2 2 7 3" xfId="45590"/>
    <cellStyle name="Normal 7 2 2 7 4" xfId="45591"/>
    <cellStyle name="Normal 7 2 2 7 5" xfId="45592"/>
    <cellStyle name="Normal 7 2 2 8" xfId="45593"/>
    <cellStyle name="Normal 7 2 2 8 2" xfId="45594"/>
    <cellStyle name="Normal 7 2 2 9" xfId="45595"/>
    <cellStyle name="Normal 7 2 2 9 2" xfId="45596"/>
    <cellStyle name="Normal 7 2 20" xfId="45597"/>
    <cellStyle name="Normal 7 2 21" xfId="45598"/>
    <cellStyle name="Normal 7 2 22" xfId="45599"/>
    <cellStyle name="Normal 7 2 23" xfId="45600"/>
    <cellStyle name="Normal 7 2 24" xfId="45601"/>
    <cellStyle name="Normal 7 2 25" xfId="45602"/>
    <cellStyle name="Normal 7 2 26" xfId="45603"/>
    <cellStyle name="Normal 7 2 3" xfId="45604"/>
    <cellStyle name="Normal 7 2 3 10" xfId="45605"/>
    <cellStyle name="Normal 7 2 3 11" xfId="45606"/>
    <cellStyle name="Normal 7 2 3 12" xfId="45607"/>
    <cellStyle name="Normal 7 2 3 13" xfId="45608"/>
    <cellStyle name="Normal 7 2 3 14" xfId="45609"/>
    <cellStyle name="Normal 7 2 3 15" xfId="45610"/>
    <cellStyle name="Normal 7 2 3 16" xfId="45611"/>
    <cellStyle name="Normal 7 2 3 17" xfId="45612"/>
    <cellStyle name="Normal 7 2 3 18" xfId="45613"/>
    <cellStyle name="Normal 7 2 3 2" xfId="45614"/>
    <cellStyle name="Normal 7 2 3 2 10" xfId="45615"/>
    <cellStyle name="Normal 7 2 3 2 11" xfId="45616"/>
    <cellStyle name="Normal 7 2 3 2 12" xfId="45617"/>
    <cellStyle name="Normal 7 2 3 2 13" xfId="45618"/>
    <cellStyle name="Normal 7 2 3 2 2" xfId="45619"/>
    <cellStyle name="Normal 7 2 3 2 2 2" xfId="45620"/>
    <cellStyle name="Normal 7 2 3 2 2 2 2" xfId="45621"/>
    <cellStyle name="Normal 7 2 3 2 2 3" xfId="45622"/>
    <cellStyle name="Normal 7 2 3 2 2 4" xfId="45623"/>
    <cellStyle name="Normal 7 2 3 2 2 5" xfId="45624"/>
    <cellStyle name="Normal 7 2 3 2 3" xfId="45625"/>
    <cellStyle name="Normal 7 2 3 2 3 2" xfId="45626"/>
    <cellStyle name="Normal 7 2 3 2 4" xfId="45627"/>
    <cellStyle name="Normal 7 2 3 2 4 2" xfId="45628"/>
    <cellStyle name="Normal 7 2 3 2 5" xfId="45629"/>
    <cellStyle name="Normal 7 2 3 2 5 2" xfId="45630"/>
    <cellStyle name="Normal 7 2 3 2 6" xfId="45631"/>
    <cellStyle name="Normal 7 2 3 2 6 2" xfId="45632"/>
    <cellStyle name="Normal 7 2 3 2 7" xfId="45633"/>
    <cellStyle name="Normal 7 2 3 2 8" xfId="45634"/>
    <cellStyle name="Normal 7 2 3 2 9" xfId="45635"/>
    <cellStyle name="Normal 7 2 3 3" xfId="45636"/>
    <cellStyle name="Normal 7 2 3 3 2" xfId="45637"/>
    <cellStyle name="Normal 7 2 3 3 2 2" xfId="45638"/>
    <cellStyle name="Normal 7 2 3 3 3" xfId="45639"/>
    <cellStyle name="Normal 7 2 3 3 4" xfId="45640"/>
    <cellStyle name="Normal 7 2 3 3 5" xfId="45641"/>
    <cellStyle name="Normal 7 2 3 4" xfId="45642"/>
    <cellStyle name="Normal 7 2 3 4 2" xfId="45643"/>
    <cellStyle name="Normal 7 2 3 5" xfId="45644"/>
    <cellStyle name="Normal 7 2 3 5 2" xfId="45645"/>
    <cellStyle name="Normal 7 2 3 6" xfId="45646"/>
    <cellStyle name="Normal 7 2 3 6 2" xfId="45647"/>
    <cellStyle name="Normal 7 2 3 7" xfId="45648"/>
    <cellStyle name="Normal 7 2 3 7 2" xfId="45649"/>
    <cellStyle name="Normal 7 2 3 8" xfId="45650"/>
    <cellStyle name="Normal 7 2 3 9" xfId="45651"/>
    <cellStyle name="Normal 7 2 4" xfId="45652"/>
    <cellStyle name="Normal 7 2 4 10" xfId="45653"/>
    <cellStyle name="Normal 7 2 4 11" xfId="45654"/>
    <cellStyle name="Normal 7 2 4 12" xfId="45655"/>
    <cellStyle name="Normal 7 2 4 13" xfId="45656"/>
    <cellStyle name="Normal 7 2 4 14" xfId="45657"/>
    <cellStyle name="Normal 7 2 4 15" xfId="45658"/>
    <cellStyle name="Normal 7 2 4 16" xfId="45659"/>
    <cellStyle name="Normal 7 2 4 17" xfId="45660"/>
    <cellStyle name="Normal 7 2 4 18" xfId="45661"/>
    <cellStyle name="Normal 7 2 4 2" xfId="45662"/>
    <cellStyle name="Normal 7 2 4 2 10" xfId="45663"/>
    <cellStyle name="Normal 7 2 4 2 11" xfId="45664"/>
    <cellStyle name="Normal 7 2 4 2 12" xfId="45665"/>
    <cellStyle name="Normal 7 2 4 2 13" xfId="45666"/>
    <cellStyle name="Normal 7 2 4 2 2" xfId="45667"/>
    <cellStyle name="Normal 7 2 4 2 2 2" xfId="45668"/>
    <cellStyle name="Normal 7 2 4 2 2 2 2" xfId="45669"/>
    <cellStyle name="Normal 7 2 4 2 2 3" xfId="45670"/>
    <cellStyle name="Normal 7 2 4 2 2 4" xfId="45671"/>
    <cellStyle name="Normal 7 2 4 2 2 5" xfId="45672"/>
    <cellStyle name="Normal 7 2 4 2 3" xfId="45673"/>
    <cellStyle name="Normal 7 2 4 2 3 2" xfId="45674"/>
    <cellStyle name="Normal 7 2 4 2 4" xfId="45675"/>
    <cellStyle name="Normal 7 2 4 2 4 2" xfId="45676"/>
    <cellStyle name="Normal 7 2 4 2 5" xfId="45677"/>
    <cellStyle name="Normal 7 2 4 2 5 2" xfId="45678"/>
    <cellStyle name="Normal 7 2 4 2 6" xfId="45679"/>
    <cellStyle name="Normal 7 2 4 2 6 2" xfId="45680"/>
    <cellStyle name="Normal 7 2 4 2 7" xfId="45681"/>
    <cellStyle name="Normal 7 2 4 2 8" xfId="45682"/>
    <cellStyle name="Normal 7 2 4 2 9" xfId="45683"/>
    <cellStyle name="Normal 7 2 4 3" xfId="45684"/>
    <cellStyle name="Normal 7 2 4 3 2" xfId="45685"/>
    <cellStyle name="Normal 7 2 4 3 2 2" xfId="45686"/>
    <cellStyle name="Normal 7 2 4 3 3" xfId="45687"/>
    <cellStyle name="Normal 7 2 4 3 4" xfId="45688"/>
    <cellStyle name="Normal 7 2 4 3 5" xfId="45689"/>
    <cellStyle name="Normal 7 2 4 4" xfId="45690"/>
    <cellStyle name="Normal 7 2 4 4 2" xfId="45691"/>
    <cellStyle name="Normal 7 2 4 5" xfId="45692"/>
    <cellStyle name="Normal 7 2 4 5 2" xfId="45693"/>
    <cellStyle name="Normal 7 2 4 6" xfId="45694"/>
    <cellStyle name="Normal 7 2 4 6 2" xfId="45695"/>
    <cellStyle name="Normal 7 2 4 7" xfId="45696"/>
    <cellStyle name="Normal 7 2 4 7 2" xfId="45697"/>
    <cellStyle name="Normal 7 2 4 8" xfId="45698"/>
    <cellStyle name="Normal 7 2 4 9" xfId="45699"/>
    <cellStyle name="Normal 7 2 5" xfId="45700"/>
    <cellStyle name="Normal 7 2 5 10" xfId="45701"/>
    <cellStyle name="Normal 7 2 5 11" xfId="45702"/>
    <cellStyle name="Normal 7 2 5 12" xfId="45703"/>
    <cellStyle name="Normal 7 2 5 13" xfId="45704"/>
    <cellStyle name="Normal 7 2 5 14" xfId="45705"/>
    <cellStyle name="Normal 7 2 5 15" xfId="45706"/>
    <cellStyle name="Normal 7 2 5 16" xfId="45707"/>
    <cellStyle name="Normal 7 2 5 17" xfId="45708"/>
    <cellStyle name="Normal 7 2 5 18" xfId="45709"/>
    <cellStyle name="Normal 7 2 5 2" xfId="45710"/>
    <cellStyle name="Normal 7 2 5 2 10" xfId="45711"/>
    <cellStyle name="Normal 7 2 5 2 11" xfId="45712"/>
    <cellStyle name="Normal 7 2 5 2 12" xfId="45713"/>
    <cellStyle name="Normal 7 2 5 2 13" xfId="45714"/>
    <cellStyle name="Normal 7 2 5 2 2" xfId="45715"/>
    <cellStyle name="Normal 7 2 5 2 2 2" xfId="45716"/>
    <cellStyle name="Normal 7 2 5 2 2 2 2" xfId="45717"/>
    <cellStyle name="Normal 7 2 5 2 2 3" xfId="45718"/>
    <cellStyle name="Normal 7 2 5 2 2 4" xfId="45719"/>
    <cellStyle name="Normal 7 2 5 2 2 5" xfId="45720"/>
    <cellStyle name="Normal 7 2 5 2 3" xfId="45721"/>
    <cellStyle name="Normal 7 2 5 2 3 2" xfId="45722"/>
    <cellStyle name="Normal 7 2 5 2 4" xfId="45723"/>
    <cellStyle name="Normal 7 2 5 2 4 2" xfId="45724"/>
    <cellStyle name="Normal 7 2 5 2 5" xfId="45725"/>
    <cellStyle name="Normal 7 2 5 2 5 2" xfId="45726"/>
    <cellStyle name="Normal 7 2 5 2 6" xfId="45727"/>
    <cellStyle name="Normal 7 2 5 2 6 2" xfId="45728"/>
    <cellStyle name="Normal 7 2 5 2 7" xfId="45729"/>
    <cellStyle name="Normal 7 2 5 2 8" xfId="45730"/>
    <cellStyle name="Normal 7 2 5 2 9" xfId="45731"/>
    <cellStyle name="Normal 7 2 5 3" xfId="45732"/>
    <cellStyle name="Normal 7 2 5 3 2" xfId="45733"/>
    <cellStyle name="Normal 7 2 5 3 2 2" xfId="45734"/>
    <cellStyle name="Normal 7 2 5 3 3" xfId="45735"/>
    <cellStyle name="Normal 7 2 5 3 4" xfId="45736"/>
    <cellStyle name="Normal 7 2 5 3 5" xfId="45737"/>
    <cellStyle name="Normal 7 2 5 4" xfId="45738"/>
    <cellStyle name="Normal 7 2 5 4 2" xfId="45739"/>
    <cellStyle name="Normal 7 2 5 5" xfId="45740"/>
    <cellStyle name="Normal 7 2 5 5 2" xfId="45741"/>
    <cellStyle name="Normal 7 2 5 6" xfId="45742"/>
    <cellStyle name="Normal 7 2 5 6 2" xfId="45743"/>
    <cellStyle name="Normal 7 2 5 7" xfId="45744"/>
    <cellStyle name="Normal 7 2 5 7 2" xfId="45745"/>
    <cellStyle name="Normal 7 2 5 8" xfId="45746"/>
    <cellStyle name="Normal 7 2 5 9" xfId="45747"/>
    <cellStyle name="Normal 7 2 6" xfId="45748"/>
    <cellStyle name="Normal 7 2 6 10" xfId="45749"/>
    <cellStyle name="Normal 7 2 6 11" xfId="45750"/>
    <cellStyle name="Normal 7 2 6 12" xfId="45751"/>
    <cellStyle name="Normal 7 2 6 13" xfId="45752"/>
    <cellStyle name="Normal 7 2 6 14" xfId="45753"/>
    <cellStyle name="Normal 7 2 6 15" xfId="45754"/>
    <cellStyle name="Normal 7 2 6 16" xfId="45755"/>
    <cellStyle name="Normal 7 2 6 17" xfId="45756"/>
    <cellStyle name="Normal 7 2 6 18" xfId="45757"/>
    <cellStyle name="Normal 7 2 6 2" xfId="45758"/>
    <cellStyle name="Normal 7 2 6 2 10" xfId="45759"/>
    <cellStyle name="Normal 7 2 6 2 11" xfId="45760"/>
    <cellStyle name="Normal 7 2 6 2 12" xfId="45761"/>
    <cellStyle name="Normal 7 2 6 2 13" xfId="45762"/>
    <cellStyle name="Normal 7 2 6 2 2" xfId="45763"/>
    <cellStyle name="Normal 7 2 6 2 2 2" xfId="45764"/>
    <cellStyle name="Normal 7 2 6 2 2 2 2" xfId="45765"/>
    <cellStyle name="Normal 7 2 6 2 2 3" xfId="45766"/>
    <cellStyle name="Normal 7 2 6 2 2 4" xfId="45767"/>
    <cellStyle name="Normal 7 2 6 2 2 5" xfId="45768"/>
    <cellStyle name="Normal 7 2 6 2 3" xfId="45769"/>
    <cellStyle name="Normal 7 2 6 2 3 2" xfId="45770"/>
    <cellStyle name="Normal 7 2 6 2 4" xfId="45771"/>
    <cellStyle name="Normal 7 2 6 2 4 2" xfId="45772"/>
    <cellStyle name="Normal 7 2 6 2 5" xfId="45773"/>
    <cellStyle name="Normal 7 2 6 2 5 2" xfId="45774"/>
    <cellStyle name="Normal 7 2 6 2 6" xfId="45775"/>
    <cellStyle name="Normal 7 2 6 2 6 2" xfId="45776"/>
    <cellStyle name="Normal 7 2 6 2 7" xfId="45777"/>
    <cellStyle name="Normal 7 2 6 2 8" xfId="45778"/>
    <cellStyle name="Normal 7 2 6 2 9" xfId="45779"/>
    <cellStyle name="Normal 7 2 6 3" xfId="45780"/>
    <cellStyle name="Normal 7 2 6 3 2" xfId="45781"/>
    <cellStyle name="Normal 7 2 6 3 2 2" xfId="45782"/>
    <cellStyle name="Normal 7 2 6 3 3" xfId="45783"/>
    <cellStyle name="Normal 7 2 6 3 4" xfId="45784"/>
    <cellStyle name="Normal 7 2 6 3 5" xfId="45785"/>
    <cellStyle name="Normal 7 2 6 4" xfId="45786"/>
    <cellStyle name="Normal 7 2 6 4 2" xfId="45787"/>
    <cellStyle name="Normal 7 2 6 5" xfId="45788"/>
    <cellStyle name="Normal 7 2 6 5 2" xfId="45789"/>
    <cellStyle name="Normal 7 2 6 6" xfId="45790"/>
    <cellStyle name="Normal 7 2 6 6 2" xfId="45791"/>
    <cellStyle name="Normal 7 2 6 7" xfId="45792"/>
    <cellStyle name="Normal 7 2 6 7 2" xfId="45793"/>
    <cellStyle name="Normal 7 2 6 8" xfId="45794"/>
    <cellStyle name="Normal 7 2 6 9" xfId="45795"/>
    <cellStyle name="Normal 7 2 7" xfId="45796"/>
    <cellStyle name="Normal 7 2 7 10" xfId="45797"/>
    <cellStyle name="Normal 7 2 7 11" xfId="45798"/>
    <cellStyle name="Normal 7 2 7 12" xfId="45799"/>
    <cellStyle name="Normal 7 2 7 13" xfId="45800"/>
    <cellStyle name="Normal 7 2 7 14" xfId="45801"/>
    <cellStyle name="Normal 7 2 7 15" xfId="45802"/>
    <cellStyle name="Normal 7 2 7 16" xfId="45803"/>
    <cellStyle name="Normal 7 2 7 17" xfId="45804"/>
    <cellStyle name="Normal 7 2 7 18" xfId="45805"/>
    <cellStyle name="Normal 7 2 7 2" xfId="45806"/>
    <cellStyle name="Normal 7 2 7 2 10" xfId="45807"/>
    <cellStyle name="Normal 7 2 7 2 11" xfId="45808"/>
    <cellStyle name="Normal 7 2 7 2 12" xfId="45809"/>
    <cellStyle name="Normal 7 2 7 2 13" xfId="45810"/>
    <cellStyle name="Normal 7 2 7 2 2" xfId="45811"/>
    <cellStyle name="Normal 7 2 7 2 2 2" xfId="45812"/>
    <cellStyle name="Normal 7 2 7 2 2 2 2" xfId="45813"/>
    <cellStyle name="Normal 7 2 7 2 2 3" xfId="45814"/>
    <cellStyle name="Normal 7 2 7 2 2 4" xfId="45815"/>
    <cellStyle name="Normal 7 2 7 2 2 5" xfId="45816"/>
    <cellStyle name="Normal 7 2 7 2 3" xfId="45817"/>
    <cellStyle name="Normal 7 2 7 2 3 2" xfId="45818"/>
    <cellStyle name="Normal 7 2 7 2 4" xfId="45819"/>
    <cellStyle name="Normal 7 2 7 2 4 2" xfId="45820"/>
    <cellStyle name="Normal 7 2 7 2 5" xfId="45821"/>
    <cellStyle name="Normal 7 2 7 2 5 2" xfId="45822"/>
    <cellStyle name="Normal 7 2 7 2 6" xfId="45823"/>
    <cellStyle name="Normal 7 2 7 2 6 2" xfId="45824"/>
    <cellStyle name="Normal 7 2 7 2 7" xfId="45825"/>
    <cellStyle name="Normal 7 2 7 2 8" xfId="45826"/>
    <cellStyle name="Normal 7 2 7 2 9" xfId="45827"/>
    <cellStyle name="Normal 7 2 7 3" xfId="45828"/>
    <cellStyle name="Normal 7 2 7 3 2" xfId="45829"/>
    <cellStyle name="Normal 7 2 7 3 2 2" xfId="45830"/>
    <cellStyle name="Normal 7 2 7 3 3" xfId="45831"/>
    <cellStyle name="Normal 7 2 7 3 4" xfId="45832"/>
    <cellStyle name="Normal 7 2 7 3 5" xfId="45833"/>
    <cellStyle name="Normal 7 2 7 4" xfId="45834"/>
    <cellStyle name="Normal 7 2 7 4 2" xfId="45835"/>
    <cellStyle name="Normal 7 2 7 5" xfId="45836"/>
    <cellStyle name="Normal 7 2 7 5 2" xfId="45837"/>
    <cellStyle name="Normal 7 2 7 6" xfId="45838"/>
    <cellStyle name="Normal 7 2 7 6 2" xfId="45839"/>
    <cellStyle name="Normal 7 2 7 7" xfId="45840"/>
    <cellStyle name="Normal 7 2 7 7 2" xfId="45841"/>
    <cellStyle name="Normal 7 2 7 8" xfId="45842"/>
    <cellStyle name="Normal 7 2 7 9" xfId="45843"/>
    <cellStyle name="Normal 7 2 8" xfId="45844"/>
    <cellStyle name="Normal 7 2 8 10" xfId="45845"/>
    <cellStyle name="Normal 7 2 8 11" xfId="45846"/>
    <cellStyle name="Normal 7 2 8 12" xfId="45847"/>
    <cellStyle name="Normal 7 2 8 13" xfId="45848"/>
    <cellStyle name="Normal 7 2 8 14" xfId="45849"/>
    <cellStyle name="Normal 7 2 8 15" xfId="45850"/>
    <cellStyle name="Normal 7 2 8 16" xfId="45851"/>
    <cellStyle name="Normal 7 2 8 2" xfId="45852"/>
    <cellStyle name="Normal 7 2 8 2 2" xfId="45853"/>
    <cellStyle name="Normal 7 2 8 2 2 2" xfId="45854"/>
    <cellStyle name="Normal 7 2 8 2 3" xfId="45855"/>
    <cellStyle name="Normal 7 2 8 2 3 2" xfId="45856"/>
    <cellStyle name="Normal 7 2 8 2 4" xfId="45857"/>
    <cellStyle name="Normal 7 2 8 2 4 2" xfId="45858"/>
    <cellStyle name="Normal 7 2 8 2 5" xfId="45859"/>
    <cellStyle name="Normal 7 2 8 2 5 2" xfId="45860"/>
    <cellStyle name="Normal 7 2 8 2 6" xfId="45861"/>
    <cellStyle name="Normal 7 2 8 2 7" xfId="45862"/>
    <cellStyle name="Normal 7 2 8 2 8" xfId="45863"/>
    <cellStyle name="Normal 7 2 8 2 9" xfId="45864"/>
    <cellStyle name="Normal 7 2 8 3" xfId="45865"/>
    <cellStyle name="Normal 7 2 8 3 2" xfId="45866"/>
    <cellStyle name="Normal 7 2 8 3 2 2" xfId="45867"/>
    <cellStyle name="Normal 7 2 8 3 3" xfId="45868"/>
    <cellStyle name="Normal 7 2 8 3 4" xfId="45869"/>
    <cellStyle name="Normal 7 2 8 3 5" xfId="45870"/>
    <cellStyle name="Normal 7 2 8 4" xfId="45871"/>
    <cellStyle name="Normal 7 2 8 4 2" xfId="45872"/>
    <cellStyle name="Normal 7 2 8 5" xfId="45873"/>
    <cellStyle name="Normal 7 2 8 5 2" xfId="45874"/>
    <cellStyle name="Normal 7 2 8 6" xfId="45875"/>
    <cellStyle name="Normal 7 2 8 6 2" xfId="45876"/>
    <cellStyle name="Normal 7 2 8 7" xfId="45877"/>
    <cellStyle name="Normal 7 2 8 7 2" xfId="45878"/>
    <cellStyle name="Normal 7 2 8 8" xfId="45879"/>
    <cellStyle name="Normal 7 2 8 9" xfId="45880"/>
    <cellStyle name="Normal 7 2 9" xfId="45881"/>
    <cellStyle name="Normal 7 2 9 10" xfId="45882"/>
    <cellStyle name="Normal 7 2 9 11" xfId="45883"/>
    <cellStyle name="Normal 7 2 9 12" xfId="45884"/>
    <cellStyle name="Normal 7 2 9 13" xfId="45885"/>
    <cellStyle name="Normal 7 2 9 14" xfId="45886"/>
    <cellStyle name="Normal 7 2 9 15" xfId="45887"/>
    <cellStyle name="Normal 7 2 9 16" xfId="45888"/>
    <cellStyle name="Normal 7 2 9 2" xfId="45889"/>
    <cellStyle name="Normal 7 2 9 2 2" xfId="45890"/>
    <cellStyle name="Normal 7 2 9 2 2 2" xfId="45891"/>
    <cellStyle name="Normal 7 2 9 2 3" xfId="45892"/>
    <cellStyle name="Normal 7 2 9 2 3 2" xfId="45893"/>
    <cellStyle name="Normal 7 2 9 2 4" xfId="45894"/>
    <cellStyle name="Normal 7 2 9 2 4 2" xfId="45895"/>
    <cellStyle name="Normal 7 2 9 2 5" xfId="45896"/>
    <cellStyle name="Normal 7 2 9 2 5 2" xfId="45897"/>
    <cellStyle name="Normal 7 2 9 2 6" xfId="45898"/>
    <cellStyle name="Normal 7 2 9 2 7" xfId="45899"/>
    <cellStyle name="Normal 7 2 9 2 8" xfId="45900"/>
    <cellStyle name="Normal 7 2 9 2 9" xfId="45901"/>
    <cellStyle name="Normal 7 2 9 3" xfId="45902"/>
    <cellStyle name="Normal 7 2 9 3 2" xfId="45903"/>
    <cellStyle name="Normal 7 2 9 3 2 2" xfId="45904"/>
    <cellStyle name="Normal 7 2 9 3 3" xfId="45905"/>
    <cellStyle name="Normal 7 2 9 3 4" xfId="45906"/>
    <cellStyle name="Normal 7 2 9 3 5" xfId="45907"/>
    <cellStyle name="Normal 7 2 9 4" xfId="45908"/>
    <cellStyle name="Normal 7 2 9 4 2" xfId="45909"/>
    <cellStyle name="Normal 7 2 9 5" xfId="45910"/>
    <cellStyle name="Normal 7 2 9 5 2" xfId="45911"/>
    <cellStyle name="Normal 7 2 9 6" xfId="45912"/>
    <cellStyle name="Normal 7 2 9 6 2" xfId="45913"/>
    <cellStyle name="Normal 7 2 9 7" xfId="45914"/>
    <cellStyle name="Normal 7 2 9 7 2" xfId="45915"/>
    <cellStyle name="Normal 7 2 9 8" xfId="45916"/>
    <cellStyle name="Normal 7 2 9 9" xfId="45917"/>
    <cellStyle name="Normal 7 20" xfId="45918"/>
    <cellStyle name="Normal 7 20 2" xfId="45919"/>
    <cellStyle name="Normal 7 20 2 2" xfId="45920"/>
    <cellStyle name="Normal 7 20 3" xfId="45921"/>
    <cellStyle name="Normal 7 20 3 2" xfId="45922"/>
    <cellStyle name="Normal 7 20 4" xfId="45923"/>
    <cellStyle name="Normal 7 20 4 2" xfId="45924"/>
    <cellStyle name="Normal 7 20 5" xfId="45925"/>
    <cellStyle name="Normal 7 20 5 2" xfId="45926"/>
    <cellStyle name="Normal 7 20 6" xfId="45927"/>
    <cellStyle name="Normal 7 20 7" xfId="45928"/>
    <cellStyle name="Normal 7 20 8" xfId="45929"/>
    <cellStyle name="Normal 7 20 9" xfId="45930"/>
    <cellStyle name="Normal 7 21" xfId="45931"/>
    <cellStyle name="Normal 7 21 2" xfId="45932"/>
    <cellStyle name="Normal 7 21 2 2" xfId="45933"/>
    <cellStyle name="Normal 7 21 3" xfId="45934"/>
    <cellStyle name="Normal 7 21 4" xfId="45935"/>
    <cellStyle name="Normal 7 21 5" xfId="45936"/>
    <cellStyle name="Normal 7 22" xfId="45937"/>
    <cellStyle name="Normal 7 22 2" xfId="45938"/>
    <cellStyle name="Normal 7 23" xfId="45939"/>
    <cellStyle name="Normal 7 23 2" xfId="45940"/>
    <cellStyle name="Normal 7 24" xfId="45941"/>
    <cellStyle name="Normal 7 24 2" xfId="45942"/>
    <cellStyle name="Normal 7 25" xfId="45943"/>
    <cellStyle name="Normal 7 25 2" xfId="45944"/>
    <cellStyle name="Normal 7 26" xfId="45945"/>
    <cellStyle name="Normal 7 27" xfId="45946"/>
    <cellStyle name="Normal 7 28" xfId="45947"/>
    <cellStyle name="Normal 7 29" xfId="45948"/>
    <cellStyle name="Normal 7 3" xfId="1016"/>
    <cellStyle name="Normal 7 3 10" xfId="45950"/>
    <cellStyle name="Normal 7 3 10 10" xfId="45951"/>
    <cellStyle name="Normal 7 3 10 11" xfId="45952"/>
    <cellStyle name="Normal 7 3 10 12" xfId="45953"/>
    <cellStyle name="Normal 7 3 10 13" xfId="45954"/>
    <cellStyle name="Normal 7 3 10 14" xfId="45955"/>
    <cellStyle name="Normal 7 3 10 2" xfId="45956"/>
    <cellStyle name="Normal 7 3 10 2 2" xfId="45957"/>
    <cellStyle name="Normal 7 3 10 2 2 2" xfId="45958"/>
    <cellStyle name="Normal 7 3 10 2 3" xfId="45959"/>
    <cellStyle name="Normal 7 3 10 2 3 2" xfId="45960"/>
    <cellStyle name="Normal 7 3 10 2 4" xfId="45961"/>
    <cellStyle name="Normal 7 3 10 2 4 2" xfId="45962"/>
    <cellStyle name="Normal 7 3 10 2 5" xfId="45963"/>
    <cellStyle name="Normal 7 3 10 2 5 2" xfId="45964"/>
    <cellStyle name="Normal 7 3 10 2 6" xfId="45965"/>
    <cellStyle name="Normal 7 3 10 2 7" xfId="45966"/>
    <cellStyle name="Normal 7 3 10 2 8" xfId="45967"/>
    <cellStyle name="Normal 7 3 10 2 9" xfId="45968"/>
    <cellStyle name="Normal 7 3 10 3" xfId="45969"/>
    <cellStyle name="Normal 7 3 10 3 2" xfId="45970"/>
    <cellStyle name="Normal 7 3 10 3 2 2" xfId="45971"/>
    <cellStyle name="Normal 7 3 10 3 3" xfId="45972"/>
    <cellStyle name="Normal 7 3 10 3 4" xfId="45973"/>
    <cellStyle name="Normal 7 3 10 3 5" xfId="45974"/>
    <cellStyle name="Normal 7 3 10 4" xfId="45975"/>
    <cellStyle name="Normal 7 3 10 4 2" xfId="45976"/>
    <cellStyle name="Normal 7 3 10 5" xfId="45977"/>
    <cellStyle name="Normal 7 3 10 5 2" xfId="45978"/>
    <cellStyle name="Normal 7 3 10 6" xfId="45979"/>
    <cellStyle name="Normal 7 3 10 6 2" xfId="45980"/>
    <cellStyle name="Normal 7 3 10 7" xfId="45981"/>
    <cellStyle name="Normal 7 3 10 7 2" xfId="45982"/>
    <cellStyle name="Normal 7 3 10 8" xfId="45983"/>
    <cellStyle name="Normal 7 3 10 9" xfId="45984"/>
    <cellStyle name="Normal 7 3 11" xfId="45985"/>
    <cellStyle name="Normal 7 3 11 2" xfId="45986"/>
    <cellStyle name="Normal 7 3 11 2 2" xfId="45987"/>
    <cellStyle name="Normal 7 3 11 3" xfId="45988"/>
    <cellStyle name="Normal 7 3 11 3 2" xfId="45989"/>
    <cellStyle name="Normal 7 3 11 4" xfId="45990"/>
    <cellStyle name="Normal 7 3 11 4 2" xfId="45991"/>
    <cellStyle name="Normal 7 3 11 5" xfId="45992"/>
    <cellStyle name="Normal 7 3 11 5 2" xfId="45993"/>
    <cellStyle name="Normal 7 3 11 6" xfId="45994"/>
    <cellStyle name="Normal 7 3 11 7" xfId="45995"/>
    <cellStyle name="Normal 7 3 11 8" xfId="45996"/>
    <cellStyle name="Normal 7 3 11 9" xfId="45997"/>
    <cellStyle name="Normal 7 3 12" xfId="45998"/>
    <cellStyle name="Normal 7 3 12 2" xfId="45999"/>
    <cellStyle name="Normal 7 3 12 2 2" xfId="46000"/>
    <cellStyle name="Normal 7 3 12 3" xfId="46001"/>
    <cellStyle name="Normal 7 3 12 4" xfId="46002"/>
    <cellStyle name="Normal 7 3 12 5" xfId="46003"/>
    <cellStyle name="Normal 7 3 13" xfId="46004"/>
    <cellStyle name="Normal 7 3 13 2" xfId="46005"/>
    <cellStyle name="Normal 7 3 14" xfId="46006"/>
    <cellStyle name="Normal 7 3 14 2" xfId="46007"/>
    <cellStyle name="Normal 7 3 15" xfId="46008"/>
    <cellStyle name="Normal 7 3 15 2" xfId="46009"/>
    <cellStyle name="Normal 7 3 16" xfId="46010"/>
    <cellStyle name="Normal 7 3 16 2" xfId="46011"/>
    <cellStyle name="Normal 7 3 17" xfId="46012"/>
    <cellStyle name="Normal 7 3 18" xfId="46013"/>
    <cellStyle name="Normal 7 3 19" xfId="46014"/>
    <cellStyle name="Normal 7 3 2" xfId="45949"/>
    <cellStyle name="Normal 7 3 2 10" xfId="46016"/>
    <cellStyle name="Normal 7 3 2 10 2" xfId="46017"/>
    <cellStyle name="Normal 7 3 2 11" xfId="46018"/>
    <cellStyle name="Normal 7 3 2 11 2" xfId="46019"/>
    <cellStyle name="Normal 7 3 2 12" xfId="46020"/>
    <cellStyle name="Normal 7 3 2 13" xfId="46021"/>
    <cellStyle name="Normal 7 3 2 14" xfId="46022"/>
    <cellStyle name="Normal 7 3 2 15" xfId="46023"/>
    <cellStyle name="Normal 7 3 2 16" xfId="46024"/>
    <cellStyle name="Normal 7 3 2 17" xfId="46025"/>
    <cellStyle name="Normal 7 3 2 18" xfId="46026"/>
    <cellStyle name="Normal 7 3 2 19" xfId="46027"/>
    <cellStyle name="Normal 7 3 2 2" xfId="46028"/>
    <cellStyle name="Normal 7 3 2 2 10" xfId="46029"/>
    <cellStyle name="Normal 7 3 2 2 11" xfId="46030"/>
    <cellStyle name="Normal 7 3 2 2 12" xfId="46031"/>
    <cellStyle name="Normal 7 3 2 2 13" xfId="46032"/>
    <cellStyle name="Normal 7 3 2 2 14" xfId="46033"/>
    <cellStyle name="Normal 7 3 2 2 15" xfId="46034"/>
    <cellStyle name="Normal 7 3 2 2 16" xfId="46035"/>
    <cellStyle name="Normal 7 3 2 2 2" xfId="46036"/>
    <cellStyle name="Normal 7 3 2 2 2 2" xfId="46037"/>
    <cellStyle name="Normal 7 3 2 2 2 2 2" xfId="46038"/>
    <cellStyle name="Normal 7 3 2 2 2 3" xfId="46039"/>
    <cellStyle name="Normal 7 3 2 2 2 3 2" xfId="46040"/>
    <cellStyle name="Normal 7 3 2 2 2 4" xfId="46041"/>
    <cellStyle name="Normal 7 3 2 2 2 4 2" xfId="46042"/>
    <cellStyle name="Normal 7 3 2 2 2 5" xfId="46043"/>
    <cellStyle name="Normal 7 3 2 2 2 5 2" xfId="46044"/>
    <cellStyle name="Normal 7 3 2 2 2 6" xfId="46045"/>
    <cellStyle name="Normal 7 3 2 2 2 7" xfId="46046"/>
    <cellStyle name="Normal 7 3 2 2 2 8" xfId="46047"/>
    <cellStyle name="Normal 7 3 2 2 2 9" xfId="46048"/>
    <cellStyle name="Normal 7 3 2 2 3" xfId="46049"/>
    <cellStyle name="Normal 7 3 2 2 3 2" xfId="46050"/>
    <cellStyle name="Normal 7 3 2 2 3 2 2" xfId="46051"/>
    <cellStyle name="Normal 7 3 2 2 3 3" xfId="46052"/>
    <cellStyle name="Normal 7 3 2 2 3 4" xfId="46053"/>
    <cellStyle name="Normal 7 3 2 2 3 5" xfId="46054"/>
    <cellStyle name="Normal 7 3 2 2 4" xfId="46055"/>
    <cellStyle name="Normal 7 3 2 2 4 2" xfId="46056"/>
    <cellStyle name="Normal 7 3 2 2 5" xfId="46057"/>
    <cellStyle name="Normal 7 3 2 2 5 2" xfId="46058"/>
    <cellStyle name="Normal 7 3 2 2 6" xfId="46059"/>
    <cellStyle name="Normal 7 3 2 2 6 2" xfId="46060"/>
    <cellStyle name="Normal 7 3 2 2 7" xfId="46061"/>
    <cellStyle name="Normal 7 3 2 2 7 2" xfId="46062"/>
    <cellStyle name="Normal 7 3 2 2 8" xfId="46063"/>
    <cellStyle name="Normal 7 3 2 2 9" xfId="46064"/>
    <cellStyle name="Normal 7 3 2 20" xfId="46065"/>
    <cellStyle name="Normal 7 3 2 3" xfId="46066"/>
    <cellStyle name="Normal 7 3 2 3 10" xfId="46067"/>
    <cellStyle name="Normal 7 3 2 3 11" xfId="46068"/>
    <cellStyle name="Normal 7 3 2 3 12" xfId="46069"/>
    <cellStyle name="Normal 7 3 2 3 13" xfId="46070"/>
    <cellStyle name="Normal 7 3 2 3 14" xfId="46071"/>
    <cellStyle name="Normal 7 3 2 3 15" xfId="46072"/>
    <cellStyle name="Normal 7 3 2 3 16" xfId="46073"/>
    <cellStyle name="Normal 7 3 2 3 2" xfId="46074"/>
    <cellStyle name="Normal 7 3 2 3 2 2" xfId="46075"/>
    <cellStyle name="Normal 7 3 2 3 2 2 2" xfId="46076"/>
    <cellStyle name="Normal 7 3 2 3 2 3" xfId="46077"/>
    <cellStyle name="Normal 7 3 2 3 2 3 2" xfId="46078"/>
    <cellStyle name="Normal 7 3 2 3 2 4" xfId="46079"/>
    <cellStyle name="Normal 7 3 2 3 2 4 2" xfId="46080"/>
    <cellStyle name="Normal 7 3 2 3 2 5" xfId="46081"/>
    <cellStyle name="Normal 7 3 2 3 2 5 2" xfId="46082"/>
    <cellStyle name="Normal 7 3 2 3 2 6" xfId="46083"/>
    <cellStyle name="Normal 7 3 2 3 2 7" xfId="46084"/>
    <cellStyle name="Normal 7 3 2 3 2 8" xfId="46085"/>
    <cellStyle name="Normal 7 3 2 3 2 9" xfId="46086"/>
    <cellStyle name="Normal 7 3 2 3 3" xfId="46087"/>
    <cellStyle name="Normal 7 3 2 3 3 2" xfId="46088"/>
    <cellStyle name="Normal 7 3 2 3 3 2 2" xfId="46089"/>
    <cellStyle name="Normal 7 3 2 3 3 3" xfId="46090"/>
    <cellStyle name="Normal 7 3 2 3 3 4" xfId="46091"/>
    <cellStyle name="Normal 7 3 2 3 3 5" xfId="46092"/>
    <cellStyle name="Normal 7 3 2 3 4" xfId="46093"/>
    <cellStyle name="Normal 7 3 2 3 4 2" xfId="46094"/>
    <cellStyle name="Normal 7 3 2 3 5" xfId="46095"/>
    <cellStyle name="Normal 7 3 2 3 5 2" xfId="46096"/>
    <cellStyle name="Normal 7 3 2 3 6" xfId="46097"/>
    <cellStyle name="Normal 7 3 2 3 6 2" xfId="46098"/>
    <cellStyle name="Normal 7 3 2 3 7" xfId="46099"/>
    <cellStyle name="Normal 7 3 2 3 7 2" xfId="46100"/>
    <cellStyle name="Normal 7 3 2 3 8" xfId="46101"/>
    <cellStyle name="Normal 7 3 2 3 9" xfId="46102"/>
    <cellStyle name="Normal 7 3 2 4" xfId="46103"/>
    <cellStyle name="Normal 7 3 2 4 10" xfId="46104"/>
    <cellStyle name="Normal 7 3 2 4 11" xfId="46105"/>
    <cellStyle name="Normal 7 3 2 4 12" xfId="46106"/>
    <cellStyle name="Normal 7 3 2 4 13" xfId="46107"/>
    <cellStyle name="Normal 7 3 2 4 14" xfId="46108"/>
    <cellStyle name="Normal 7 3 2 4 15" xfId="46109"/>
    <cellStyle name="Normal 7 3 2 4 2" xfId="46110"/>
    <cellStyle name="Normal 7 3 2 4 2 2" xfId="46111"/>
    <cellStyle name="Normal 7 3 2 4 2 2 2" xfId="46112"/>
    <cellStyle name="Normal 7 3 2 4 2 3" xfId="46113"/>
    <cellStyle name="Normal 7 3 2 4 2 3 2" xfId="46114"/>
    <cellStyle name="Normal 7 3 2 4 2 4" xfId="46115"/>
    <cellStyle name="Normal 7 3 2 4 2 4 2" xfId="46116"/>
    <cellStyle name="Normal 7 3 2 4 2 5" xfId="46117"/>
    <cellStyle name="Normal 7 3 2 4 2 5 2" xfId="46118"/>
    <cellStyle name="Normal 7 3 2 4 2 6" xfId="46119"/>
    <cellStyle name="Normal 7 3 2 4 2 7" xfId="46120"/>
    <cellStyle name="Normal 7 3 2 4 2 8" xfId="46121"/>
    <cellStyle name="Normal 7 3 2 4 2 9" xfId="46122"/>
    <cellStyle name="Normal 7 3 2 4 3" xfId="46123"/>
    <cellStyle name="Normal 7 3 2 4 3 2" xfId="46124"/>
    <cellStyle name="Normal 7 3 2 4 3 2 2" xfId="46125"/>
    <cellStyle name="Normal 7 3 2 4 3 3" xfId="46126"/>
    <cellStyle name="Normal 7 3 2 4 3 4" xfId="46127"/>
    <cellStyle name="Normal 7 3 2 4 3 5" xfId="46128"/>
    <cellStyle name="Normal 7 3 2 4 4" xfId="46129"/>
    <cellStyle name="Normal 7 3 2 4 4 2" xfId="46130"/>
    <cellStyle name="Normal 7 3 2 4 5" xfId="46131"/>
    <cellStyle name="Normal 7 3 2 4 5 2" xfId="46132"/>
    <cellStyle name="Normal 7 3 2 4 6" xfId="46133"/>
    <cellStyle name="Normal 7 3 2 4 6 2" xfId="46134"/>
    <cellStyle name="Normal 7 3 2 4 7" xfId="46135"/>
    <cellStyle name="Normal 7 3 2 4 7 2" xfId="46136"/>
    <cellStyle name="Normal 7 3 2 4 8" xfId="46137"/>
    <cellStyle name="Normal 7 3 2 4 9" xfId="46138"/>
    <cellStyle name="Normal 7 3 2 5" xfId="46139"/>
    <cellStyle name="Normal 7 3 2 5 10" xfId="46140"/>
    <cellStyle name="Normal 7 3 2 5 11" xfId="46141"/>
    <cellStyle name="Normal 7 3 2 5 12" xfId="46142"/>
    <cellStyle name="Normal 7 3 2 5 13" xfId="46143"/>
    <cellStyle name="Normal 7 3 2 5 14" xfId="46144"/>
    <cellStyle name="Normal 7 3 2 5 2" xfId="46145"/>
    <cellStyle name="Normal 7 3 2 5 2 2" xfId="46146"/>
    <cellStyle name="Normal 7 3 2 5 2 2 2" xfId="46147"/>
    <cellStyle name="Normal 7 3 2 5 2 3" xfId="46148"/>
    <cellStyle name="Normal 7 3 2 5 2 3 2" xfId="46149"/>
    <cellStyle name="Normal 7 3 2 5 2 4" xfId="46150"/>
    <cellStyle name="Normal 7 3 2 5 2 4 2" xfId="46151"/>
    <cellStyle name="Normal 7 3 2 5 2 5" xfId="46152"/>
    <cellStyle name="Normal 7 3 2 5 2 5 2" xfId="46153"/>
    <cellStyle name="Normal 7 3 2 5 2 6" xfId="46154"/>
    <cellStyle name="Normal 7 3 2 5 2 7" xfId="46155"/>
    <cellStyle name="Normal 7 3 2 5 2 8" xfId="46156"/>
    <cellStyle name="Normal 7 3 2 5 2 9" xfId="46157"/>
    <cellStyle name="Normal 7 3 2 5 3" xfId="46158"/>
    <cellStyle name="Normal 7 3 2 5 3 2" xfId="46159"/>
    <cellStyle name="Normal 7 3 2 5 3 2 2" xfId="46160"/>
    <cellStyle name="Normal 7 3 2 5 3 3" xfId="46161"/>
    <cellStyle name="Normal 7 3 2 5 3 4" xfId="46162"/>
    <cellStyle name="Normal 7 3 2 5 3 5" xfId="46163"/>
    <cellStyle name="Normal 7 3 2 5 4" xfId="46164"/>
    <cellStyle name="Normal 7 3 2 5 4 2" xfId="46165"/>
    <cellStyle name="Normal 7 3 2 5 5" xfId="46166"/>
    <cellStyle name="Normal 7 3 2 5 5 2" xfId="46167"/>
    <cellStyle name="Normal 7 3 2 5 6" xfId="46168"/>
    <cellStyle name="Normal 7 3 2 5 6 2" xfId="46169"/>
    <cellStyle name="Normal 7 3 2 5 7" xfId="46170"/>
    <cellStyle name="Normal 7 3 2 5 7 2" xfId="46171"/>
    <cellStyle name="Normal 7 3 2 5 8" xfId="46172"/>
    <cellStyle name="Normal 7 3 2 5 9" xfId="46173"/>
    <cellStyle name="Normal 7 3 2 6" xfId="46174"/>
    <cellStyle name="Normal 7 3 2 6 2" xfId="46175"/>
    <cellStyle name="Normal 7 3 2 6 2 2" xfId="46176"/>
    <cellStyle name="Normal 7 3 2 6 3" xfId="46177"/>
    <cellStyle name="Normal 7 3 2 6 3 2" xfId="46178"/>
    <cellStyle name="Normal 7 3 2 6 4" xfId="46179"/>
    <cellStyle name="Normal 7 3 2 6 4 2" xfId="46180"/>
    <cellStyle name="Normal 7 3 2 6 5" xfId="46181"/>
    <cellStyle name="Normal 7 3 2 6 5 2" xfId="46182"/>
    <cellStyle name="Normal 7 3 2 6 6" xfId="46183"/>
    <cellStyle name="Normal 7 3 2 6 7" xfId="46184"/>
    <cellStyle name="Normal 7 3 2 6 8" xfId="46185"/>
    <cellStyle name="Normal 7 3 2 6 9" xfId="46186"/>
    <cellStyle name="Normal 7 3 2 7" xfId="46187"/>
    <cellStyle name="Normal 7 3 2 7 2" xfId="46188"/>
    <cellStyle name="Normal 7 3 2 7 2 2" xfId="46189"/>
    <cellStyle name="Normal 7 3 2 7 3" xfId="46190"/>
    <cellStyle name="Normal 7 3 2 7 4" xfId="46191"/>
    <cellStyle name="Normal 7 3 2 7 5" xfId="46192"/>
    <cellStyle name="Normal 7 3 2 8" xfId="46193"/>
    <cellStyle name="Normal 7 3 2 8 2" xfId="46194"/>
    <cellStyle name="Normal 7 3 2 9" xfId="46195"/>
    <cellStyle name="Normal 7 3 2 9 2" xfId="46196"/>
    <cellStyle name="Normal 7 3 20" xfId="46197"/>
    <cellStyle name="Normal 7 3 21" xfId="46198"/>
    <cellStyle name="Normal 7 3 22" xfId="46199"/>
    <cellStyle name="Normal 7 3 23" xfId="46200"/>
    <cellStyle name="Normal 7 3 24" xfId="46201"/>
    <cellStyle name="Normal 7 3 25" xfId="46202"/>
    <cellStyle name="Normal 7 3 3" xfId="46203"/>
    <cellStyle name="Normal 7 3 3 10" xfId="46204"/>
    <cellStyle name="Normal 7 3 3 11" xfId="46205"/>
    <cellStyle name="Normal 7 3 3 12" xfId="46206"/>
    <cellStyle name="Normal 7 3 3 13" xfId="46207"/>
    <cellStyle name="Normal 7 3 3 14" xfId="46208"/>
    <cellStyle name="Normal 7 3 3 15" xfId="46209"/>
    <cellStyle name="Normal 7 3 3 16" xfId="46210"/>
    <cellStyle name="Normal 7 3 3 17" xfId="46211"/>
    <cellStyle name="Normal 7 3 3 18" xfId="46212"/>
    <cellStyle name="Normal 7 3 3 2" xfId="46213"/>
    <cellStyle name="Normal 7 3 3 2 10" xfId="46214"/>
    <cellStyle name="Normal 7 3 3 2 11" xfId="46215"/>
    <cellStyle name="Normal 7 3 3 2 12" xfId="46216"/>
    <cellStyle name="Normal 7 3 3 2 13" xfId="46217"/>
    <cellStyle name="Normal 7 3 3 2 2" xfId="46218"/>
    <cellStyle name="Normal 7 3 3 2 2 2" xfId="46219"/>
    <cellStyle name="Normal 7 3 3 2 2 2 2" xfId="46220"/>
    <cellStyle name="Normal 7 3 3 2 2 3" xfId="46221"/>
    <cellStyle name="Normal 7 3 3 2 2 4" xfId="46222"/>
    <cellStyle name="Normal 7 3 3 2 2 5" xfId="46223"/>
    <cellStyle name="Normal 7 3 3 2 3" xfId="46224"/>
    <cellStyle name="Normal 7 3 3 2 3 2" xfId="46225"/>
    <cellStyle name="Normal 7 3 3 2 4" xfId="46226"/>
    <cellStyle name="Normal 7 3 3 2 4 2" xfId="46227"/>
    <cellStyle name="Normal 7 3 3 2 5" xfId="46228"/>
    <cellStyle name="Normal 7 3 3 2 5 2" xfId="46229"/>
    <cellStyle name="Normal 7 3 3 2 6" xfId="46230"/>
    <cellStyle name="Normal 7 3 3 2 6 2" xfId="46231"/>
    <cellStyle name="Normal 7 3 3 2 7" xfId="46232"/>
    <cellStyle name="Normal 7 3 3 2 8" xfId="46233"/>
    <cellStyle name="Normal 7 3 3 2 9" xfId="46234"/>
    <cellStyle name="Normal 7 3 3 3" xfId="46235"/>
    <cellStyle name="Normal 7 3 3 3 2" xfId="46236"/>
    <cellStyle name="Normal 7 3 3 3 2 2" xfId="46237"/>
    <cellStyle name="Normal 7 3 3 3 3" xfId="46238"/>
    <cellStyle name="Normal 7 3 3 3 4" xfId="46239"/>
    <cellStyle name="Normal 7 3 3 3 5" xfId="46240"/>
    <cellStyle name="Normal 7 3 3 4" xfId="46241"/>
    <cellStyle name="Normal 7 3 3 4 2" xfId="46242"/>
    <cellStyle name="Normal 7 3 3 5" xfId="46243"/>
    <cellStyle name="Normal 7 3 3 5 2" xfId="46244"/>
    <cellStyle name="Normal 7 3 3 6" xfId="46245"/>
    <cellStyle name="Normal 7 3 3 6 2" xfId="46246"/>
    <cellStyle name="Normal 7 3 3 7" xfId="46247"/>
    <cellStyle name="Normal 7 3 3 7 2" xfId="46248"/>
    <cellStyle name="Normal 7 3 3 8" xfId="46249"/>
    <cellStyle name="Normal 7 3 3 9" xfId="46250"/>
    <cellStyle name="Normal 7 3 4" xfId="46251"/>
    <cellStyle name="Normal 7 3 4 10" xfId="46252"/>
    <cellStyle name="Normal 7 3 4 11" xfId="46253"/>
    <cellStyle name="Normal 7 3 4 12" xfId="46254"/>
    <cellStyle name="Normal 7 3 4 13" xfId="46255"/>
    <cellStyle name="Normal 7 3 4 14" xfId="46256"/>
    <cellStyle name="Normal 7 3 4 15" xfId="46257"/>
    <cellStyle name="Normal 7 3 4 16" xfId="46258"/>
    <cellStyle name="Normal 7 3 4 17" xfId="46259"/>
    <cellStyle name="Normal 7 3 4 18" xfId="46260"/>
    <cellStyle name="Normal 7 3 4 2" xfId="46261"/>
    <cellStyle name="Normal 7 3 4 2 10" xfId="46262"/>
    <cellStyle name="Normal 7 3 4 2 11" xfId="46263"/>
    <cellStyle name="Normal 7 3 4 2 12" xfId="46264"/>
    <cellStyle name="Normal 7 3 4 2 13" xfId="46265"/>
    <cellStyle name="Normal 7 3 4 2 2" xfId="46266"/>
    <cellStyle name="Normal 7 3 4 2 2 2" xfId="46267"/>
    <cellStyle name="Normal 7 3 4 2 2 2 2" xfId="46268"/>
    <cellStyle name="Normal 7 3 4 2 2 3" xfId="46269"/>
    <cellStyle name="Normal 7 3 4 2 2 4" xfId="46270"/>
    <cellStyle name="Normal 7 3 4 2 2 5" xfId="46271"/>
    <cellStyle name="Normal 7 3 4 2 3" xfId="46272"/>
    <cellStyle name="Normal 7 3 4 2 3 2" xfId="46273"/>
    <cellStyle name="Normal 7 3 4 2 4" xfId="46274"/>
    <cellStyle name="Normal 7 3 4 2 4 2" xfId="46275"/>
    <cellStyle name="Normal 7 3 4 2 5" xfId="46276"/>
    <cellStyle name="Normal 7 3 4 2 5 2" xfId="46277"/>
    <cellStyle name="Normal 7 3 4 2 6" xfId="46278"/>
    <cellStyle name="Normal 7 3 4 2 6 2" xfId="46279"/>
    <cellStyle name="Normal 7 3 4 2 7" xfId="46280"/>
    <cellStyle name="Normal 7 3 4 2 8" xfId="46281"/>
    <cellStyle name="Normal 7 3 4 2 9" xfId="46282"/>
    <cellStyle name="Normal 7 3 4 3" xfId="46283"/>
    <cellStyle name="Normal 7 3 4 3 2" xfId="46284"/>
    <cellStyle name="Normal 7 3 4 3 2 2" xfId="46285"/>
    <cellStyle name="Normal 7 3 4 3 3" xfId="46286"/>
    <cellStyle name="Normal 7 3 4 3 4" xfId="46287"/>
    <cellStyle name="Normal 7 3 4 3 5" xfId="46288"/>
    <cellStyle name="Normal 7 3 4 4" xfId="46289"/>
    <cellStyle name="Normal 7 3 4 4 2" xfId="46290"/>
    <cellStyle name="Normal 7 3 4 5" xfId="46291"/>
    <cellStyle name="Normal 7 3 4 5 2" xfId="46292"/>
    <cellStyle name="Normal 7 3 4 6" xfId="46293"/>
    <cellStyle name="Normal 7 3 4 6 2" xfId="46294"/>
    <cellStyle name="Normal 7 3 4 7" xfId="46295"/>
    <cellStyle name="Normal 7 3 4 7 2" xfId="46296"/>
    <cellStyle name="Normal 7 3 4 8" xfId="46297"/>
    <cellStyle name="Normal 7 3 4 9" xfId="46298"/>
    <cellStyle name="Normal 7 3 5" xfId="46299"/>
    <cellStyle name="Normal 7 3 5 10" xfId="46300"/>
    <cellStyle name="Normal 7 3 5 11" xfId="46301"/>
    <cellStyle name="Normal 7 3 5 12" xfId="46302"/>
    <cellStyle name="Normal 7 3 5 13" xfId="46303"/>
    <cellStyle name="Normal 7 3 5 14" xfId="46304"/>
    <cellStyle name="Normal 7 3 5 15" xfId="46305"/>
    <cellStyle name="Normal 7 3 5 16" xfId="46306"/>
    <cellStyle name="Normal 7 3 5 17" xfId="46307"/>
    <cellStyle name="Normal 7 3 5 18" xfId="46308"/>
    <cellStyle name="Normal 7 3 5 2" xfId="46309"/>
    <cellStyle name="Normal 7 3 5 2 10" xfId="46310"/>
    <cellStyle name="Normal 7 3 5 2 11" xfId="46311"/>
    <cellStyle name="Normal 7 3 5 2 12" xfId="46312"/>
    <cellStyle name="Normal 7 3 5 2 13" xfId="46313"/>
    <cellStyle name="Normal 7 3 5 2 2" xfId="46314"/>
    <cellStyle name="Normal 7 3 5 2 2 2" xfId="46315"/>
    <cellStyle name="Normal 7 3 5 2 2 2 2" xfId="46316"/>
    <cellStyle name="Normal 7 3 5 2 2 3" xfId="46317"/>
    <cellStyle name="Normal 7 3 5 2 2 4" xfId="46318"/>
    <cellStyle name="Normal 7 3 5 2 2 5" xfId="46319"/>
    <cellStyle name="Normal 7 3 5 2 3" xfId="46320"/>
    <cellStyle name="Normal 7 3 5 2 3 2" xfId="46321"/>
    <cellStyle name="Normal 7 3 5 2 4" xfId="46322"/>
    <cellStyle name="Normal 7 3 5 2 4 2" xfId="46323"/>
    <cellStyle name="Normal 7 3 5 2 5" xfId="46324"/>
    <cellStyle name="Normal 7 3 5 2 5 2" xfId="46325"/>
    <cellStyle name="Normal 7 3 5 2 6" xfId="46326"/>
    <cellStyle name="Normal 7 3 5 2 6 2" xfId="46327"/>
    <cellStyle name="Normal 7 3 5 2 7" xfId="46328"/>
    <cellStyle name="Normal 7 3 5 2 8" xfId="46329"/>
    <cellStyle name="Normal 7 3 5 2 9" xfId="46330"/>
    <cellStyle name="Normal 7 3 5 3" xfId="46331"/>
    <cellStyle name="Normal 7 3 5 3 2" xfId="46332"/>
    <cellStyle name="Normal 7 3 5 3 2 2" xfId="46333"/>
    <cellStyle name="Normal 7 3 5 3 3" xfId="46334"/>
    <cellStyle name="Normal 7 3 5 3 4" xfId="46335"/>
    <cellStyle name="Normal 7 3 5 3 5" xfId="46336"/>
    <cellStyle name="Normal 7 3 5 4" xfId="46337"/>
    <cellStyle name="Normal 7 3 5 4 2" xfId="46338"/>
    <cellStyle name="Normal 7 3 5 5" xfId="46339"/>
    <cellStyle name="Normal 7 3 5 5 2" xfId="46340"/>
    <cellStyle name="Normal 7 3 5 6" xfId="46341"/>
    <cellStyle name="Normal 7 3 5 6 2" xfId="46342"/>
    <cellStyle name="Normal 7 3 5 7" xfId="46343"/>
    <cellStyle name="Normal 7 3 5 7 2" xfId="46344"/>
    <cellStyle name="Normal 7 3 5 8" xfId="46345"/>
    <cellStyle name="Normal 7 3 5 9" xfId="46346"/>
    <cellStyle name="Normal 7 3 6" xfId="46347"/>
    <cellStyle name="Normal 7 3 6 10" xfId="46348"/>
    <cellStyle name="Normal 7 3 6 11" xfId="46349"/>
    <cellStyle name="Normal 7 3 6 12" xfId="46350"/>
    <cellStyle name="Normal 7 3 6 13" xfId="46351"/>
    <cellStyle name="Normal 7 3 6 14" xfId="46352"/>
    <cellStyle name="Normal 7 3 6 15" xfId="46353"/>
    <cellStyle name="Normal 7 3 6 16" xfId="46354"/>
    <cellStyle name="Normal 7 3 6 17" xfId="46355"/>
    <cellStyle name="Normal 7 3 6 18" xfId="46356"/>
    <cellStyle name="Normal 7 3 6 2" xfId="46357"/>
    <cellStyle name="Normal 7 3 6 2 10" xfId="46358"/>
    <cellStyle name="Normal 7 3 6 2 11" xfId="46359"/>
    <cellStyle name="Normal 7 3 6 2 12" xfId="46360"/>
    <cellStyle name="Normal 7 3 6 2 13" xfId="46361"/>
    <cellStyle name="Normal 7 3 6 2 2" xfId="46362"/>
    <cellStyle name="Normal 7 3 6 2 2 2" xfId="46363"/>
    <cellStyle name="Normal 7 3 6 2 2 2 2" xfId="46364"/>
    <cellStyle name="Normal 7 3 6 2 2 3" xfId="46365"/>
    <cellStyle name="Normal 7 3 6 2 2 4" xfId="46366"/>
    <cellStyle name="Normal 7 3 6 2 2 5" xfId="46367"/>
    <cellStyle name="Normal 7 3 6 2 3" xfId="46368"/>
    <cellStyle name="Normal 7 3 6 2 3 2" xfId="46369"/>
    <cellStyle name="Normal 7 3 6 2 4" xfId="46370"/>
    <cellStyle name="Normal 7 3 6 2 4 2" xfId="46371"/>
    <cellStyle name="Normal 7 3 6 2 5" xfId="46372"/>
    <cellStyle name="Normal 7 3 6 2 5 2" xfId="46373"/>
    <cellStyle name="Normal 7 3 6 2 6" xfId="46374"/>
    <cellStyle name="Normal 7 3 6 2 6 2" xfId="46375"/>
    <cellStyle name="Normal 7 3 6 2 7" xfId="46376"/>
    <cellStyle name="Normal 7 3 6 2 8" xfId="46377"/>
    <cellStyle name="Normal 7 3 6 2 9" xfId="46378"/>
    <cellStyle name="Normal 7 3 6 3" xfId="46379"/>
    <cellStyle name="Normal 7 3 6 3 2" xfId="46380"/>
    <cellStyle name="Normal 7 3 6 3 2 2" xfId="46381"/>
    <cellStyle name="Normal 7 3 6 3 3" xfId="46382"/>
    <cellStyle name="Normal 7 3 6 3 4" xfId="46383"/>
    <cellStyle name="Normal 7 3 6 3 5" xfId="46384"/>
    <cellStyle name="Normal 7 3 6 4" xfId="46385"/>
    <cellStyle name="Normal 7 3 6 4 2" xfId="46386"/>
    <cellStyle name="Normal 7 3 6 5" xfId="46387"/>
    <cellStyle name="Normal 7 3 6 5 2" xfId="46388"/>
    <cellStyle name="Normal 7 3 6 6" xfId="46389"/>
    <cellStyle name="Normal 7 3 6 6 2" xfId="46390"/>
    <cellStyle name="Normal 7 3 6 7" xfId="46391"/>
    <cellStyle name="Normal 7 3 6 7 2" xfId="46392"/>
    <cellStyle name="Normal 7 3 6 8" xfId="46393"/>
    <cellStyle name="Normal 7 3 6 9" xfId="46394"/>
    <cellStyle name="Normal 7 3 7" xfId="46395"/>
    <cellStyle name="Normal 7 3 7 10" xfId="46396"/>
    <cellStyle name="Normal 7 3 7 11" xfId="46397"/>
    <cellStyle name="Normal 7 3 7 12" xfId="46398"/>
    <cellStyle name="Normal 7 3 7 13" xfId="46399"/>
    <cellStyle name="Normal 7 3 7 14" xfId="46400"/>
    <cellStyle name="Normal 7 3 7 15" xfId="46401"/>
    <cellStyle name="Normal 7 3 7 16" xfId="46402"/>
    <cellStyle name="Normal 7 3 7 17" xfId="46403"/>
    <cellStyle name="Normal 7 3 7 18" xfId="46404"/>
    <cellStyle name="Normal 7 3 7 2" xfId="46405"/>
    <cellStyle name="Normal 7 3 7 2 10" xfId="46406"/>
    <cellStyle name="Normal 7 3 7 2 11" xfId="46407"/>
    <cellStyle name="Normal 7 3 7 2 12" xfId="46408"/>
    <cellStyle name="Normal 7 3 7 2 13" xfId="46409"/>
    <cellStyle name="Normal 7 3 7 2 2" xfId="46410"/>
    <cellStyle name="Normal 7 3 7 2 2 2" xfId="46411"/>
    <cellStyle name="Normal 7 3 7 2 2 2 2" xfId="46412"/>
    <cellStyle name="Normal 7 3 7 2 2 3" xfId="46413"/>
    <cellStyle name="Normal 7 3 7 2 2 4" xfId="46414"/>
    <cellStyle name="Normal 7 3 7 2 2 5" xfId="46415"/>
    <cellStyle name="Normal 7 3 7 2 3" xfId="46416"/>
    <cellStyle name="Normal 7 3 7 2 3 2" xfId="46417"/>
    <cellStyle name="Normal 7 3 7 2 4" xfId="46418"/>
    <cellStyle name="Normal 7 3 7 2 4 2" xfId="46419"/>
    <cellStyle name="Normal 7 3 7 2 5" xfId="46420"/>
    <cellStyle name="Normal 7 3 7 2 5 2" xfId="46421"/>
    <cellStyle name="Normal 7 3 7 2 6" xfId="46422"/>
    <cellStyle name="Normal 7 3 7 2 6 2" xfId="46423"/>
    <cellStyle name="Normal 7 3 7 2 7" xfId="46424"/>
    <cellStyle name="Normal 7 3 7 2 8" xfId="46425"/>
    <cellStyle name="Normal 7 3 7 2 9" xfId="46426"/>
    <cellStyle name="Normal 7 3 7 3" xfId="46427"/>
    <cellStyle name="Normal 7 3 7 3 2" xfId="46428"/>
    <cellStyle name="Normal 7 3 7 3 2 2" xfId="46429"/>
    <cellStyle name="Normal 7 3 7 3 3" xfId="46430"/>
    <cellStyle name="Normal 7 3 7 3 4" xfId="46431"/>
    <cellStyle name="Normal 7 3 7 3 5" xfId="46432"/>
    <cellStyle name="Normal 7 3 7 4" xfId="46433"/>
    <cellStyle name="Normal 7 3 7 4 2" xfId="46434"/>
    <cellStyle name="Normal 7 3 7 5" xfId="46435"/>
    <cellStyle name="Normal 7 3 7 5 2" xfId="46436"/>
    <cellStyle name="Normal 7 3 7 6" xfId="46437"/>
    <cellStyle name="Normal 7 3 7 6 2" xfId="46438"/>
    <cellStyle name="Normal 7 3 7 7" xfId="46439"/>
    <cellStyle name="Normal 7 3 7 7 2" xfId="46440"/>
    <cellStyle name="Normal 7 3 7 8" xfId="46441"/>
    <cellStyle name="Normal 7 3 7 9" xfId="46442"/>
    <cellStyle name="Normal 7 3 8" xfId="46443"/>
    <cellStyle name="Normal 7 3 8 10" xfId="46444"/>
    <cellStyle name="Normal 7 3 8 11" xfId="46445"/>
    <cellStyle name="Normal 7 3 8 12" xfId="46446"/>
    <cellStyle name="Normal 7 3 8 13" xfId="46447"/>
    <cellStyle name="Normal 7 3 8 14" xfId="46448"/>
    <cellStyle name="Normal 7 3 8 15" xfId="46449"/>
    <cellStyle name="Normal 7 3 8 16" xfId="46450"/>
    <cellStyle name="Normal 7 3 8 2" xfId="46451"/>
    <cellStyle name="Normal 7 3 8 2 2" xfId="46452"/>
    <cellStyle name="Normal 7 3 8 2 2 2" xfId="46453"/>
    <cellStyle name="Normal 7 3 8 2 3" xfId="46454"/>
    <cellStyle name="Normal 7 3 8 2 3 2" xfId="46455"/>
    <cellStyle name="Normal 7 3 8 2 4" xfId="46456"/>
    <cellStyle name="Normal 7 3 8 2 4 2" xfId="46457"/>
    <cellStyle name="Normal 7 3 8 2 5" xfId="46458"/>
    <cellStyle name="Normal 7 3 8 2 5 2" xfId="46459"/>
    <cellStyle name="Normal 7 3 8 2 6" xfId="46460"/>
    <cellStyle name="Normal 7 3 8 2 7" xfId="46461"/>
    <cellStyle name="Normal 7 3 8 2 8" xfId="46462"/>
    <cellStyle name="Normal 7 3 8 2 9" xfId="46463"/>
    <cellStyle name="Normal 7 3 8 3" xfId="46464"/>
    <cellStyle name="Normal 7 3 8 3 2" xfId="46465"/>
    <cellStyle name="Normal 7 3 8 3 2 2" xfId="46466"/>
    <cellStyle name="Normal 7 3 8 3 3" xfId="46467"/>
    <cellStyle name="Normal 7 3 8 3 4" xfId="46468"/>
    <cellStyle name="Normal 7 3 8 3 5" xfId="46469"/>
    <cellStyle name="Normal 7 3 8 4" xfId="46470"/>
    <cellStyle name="Normal 7 3 8 4 2" xfId="46471"/>
    <cellStyle name="Normal 7 3 8 5" xfId="46472"/>
    <cellStyle name="Normal 7 3 8 5 2" xfId="46473"/>
    <cellStyle name="Normal 7 3 8 6" xfId="46474"/>
    <cellStyle name="Normal 7 3 8 6 2" xfId="46475"/>
    <cellStyle name="Normal 7 3 8 7" xfId="46476"/>
    <cellStyle name="Normal 7 3 8 7 2" xfId="46477"/>
    <cellStyle name="Normal 7 3 8 8" xfId="46478"/>
    <cellStyle name="Normal 7 3 8 9" xfId="46479"/>
    <cellStyle name="Normal 7 3 9" xfId="46480"/>
    <cellStyle name="Normal 7 3 9 10" xfId="46481"/>
    <cellStyle name="Normal 7 3 9 11" xfId="46482"/>
    <cellStyle name="Normal 7 3 9 12" xfId="46483"/>
    <cellStyle name="Normal 7 3 9 13" xfId="46484"/>
    <cellStyle name="Normal 7 3 9 14" xfId="46485"/>
    <cellStyle name="Normal 7 3 9 15" xfId="46486"/>
    <cellStyle name="Normal 7 3 9 2" xfId="46487"/>
    <cellStyle name="Normal 7 3 9 2 2" xfId="46488"/>
    <cellStyle name="Normal 7 3 9 2 2 2" xfId="46489"/>
    <cellStyle name="Normal 7 3 9 2 3" xfId="46490"/>
    <cellStyle name="Normal 7 3 9 2 3 2" xfId="46491"/>
    <cellStyle name="Normal 7 3 9 2 4" xfId="46492"/>
    <cellStyle name="Normal 7 3 9 2 4 2" xfId="46493"/>
    <cellStyle name="Normal 7 3 9 2 5" xfId="46494"/>
    <cellStyle name="Normal 7 3 9 2 5 2" xfId="46495"/>
    <cellStyle name="Normal 7 3 9 2 6" xfId="46496"/>
    <cellStyle name="Normal 7 3 9 2 7" xfId="46497"/>
    <cellStyle name="Normal 7 3 9 2 8" xfId="46498"/>
    <cellStyle name="Normal 7 3 9 2 9" xfId="46499"/>
    <cellStyle name="Normal 7 3 9 3" xfId="46500"/>
    <cellStyle name="Normal 7 3 9 3 2" xfId="46501"/>
    <cellStyle name="Normal 7 3 9 3 2 2" xfId="46502"/>
    <cellStyle name="Normal 7 3 9 3 3" xfId="46503"/>
    <cellStyle name="Normal 7 3 9 3 4" xfId="46504"/>
    <cellStyle name="Normal 7 3 9 3 5" xfId="46505"/>
    <cellStyle name="Normal 7 3 9 4" xfId="46506"/>
    <cellStyle name="Normal 7 3 9 4 2" xfId="46507"/>
    <cellStyle name="Normal 7 3 9 5" xfId="46508"/>
    <cellStyle name="Normal 7 3 9 5 2" xfId="46509"/>
    <cellStyle name="Normal 7 3 9 6" xfId="46510"/>
    <cellStyle name="Normal 7 3 9 6 2" xfId="46511"/>
    <cellStyle name="Normal 7 3 9 7" xfId="46512"/>
    <cellStyle name="Normal 7 3 9 7 2" xfId="46513"/>
    <cellStyle name="Normal 7 3 9 8" xfId="46514"/>
    <cellStyle name="Normal 7 3 9 9" xfId="46515"/>
    <cellStyle name="Normal 7 30" xfId="46516"/>
    <cellStyle name="Normal 7 31" xfId="46517"/>
    <cellStyle name="Normal 7 32" xfId="46518"/>
    <cellStyle name="Normal 7 33" xfId="46519"/>
    <cellStyle name="Normal 7 34" xfId="46520"/>
    <cellStyle name="Normal 7 35" xfId="46521"/>
    <cellStyle name="Normal 7 36" xfId="46522"/>
    <cellStyle name="Normal 7 37" xfId="46523"/>
    <cellStyle name="Normal 7 38" xfId="46524"/>
    <cellStyle name="Normal 7 39" xfId="46525"/>
    <cellStyle name="Normal 7 4" xfId="1030"/>
    <cellStyle name="Normal 7 4 10" xfId="46527"/>
    <cellStyle name="Normal 7 4 10 10" xfId="46528"/>
    <cellStyle name="Normal 7 4 10 11" xfId="46529"/>
    <cellStyle name="Normal 7 4 10 12" xfId="46530"/>
    <cellStyle name="Normal 7 4 10 13" xfId="46531"/>
    <cellStyle name="Normal 7 4 10 14" xfId="46532"/>
    <cellStyle name="Normal 7 4 10 2" xfId="46533"/>
    <cellStyle name="Normal 7 4 10 2 2" xfId="46534"/>
    <cellStyle name="Normal 7 4 10 2 2 2" xfId="46535"/>
    <cellStyle name="Normal 7 4 10 2 3" xfId="46536"/>
    <cellStyle name="Normal 7 4 10 2 3 2" xfId="46537"/>
    <cellStyle name="Normal 7 4 10 2 4" xfId="46538"/>
    <cellStyle name="Normal 7 4 10 2 4 2" xfId="46539"/>
    <cellStyle name="Normal 7 4 10 2 5" xfId="46540"/>
    <cellStyle name="Normal 7 4 10 2 5 2" xfId="46541"/>
    <cellStyle name="Normal 7 4 10 2 6" xfId="46542"/>
    <cellStyle name="Normal 7 4 10 2 7" xfId="46543"/>
    <cellStyle name="Normal 7 4 10 2 8" xfId="46544"/>
    <cellStyle name="Normal 7 4 10 2 9" xfId="46545"/>
    <cellStyle name="Normal 7 4 10 3" xfId="46546"/>
    <cellStyle name="Normal 7 4 10 3 2" xfId="46547"/>
    <cellStyle name="Normal 7 4 10 3 2 2" xfId="46548"/>
    <cellStyle name="Normal 7 4 10 3 3" xfId="46549"/>
    <cellStyle name="Normal 7 4 10 3 4" xfId="46550"/>
    <cellStyle name="Normal 7 4 10 3 5" xfId="46551"/>
    <cellStyle name="Normal 7 4 10 4" xfId="46552"/>
    <cellStyle name="Normal 7 4 10 4 2" xfId="46553"/>
    <cellStyle name="Normal 7 4 10 5" xfId="46554"/>
    <cellStyle name="Normal 7 4 10 5 2" xfId="46555"/>
    <cellStyle name="Normal 7 4 10 6" xfId="46556"/>
    <cellStyle name="Normal 7 4 10 6 2" xfId="46557"/>
    <cellStyle name="Normal 7 4 10 7" xfId="46558"/>
    <cellStyle name="Normal 7 4 10 7 2" xfId="46559"/>
    <cellStyle name="Normal 7 4 10 8" xfId="46560"/>
    <cellStyle name="Normal 7 4 10 9" xfId="46561"/>
    <cellStyle name="Normal 7 4 11" xfId="46562"/>
    <cellStyle name="Normal 7 4 11 2" xfId="46563"/>
    <cellStyle name="Normal 7 4 11 2 2" xfId="46564"/>
    <cellStyle name="Normal 7 4 11 3" xfId="46565"/>
    <cellStyle name="Normal 7 4 11 3 2" xfId="46566"/>
    <cellStyle name="Normal 7 4 11 4" xfId="46567"/>
    <cellStyle name="Normal 7 4 11 4 2" xfId="46568"/>
    <cellStyle name="Normal 7 4 11 5" xfId="46569"/>
    <cellStyle name="Normal 7 4 11 5 2" xfId="46570"/>
    <cellStyle name="Normal 7 4 11 6" xfId="46571"/>
    <cellStyle name="Normal 7 4 11 7" xfId="46572"/>
    <cellStyle name="Normal 7 4 11 8" xfId="46573"/>
    <cellStyle name="Normal 7 4 11 9" xfId="46574"/>
    <cellStyle name="Normal 7 4 12" xfId="46575"/>
    <cellStyle name="Normal 7 4 12 2" xfId="46576"/>
    <cellStyle name="Normal 7 4 12 2 2" xfId="46577"/>
    <cellStyle name="Normal 7 4 12 3" xfId="46578"/>
    <cellStyle name="Normal 7 4 12 4" xfId="46579"/>
    <cellStyle name="Normal 7 4 12 5" xfId="46580"/>
    <cellStyle name="Normal 7 4 13" xfId="46581"/>
    <cellStyle name="Normal 7 4 13 2" xfId="46582"/>
    <cellStyle name="Normal 7 4 14" xfId="46583"/>
    <cellStyle name="Normal 7 4 14 2" xfId="46584"/>
    <cellStyle name="Normal 7 4 15" xfId="46585"/>
    <cellStyle name="Normal 7 4 15 2" xfId="46586"/>
    <cellStyle name="Normal 7 4 16" xfId="46587"/>
    <cellStyle name="Normal 7 4 16 2" xfId="46588"/>
    <cellStyle name="Normal 7 4 17" xfId="46589"/>
    <cellStyle name="Normal 7 4 18" xfId="46590"/>
    <cellStyle name="Normal 7 4 19" xfId="46591"/>
    <cellStyle name="Normal 7 4 2" xfId="46592"/>
    <cellStyle name="Normal 7 4 2 10" xfId="46593"/>
    <cellStyle name="Normal 7 4 2 10 2" xfId="46594"/>
    <cellStyle name="Normal 7 4 2 11" xfId="46595"/>
    <cellStyle name="Normal 7 4 2 11 2" xfId="46596"/>
    <cellStyle name="Normal 7 4 2 12" xfId="46597"/>
    <cellStyle name="Normal 7 4 2 13" xfId="46598"/>
    <cellStyle name="Normal 7 4 2 14" xfId="46599"/>
    <cellStyle name="Normal 7 4 2 15" xfId="46600"/>
    <cellStyle name="Normal 7 4 2 16" xfId="46601"/>
    <cellStyle name="Normal 7 4 2 17" xfId="46602"/>
    <cellStyle name="Normal 7 4 2 18" xfId="46603"/>
    <cellStyle name="Normal 7 4 2 19" xfId="46604"/>
    <cellStyle name="Normal 7 4 2 2" xfId="46605"/>
    <cellStyle name="Normal 7 4 2 2 10" xfId="46606"/>
    <cellStyle name="Normal 7 4 2 2 11" xfId="46607"/>
    <cellStyle name="Normal 7 4 2 2 12" xfId="46608"/>
    <cellStyle name="Normal 7 4 2 2 13" xfId="46609"/>
    <cellStyle name="Normal 7 4 2 2 14" xfId="46610"/>
    <cellStyle name="Normal 7 4 2 2 15" xfId="46611"/>
    <cellStyle name="Normal 7 4 2 2 16" xfId="46612"/>
    <cellStyle name="Normal 7 4 2 2 2" xfId="46613"/>
    <cellStyle name="Normal 7 4 2 2 2 2" xfId="46614"/>
    <cellStyle name="Normal 7 4 2 2 2 2 2" xfId="46615"/>
    <cellStyle name="Normal 7 4 2 2 2 3" xfId="46616"/>
    <cellStyle name="Normal 7 4 2 2 2 3 2" xfId="46617"/>
    <cellStyle name="Normal 7 4 2 2 2 4" xfId="46618"/>
    <cellStyle name="Normal 7 4 2 2 2 4 2" xfId="46619"/>
    <cellStyle name="Normal 7 4 2 2 2 5" xfId="46620"/>
    <cellStyle name="Normal 7 4 2 2 2 5 2" xfId="46621"/>
    <cellStyle name="Normal 7 4 2 2 2 6" xfId="46622"/>
    <cellStyle name="Normal 7 4 2 2 2 7" xfId="46623"/>
    <cellStyle name="Normal 7 4 2 2 2 8" xfId="46624"/>
    <cellStyle name="Normal 7 4 2 2 2 9" xfId="46625"/>
    <cellStyle name="Normal 7 4 2 2 3" xfId="46626"/>
    <cellStyle name="Normal 7 4 2 2 3 2" xfId="46627"/>
    <cellStyle name="Normal 7 4 2 2 3 2 2" xfId="46628"/>
    <cellStyle name="Normal 7 4 2 2 3 3" xfId="46629"/>
    <cellStyle name="Normal 7 4 2 2 3 4" xfId="46630"/>
    <cellStyle name="Normal 7 4 2 2 3 5" xfId="46631"/>
    <cellStyle name="Normal 7 4 2 2 4" xfId="46632"/>
    <cellStyle name="Normal 7 4 2 2 4 2" xfId="46633"/>
    <cellStyle name="Normal 7 4 2 2 5" xfId="46634"/>
    <cellStyle name="Normal 7 4 2 2 5 2" xfId="46635"/>
    <cellStyle name="Normal 7 4 2 2 6" xfId="46636"/>
    <cellStyle name="Normal 7 4 2 2 6 2" xfId="46637"/>
    <cellStyle name="Normal 7 4 2 2 7" xfId="46638"/>
    <cellStyle name="Normal 7 4 2 2 7 2" xfId="46639"/>
    <cellStyle name="Normal 7 4 2 2 8" xfId="46640"/>
    <cellStyle name="Normal 7 4 2 2 9" xfId="46641"/>
    <cellStyle name="Normal 7 4 2 20" xfId="46642"/>
    <cellStyle name="Normal 7 4 2 3" xfId="46643"/>
    <cellStyle name="Normal 7 4 2 3 10" xfId="46644"/>
    <cellStyle name="Normal 7 4 2 3 11" xfId="46645"/>
    <cellStyle name="Normal 7 4 2 3 12" xfId="46646"/>
    <cellStyle name="Normal 7 4 2 3 13" xfId="46647"/>
    <cellStyle name="Normal 7 4 2 3 14" xfId="46648"/>
    <cellStyle name="Normal 7 4 2 3 15" xfId="46649"/>
    <cellStyle name="Normal 7 4 2 3 16" xfId="46650"/>
    <cellStyle name="Normal 7 4 2 3 2" xfId="46651"/>
    <cellStyle name="Normal 7 4 2 3 2 2" xfId="46652"/>
    <cellStyle name="Normal 7 4 2 3 2 2 2" xfId="46653"/>
    <cellStyle name="Normal 7 4 2 3 2 3" xfId="46654"/>
    <cellStyle name="Normal 7 4 2 3 2 3 2" xfId="46655"/>
    <cellStyle name="Normal 7 4 2 3 2 4" xfId="46656"/>
    <cellStyle name="Normal 7 4 2 3 2 4 2" xfId="46657"/>
    <cellStyle name="Normal 7 4 2 3 2 5" xfId="46658"/>
    <cellStyle name="Normal 7 4 2 3 2 5 2" xfId="46659"/>
    <cellStyle name="Normal 7 4 2 3 2 6" xfId="46660"/>
    <cellStyle name="Normal 7 4 2 3 2 7" xfId="46661"/>
    <cellStyle name="Normal 7 4 2 3 2 8" xfId="46662"/>
    <cellStyle name="Normal 7 4 2 3 2 9" xfId="46663"/>
    <cellStyle name="Normal 7 4 2 3 3" xfId="46664"/>
    <cellStyle name="Normal 7 4 2 3 3 2" xfId="46665"/>
    <cellStyle name="Normal 7 4 2 3 3 2 2" xfId="46666"/>
    <cellStyle name="Normal 7 4 2 3 3 3" xfId="46667"/>
    <cellStyle name="Normal 7 4 2 3 3 4" xfId="46668"/>
    <cellStyle name="Normal 7 4 2 3 3 5" xfId="46669"/>
    <cellStyle name="Normal 7 4 2 3 4" xfId="46670"/>
    <cellStyle name="Normal 7 4 2 3 4 2" xfId="46671"/>
    <cellStyle name="Normal 7 4 2 3 5" xfId="46672"/>
    <cellStyle name="Normal 7 4 2 3 5 2" xfId="46673"/>
    <cellStyle name="Normal 7 4 2 3 6" xfId="46674"/>
    <cellStyle name="Normal 7 4 2 3 6 2" xfId="46675"/>
    <cellStyle name="Normal 7 4 2 3 7" xfId="46676"/>
    <cellStyle name="Normal 7 4 2 3 7 2" xfId="46677"/>
    <cellStyle name="Normal 7 4 2 3 8" xfId="46678"/>
    <cellStyle name="Normal 7 4 2 3 9" xfId="46679"/>
    <cellStyle name="Normal 7 4 2 4" xfId="46680"/>
    <cellStyle name="Normal 7 4 2 4 10" xfId="46681"/>
    <cellStyle name="Normal 7 4 2 4 11" xfId="46682"/>
    <cellStyle name="Normal 7 4 2 4 12" xfId="46683"/>
    <cellStyle name="Normal 7 4 2 4 13" xfId="46684"/>
    <cellStyle name="Normal 7 4 2 4 14" xfId="46685"/>
    <cellStyle name="Normal 7 4 2 4 15" xfId="46686"/>
    <cellStyle name="Normal 7 4 2 4 2" xfId="46687"/>
    <cellStyle name="Normal 7 4 2 4 2 2" xfId="46688"/>
    <cellStyle name="Normal 7 4 2 4 2 2 2" xfId="46689"/>
    <cellStyle name="Normal 7 4 2 4 2 3" xfId="46690"/>
    <cellStyle name="Normal 7 4 2 4 2 3 2" xfId="46691"/>
    <cellStyle name="Normal 7 4 2 4 2 4" xfId="46692"/>
    <cellStyle name="Normal 7 4 2 4 2 4 2" xfId="46693"/>
    <cellStyle name="Normal 7 4 2 4 2 5" xfId="46694"/>
    <cellStyle name="Normal 7 4 2 4 2 5 2" xfId="46695"/>
    <cellStyle name="Normal 7 4 2 4 2 6" xfId="46696"/>
    <cellStyle name="Normal 7 4 2 4 2 7" xfId="46697"/>
    <cellStyle name="Normal 7 4 2 4 2 8" xfId="46698"/>
    <cellStyle name="Normal 7 4 2 4 2 9" xfId="46699"/>
    <cellStyle name="Normal 7 4 2 4 3" xfId="46700"/>
    <cellStyle name="Normal 7 4 2 4 3 2" xfId="46701"/>
    <cellStyle name="Normal 7 4 2 4 3 2 2" xfId="46702"/>
    <cellStyle name="Normal 7 4 2 4 3 3" xfId="46703"/>
    <cellStyle name="Normal 7 4 2 4 3 4" xfId="46704"/>
    <cellStyle name="Normal 7 4 2 4 3 5" xfId="46705"/>
    <cellStyle name="Normal 7 4 2 4 4" xfId="46706"/>
    <cellStyle name="Normal 7 4 2 4 4 2" xfId="46707"/>
    <cellStyle name="Normal 7 4 2 4 5" xfId="46708"/>
    <cellStyle name="Normal 7 4 2 4 5 2" xfId="46709"/>
    <cellStyle name="Normal 7 4 2 4 6" xfId="46710"/>
    <cellStyle name="Normal 7 4 2 4 6 2" xfId="46711"/>
    <cellStyle name="Normal 7 4 2 4 7" xfId="46712"/>
    <cellStyle name="Normal 7 4 2 4 7 2" xfId="46713"/>
    <cellStyle name="Normal 7 4 2 4 8" xfId="46714"/>
    <cellStyle name="Normal 7 4 2 4 9" xfId="46715"/>
    <cellStyle name="Normal 7 4 2 5" xfId="46716"/>
    <cellStyle name="Normal 7 4 2 5 10" xfId="46717"/>
    <cellStyle name="Normal 7 4 2 5 11" xfId="46718"/>
    <cellStyle name="Normal 7 4 2 5 12" xfId="46719"/>
    <cellStyle name="Normal 7 4 2 5 13" xfId="46720"/>
    <cellStyle name="Normal 7 4 2 5 14" xfId="46721"/>
    <cellStyle name="Normal 7 4 2 5 2" xfId="46722"/>
    <cellStyle name="Normal 7 4 2 5 2 2" xfId="46723"/>
    <cellStyle name="Normal 7 4 2 5 2 2 2" xfId="46724"/>
    <cellStyle name="Normal 7 4 2 5 2 3" xfId="46725"/>
    <cellStyle name="Normal 7 4 2 5 2 3 2" xfId="46726"/>
    <cellStyle name="Normal 7 4 2 5 2 4" xfId="46727"/>
    <cellStyle name="Normal 7 4 2 5 2 4 2" xfId="46728"/>
    <cellStyle name="Normal 7 4 2 5 2 5" xfId="46729"/>
    <cellStyle name="Normal 7 4 2 5 2 5 2" xfId="46730"/>
    <cellStyle name="Normal 7 4 2 5 2 6" xfId="46731"/>
    <cellStyle name="Normal 7 4 2 5 2 7" xfId="46732"/>
    <cellStyle name="Normal 7 4 2 5 2 8" xfId="46733"/>
    <cellStyle name="Normal 7 4 2 5 2 9" xfId="46734"/>
    <cellStyle name="Normal 7 4 2 5 3" xfId="46735"/>
    <cellStyle name="Normal 7 4 2 5 3 2" xfId="46736"/>
    <cellStyle name="Normal 7 4 2 5 3 2 2" xfId="46737"/>
    <cellStyle name="Normal 7 4 2 5 3 3" xfId="46738"/>
    <cellStyle name="Normal 7 4 2 5 3 4" xfId="46739"/>
    <cellStyle name="Normal 7 4 2 5 3 5" xfId="46740"/>
    <cellStyle name="Normal 7 4 2 5 4" xfId="46741"/>
    <cellStyle name="Normal 7 4 2 5 4 2" xfId="46742"/>
    <cellStyle name="Normal 7 4 2 5 5" xfId="46743"/>
    <cellStyle name="Normal 7 4 2 5 5 2" xfId="46744"/>
    <cellStyle name="Normal 7 4 2 5 6" xfId="46745"/>
    <cellStyle name="Normal 7 4 2 5 6 2" xfId="46746"/>
    <cellStyle name="Normal 7 4 2 5 7" xfId="46747"/>
    <cellStyle name="Normal 7 4 2 5 7 2" xfId="46748"/>
    <cellStyle name="Normal 7 4 2 5 8" xfId="46749"/>
    <cellStyle name="Normal 7 4 2 5 9" xfId="46750"/>
    <cellStyle name="Normal 7 4 2 6" xfId="46751"/>
    <cellStyle name="Normal 7 4 2 6 2" xfId="46752"/>
    <cellStyle name="Normal 7 4 2 6 2 2" xfId="46753"/>
    <cellStyle name="Normal 7 4 2 6 3" xfId="46754"/>
    <cellStyle name="Normal 7 4 2 6 3 2" xfId="46755"/>
    <cellStyle name="Normal 7 4 2 6 4" xfId="46756"/>
    <cellStyle name="Normal 7 4 2 6 4 2" xfId="46757"/>
    <cellStyle name="Normal 7 4 2 6 5" xfId="46758"/>
    <cellStyle name="Normal 7 4 2 6 5 2" xfId="46759"/>
    <cellStyle name="Normal 7 4 2 6 6" xfId="46760"/>
    <cellStyle name="Normal 7 4 2 6 7" xfId="46761"/>
    <cellStyle name="Normal 7 4 2 6 8" xfId="46762"/>
    <cellStyle name="Normal 7 4 2 6 9" xfId="46763"/>
    <cellStyle name="Normal 7 4 2 7" xfId="46764"/>
    <cellStyle name="Normal 7 4 2 7 2" xfId="46765"/>
    <cellStyle name="Normal 7 4 2 7 2 2" xfId="46766"/>
    <cellStyle name="Normal 7 4 2 7 3" xfId="46767"/>
    <cellStyle name="Normal 7 4 2 7 4" xfId="46768"/>
    <cellStyle name="Normal 7 4 2 7 5" xfId="46769"/>
    <cellStyle name="Normal 7 4 2 8" xfId="46770"/>
    <cellStyle name="Normal 7 4 2 8 2" xfId="46771"/>
    <cellStyle name="Normal 7 4 2 9" xfId="46772"/>
    <cellStyle name="Normal 7 4 2 9 2" xfId="46773"/>
    <cellStyle name="Normal 7 4 20" xfId="46774"/>
    <cellStyle name="Normal 7 4 21" xfId="46775"/>
    <cellStyle name="Normal 7 4 22" xfId="46776"/>
    <cellStyle name="Normal 7 4 23" xfId="46777"/>
    <cellStyle name="Normal 7 4 24" xfId="46778"/>
    <cellStyle name="Normal 7 4 25" xfId="46779"/>
    <cellStyle name="Normal 7 4 3" xfId="46780"/>
    <cellStyle name="Normal 7 4 3 10" xfId="46781"/>
    <cellStyle name="Normal 7 4 3 11" xfId="46782"/>
    <cellStyle name="Normal 7 4 3 12" xfId="46783"/>
    <cellStyle name="Normal 7 4 3 13" xfId="46784"/>
    <cellStyle name="Normal 7 4 3 14" xfId="46785"/>
    <cellStyle name="Normal 7 4 3 15" xfId="46786"/>
    <cellStyle name="Normal 7 4 3 16" xfId="46787"/>
    <cellStyle name="Normal 7 4 3 17" xfId="46788"/>
    <cellStyle name="Normal 7 4 3 18" xfId="46789"/>
    <cellStyle name="Normal 7 4 3 2" xfId="46790"/>
    <cellStyle name="Normal 7 4 3 2 10" xfId="46791"/>
    <cellStyle name="Normal 7 4 3 2 11" xfId="46792"/>
    <cellStyle name="Normal 7 4 3 2 12" xfId="46793"/>
    <cellStyle name="Normal 7 4 3 2 13" xfId="46794"/>
    <cellStyle name="Normal 7 4 3 2 2" xfId="46795"/>
    <cellStyle name="Normal 7 4 3 2 2 2" xfId="46796"/>
    <cellStyle name="Normal 7 4 3 2 2 2 2" xfId="46797"/>
    <cellStyle name="Normal 7 4 3 2 2 3" xfId="46798"/>
    <cellStyle name="Normal 7 4 3 2 2 4" xfId="46799"/>
    <cellStyle name="Normal 7 4 3 2 2 5" xfId="46800"/>
    <cellStyle name="Normal 7 4 3 2 3" xfId="46801"/>
    <cellStyle name="Normal 7 4 3 2 3 2" xfId="46802"/>
    <cellStyle name="Normal 7 4 3 2 4" xfId="46803"/>
    <cellStyle name="Normal 7 4 3 2 4 2" xfId="46804"/>
    <cellStyle name="Normal 7 4 3 2 5" xfId="46805"/>
    <cellStyle name="Normal 7 4 3 2 5 2" xfId="46806"/>
    <cellStyle name="Normal 7 4 3 2 6" xfId="46807"/>
    <cellStyle name="Normal 7 4 3 2 6 2" xfId="46808"/>
    <cellStyle name="Normal 7 4 3 2 7" xfId="46809"/>
    <cellStyle name="Normal 7 4 3 2 8" xfId="46810"/>
    <cellStyle name="Normal 7 4 3 2 9" xfId="46811"/>
    <cellStyle name="Normal 7 4 3 3" xfId="46812"/>
    <cellStyle name="Normal 7 4 3 3 2" xfId="46813"/>
    <cellStyle name="Normal 7 4 3 3 2 2" xfId="46814"/>
    <cellStyle name="Normal 7 4 3 3 3" xfId="46815"/>
    <cellStyle name="Normal 7 4 3 3 4" xfId="46816"/>
    <cellStyle name="Normal 7 4 3 3 5" xfId="46817"/>
    <cellStyle name="Normal 7 4 3 4" xfId="46818"/>
    <cellStyle name="Normal 7 4 3 4 2" xfId="46819"/>
    <cellStyle name="Normal 7 4 3 5" xfId="46820"/>
    <cellStyle name="Normal 7 4 3 5 2" xfId="46821"/>
    <cellStyle name="Normal 7 4 3 6" xfId="46822"/>
    <cellStyle name="Normal 7 4 3 6 2" xfId="46823"/>
    <cellStyle name="Normal 7 4 3 7" xfId="46824"/>
    <cellStyle name="Normal 7 4 3 7 2" xfId="46825"/>
    <cellStyle name="Normal 7 4 3 8" xfId="46826"/>
    <cellStyle name="Normal 7 4 3 9" xfId="46827"/>
    <cellStyle name="Normal 7 4 4" xfId="46828"/>
    <cellStyle name="Normal 7 4 4 10" xfId="46829"/>
    <cellStyle name="Normal 7 4 4 11" xfId="46830"/>
    <cellStyle name="Normal 7 4 4 12" xfId="46831"/>
    <cellStyle name="Normal 7 4 4 13" xfId="46832"/>
    <cellStyle name="Normal 7 4 4 14" xfId="46833"/>
    <cellStyle name="Normal 7 4 4 15" xfId="46834"/>
    <cellStyle name="Normal 7 4 4 16" xfId="46835"/>
    <cellStyle name="Normal 7 4 4 17" xfId="46836"/>
    <cellStyle name="Normal 7 4 4 18" xfId="46837"/>
    <cellStyle name="Normal 7 4 4 2" xfId="46838"/>
    <cellStyle name="Normal 7 4 4 2 10" xfId="46839"/>
    <cellStyle name="Normal 7 4 4 2 11" xfId="46840"/>
    <cellStyle name="Normal 7 4 4 2 12" xfId="46841"/>
    <cellStyle name="Normal 7 4 4 2 13" xfId="46842"/>
    <cellStyle name="Normal 7 4 4 2 2" xfId="46843"/>
    <cellStyle name="Normal 7 4 4 2 2 2" xfId="46844"/>
    <cellStyle name="Normal 7 4 4 2 2 2 2" xfId="46845"/>
    <cellStyle name="Normal 7 4 4 2 2 3" xfId="46846"/>
    <cellStyle name="Normal 7 4 4 2 2 4" xfId="46847"/>
    <cellStyle name="Normal 7 4 4 2 2 5" xfId="46848"/>
    <cellStyle name="Normal 7 4 4 2 3" xfId="46849"/>
    <cellStyle name="Normal 7 4 4 2 3 2" xfId="46850"/>
    <cellStyle name="Normal 7 4 4 2 4" xfId="46851"/>
    <cellStyle name="Normal 7 4 4 2 4 2" xfId="46852"/>
    <cellStyle name="Normal 7 4 4 2 5" xfId="46853"/>
    <cellStyle name="Normal 7 4 4 2 5 2" xfId="46854"/>
    <cellStyle name="Normal 7 4 4 2 6" xfId="46855"/>
    <cellStyle name="Normal 7 4 4 2 6 2" xfId="46856"/>
    <cellStyle name="Normal 7 4 4 2 7" xfId="46857"/>
    <cellStyle name="Normal 7 4 4 2 8" xfId="46858"/>
    <cellStyle name="Normal 7 4 4 2 9" xfId="46859"/>
    <cellStyle name="Normal 7 4 4 3" xfId="46860"/>
    <cellStyle name="Normal 7 4 4 3 2" xfId="46861"/>
    <cellStyle name="Normal 7 4 4 3 2 2" xfId="46862"/>
    <cellStyle name="Normal 7 4 4 3 3" xfId="46863"/>
    <cellStyle name="Normal 7 4 4 3 4" xfId="46864"/>
    <cellStyle name="Normal 7 4 4 3 5" xfId="46865"/>
    <cellStyle name="Normal 7 4 4 4" xfId="46866"/>
    <cellStyle name="Normal 7 4 4 4 2" xfId="46867"/>
    <cellStyle name="Normal 7 4 4 5" xfId="46868"/>
    <cellStyle name="Normal 7 4 4 5 2" xfId="46869"/>
    <cellStyle name="Normal 7 4 4 6" xfId="46870"/>
    <cellStyle name="Normal 7 4 4 6 2" xfId="46871"/>
    <cellStyle name="Normal 7 4 4 7" xfId="46872"/>
    <cellStyle name="Normal 7 4 4 7 2" xfId="46873"/>
    <cellStyle name="Normal 7 4 4 8" xfId="46874"/>
    <cellStyle name="Normal 7 4 4 9" xfId="46875"/>
    <cellStyle name="Normal 7 4 5" xfId="46876"/>
    <cellStyle name="Normal 7 4 5 10" xfId="46877"/>
    <cellStyle name="Normal 7 4 5 11" xfId="46878"/>
    <cellStyle name="Normal 7 4 5 12" xfId="46879"/>
    <cellStyle name="Normal 7 4 5 13" xfId="46880"/>
    <cellStyle name="Normal 7 4 5 14" xfId="46881"/>
    <cellStyle name="Normal 7 4 5 15" xfId="46882"/>
    <cellStyle name="Normal 7 4 5 16" xfId="46883"/>
    <cellStyle name="Normal 7 4 5 17" xfId="46884"/>
    <cellStyle name="Normal 7 4 5 18" xfId="46885"/>
    <cellStyle name="Normal 7 4 5 2" xfId="46886"/>
    <cellStyle name="Normal 7 4 5 2 10" xfId="46887"/>
    <cellStyle name="Normal 7 4 5 2 11" xfId="46888"/>
    <cellStyle name="Normal 7 4 5 2 12" xfId="46889"/>
    <cellStyle name="Normal 7 4 5 2 13" xfId="46890"/>
    <cellStyle name="Normal 7 4 5 2 2" xfId="46891"/>
    <cellStyle name="Normal 7 4 5 2 2 2" xfId="46892"/>
    <cellStyle name="Normal 7 4 5 2 2 2 2" xfId="46893"/>
    <cellStyle name="Normal 7 4 5 2 2 3" xfId="46894"/>
    <cellStyle name="Normal 7 4 5 2 2 4" xfId="46895"/>
    <cellStyle name="Normal 7 4 5 2 2 5" xfId="46896"/>
    <cellStyle name="Normal 7 4 5 2 3" xfId="46897"/>
    <cellStyle name="Normal 7 4 5 2 3 2" xfId="46898"/>
    <cellStyle name="Normal 7 4 5 2 4" xfId="46899"/>
    <cellStyle name="Normal 7 4 5 2 4 2" xfId="46900"/>
    <cellStyle name="Normal 7 4 5 2 5" xfId="46901"/>
    <cellStyle name="Normal 7 4 5 2 5 2" xfId="46902"/>
    <cellStyle name="Normal 7 4 5 2 6" xfId="46903"/>
    <cellStyle name="Normal 7 4 5 2 6 2" xfId="46904"/>
    <cellStyle name="Normal 7 4 5 2 7" xfId="46905"/>
    <cellStyle name="Normal 7 4 5 2 8" xfId="46906"/>
    <cellStyle name="Normal 7 4 5 2 9" xfId="46907"/>
    <cellStyle name="Normal 7 4 5 3" xfId="46908"/>
    <cellStyle name="Normal 7 4 5 3 2" xfId="46909"/>
    <cellStyle name="Normal 7 4 5 3 2 2" xfId="46910"/>
    <cellStyle name="Normal 7 4 5 3 3" xfId="46911"/>
    <cellStyle name="Normal 7 4 5 3 4" xfId="46912"/>
    <cellStyle name="Normal 7 4 5 3 5" xfId="46913"/>
    <cellStyle name="Normal 7 4 5 4" xfId="46914"/>
    <cellStyle name="Normal 7 4 5 4 2" xfId="46915"/>
    <cellStyle name="Normal 7 4 5 5" xfId="46916"/>
    <cellStyle name="Normal 7 4 5 5 2" xfId="46917"/>
    <cellStyle name="Normal 7 4 5 6" xfId="46918"/>
    <cellStyle name="Normal 7 4 5 6 2" xfId="46919"/>
    <cellStyle name="Normal 7 4 5 7" xfId="46920"/>
    <cellStyle name="Normal 7 4 5 7 2" xfId="46921"/>
    <cellStyle name="Normal 7 4 5 8" xfId="46922"/>
    <cellStyle name="Normal 7 4 5 9" xfId="46923"/>
    <cellStyle name="Normal 7 4 6" xfId="46924"/>
    <cellStyle name="Normal 7 4 6 10" xfId="46925"/>
    <cellStyle name="Normal 7 4 6 11" xfId="46926"/>
    <cellStyle name="Normal 7 4 6 12" xfId="46927"/>
    <cellStyle name="Normal 7 4 6 13" xfId="46928"/>
    <cellStyle name="Normal 7 4 6 14" xfId="46929"/>
    <cellStyle name="Normal 7 4 6 15" xfId="46930"/>
    <cellStyle name="Normal 7 4 6 16" xfId="46931"/>
    <cellStyle name="Normal 7 4 6 17" xfId="46932"/>
    <cellStyle name="Normal 7 4 6 18" xfId="46933"/>
    <cellStyle name="Normal 7 4 6 2" xfId="46934"/>
    <cellStyle name="Normal 7 4 6 2 10" xfId="46935"/>
    <cellStyle name="Normal 7 4 6 2 11" xfId="46936"/>
    <cellStyle name="Normal 7 4 6 2 12" xfId="46937"/>
    <cellStyle name="Normal 7 4 6 2 13" xfId="46938"/>
    <cellStyle name="Normal 7 4 6 2 2" xfId="46939"/>
    <cellStyle name="Normal 7 4 6 2 2 2" xfId="46940"/>
    <cellStyle name="Normal 7 4 6 2 2 2 2" xfId="46941"/>
    <cellStyle name="Normal 7 4 6 2 2 3" xfId="46942"/>
    <cellStyle name="Normal 7 4 6 2 2 4" xfId="46943"/>
    <cellStyle name="Normal 7 4 6 2 2 5" xfId="46944"/>
    <cellStyle name="Normal 7 4 6 2 3" xfId="46945"/>
    <cellStyle name="Normal 7 4 6 2 3 2" xfId="46946"/>
    <cellStyle name="Normal 7 4 6 2 4" xfId="46947"/>
    <cellStyle name="Normal 7 4 6 2 4 2" xfId="46948"/>
    <cellStyle name="Normal 7 4 6 2 5" xfId="46949"/>
    <cellStyle name="Normal 7 4 6 2 5 2" xfId="46950"/>
    <cellStyle name="Normal 7 4 6 2 6" xfId="46951"/>
    <cellStyle name="Normal 7 4 6 2 6 2" xfId="46952"/>
    <cellStyle name="Normal 7 4 6 2 7" xfId="46953"/>
    <cellStyle name="Normal 7 4 6 2 8" xfId="46954"/>
    <cellStyle name="Normal 7 4 6 2 9" xfId="46955"/>
    <cellStyle name="Normal 7 4 6 3" xfId="46956"/>
    <cellStyle name="Normal 7 4 6 3 2" xfId="46957"/>
    <cellStyle name="Normal 7 4 6 3 2 2" xfId="46958"/>
    <cellStyle name="Normal 7 4 6 3 3" xfId="46959"/>
    <cellStyle name="Normal 7 4 6 3 4" xfId="46960"/>
    <cellStyle name="Normal 7 4 6 3 5" xfId="46961"/>
    <cellStyle name="Normal 7 4 6 4" xfId="46962"/>
    <cellStyle name="Normal 7 4 6 4 2" xfId="46963"/>
    <cellStyle name="Normal 7 4 6 5" xfId="46964"/>
    <cellStyle name="Normal 7 4 6 5 2" xfId="46965"/>
    <cellStyle name="Normal 7 4 6 6" xfId="46966"/>
    <cellStyle name="Normal 7 4 6 6 2" xfId="46967"/>
    <cellStyle name="Normal 7 4 6 7" xfId="46968"/>
    <cellStyle name="Normal 7 4 6 7 2" xfId="46969"/>
    <cellStyle name="Normal 7 4 6 8" xfId="46970"/>
    <cellStyle name="Normal 7 4 6 9" xfId="46971"/>
    <cellStyle name="Normal 7 4 7" xfId="46972"/>
    <cellStyle name="Normal 7 4 7 10" xfId="46973"/>
    <cellStyle name="Normal 7 4 7 11" xfId="46974"/>
    <cellStyle name="Normal 7 4 7 12" xfId="46975"/>
    <cellStyle name="Normal 7 4 7 13" xfId="46976"/>
    <cellStyle name="Normal 7 4 7 14" xfId="46977"/>
    <cellStyle name="Normal 7 4 7 15" xfId="46978"/>
    <cellStyle name="Normal 7 4 7 16" xfId="46979"/>
    <cellStyle name="Normal 7 4 7 17" xfId="46980"/>
    <cellStyle name="Normal 7 4 7 18" xfId="46981"/>
    <cellStyle name="Normal 7 4 7 2" xfId="46982"/>
    <cellStyle name="Normal 7 4 7 2 10" xfId="46983"/>
    <cellStyle name="Normal 7 4 7 2 11" xfId="46984"/>
    <cellStyle name="Normal 7 4 7 2 12" xfId="46985"/>
    <cellStyle name="Normal 7 4 7 2 13" xfId="46986"/>
    <cellStyle name="Normal 7 4 7 2 2" xfId="46987"/>
    <cellStyle name="Normal 7 4 7 2 2 2" xfId="46988"/>
    <cellStyle name="Normal 7 4 7 2 2 2 2" xfId="46989"/>
    <cellStyle name="Normal 7 4 7 2 2 3" xfId="46990"/>
    <cellStyle name="Normal 7 4 7 2 2 4" xfId="46991"/>
    <cellStyle name="Normal 7 4 7 2 2 5" xfId="46992"/>
    <cellStyle name="Normal 7 4 7 2 3" xfId="46993"/>
    <cellStyle name="Normal 7 4 7 2 3 2" xfId="46994"/>
    <cellStyle name="Normal 7 4 7 2 4" xfId="46995"/>
    <cellStyle name="Normal 7 4 7 2 4 2" xfId="46996"/>
    <cellStyle name="Normal 7 4 7 2 5" xfId="46997"/>
    <cellStyle name="Normal 7 4 7 2 5 2" xfId="46998"/>
    <cellStyle name="Normal 7 4 7 2 6" xfId="46999"/>
    <cellStyle name="Normal 7 4 7 2 6 2" xfId="47000"/>
    <cellStyle name="Normal 7 4 7 2 7" xfId="47001"/>
    <cellStyle name="Normal 7 4 7 2 8" xfId="47002"/>
    <cellStyle name="Normal 7 4 7 2 9" xfId="47003"/>
    <cellStyle name="Normal 7 4 7 3" xfId="47004"/>
    <cellStyle name="Normal 7 4 7 3 2" xfId="47005"/>
    <cellStyle name="Normal 7 4 7 3 2 2" xfId="47006"/>
    <cellStyle name="Normal 7 4 7 3 3" xfId="47007"/>
    <cellStyle name="Normal 7 4 7 3 4" xfId="47008"/>
    <cellStyle name="Normal 7 4 7 3 5" xfId="47009"/>
    <cellStyle name="Normal 7 4 7 4" xfId="47010"/>
    <cellStyle name="Normal 7 4 7 4 2" xfId="47011"/>
    <cellStyle name="Normal 7 4 7 5" xfId="47012"/>
    <cellStyle name="Normal 7 4 7 5 2" xfId="47013"/>
    <cellStyle name="Normal 7 4 7 6" xfId="47014"/>
    <cellStyle name="Normal 7 4 7 6 2" xfId="47015"/>
    <cellStyle name="Normal 7 4 7 7" xfId="47016"/>
    <cellStyle name="Normal 7 4 7 7 2" xfId="47017"/>
    <cellStyle name="Normal 7 4 7 8" xfId="47018"/>
    <cellStyle name="Normal 7 4 7 9" xfId="47019"/>
    <cellStyle name="Normal 7 4 8" xfId="47020"/>
    <cellStyle name="Normal 7 4 8 10" xfId="47021"/>
    <cellStyle name="Normal 7 4 8 11" xfId="47022"/>
    <cellStyle name="Normal 7 4 8 12" xfId="47023"/>
    <cellStyle name="Normal 7 4 8 13" xfId="47024"/>
    <cellStyle name="Normal 7 4 8 14" xfId="47025"/>
    <cellStyle name="Normal 7 4 8 15" xfId="47026"/>
    <cellStyle name="Normal 7 4 8 16" xfId="47027"/>
    <cellStyle name="Normal 7 4 8 2" xfId="47028"/>
    <cellStyle name="Normal 7 4 8 2 2" xfId="47029"/>
    <cellStyle name="Normal 7 4 8 2 2 2" xfId="47030"/>
    <cellStyle name="Normal 7 4 8 2 3" xfId="47031"/>
    <cellStyle name="Normal 7 4 8 2 3 2" xfId="47032"/>
    <cellStyle name="Normal 7 4 8 2 4" xfId="47033"/>
    <cellStyle name="Normal 7 4 8 2 4 2" xfId="47034"/>
    <cellStyle name="Normal 7 4 8 2 5" xfId="47035"/>
    <cellStyle name="Normal 7 4 8 2 5 2" xfId="47036"/>
    <cellStyle name="Normal 7 4 8 2 6" xfId="47037"/>
    <cellStyle name="Normal 7 4 8 2 7" xfId="47038"/>
    <cellStyle name="Normal 7 4 8 2 8" xfId="47039"/>
    <cellStyle name="Normal 7 4 8 2 9" xfId="47040"/>
    <cellStyle name="Normal 7 4 8 3" xfId="47041"/>
    <cellStyle name="Normal 7 4 8 3 2" xfId="47042"/>
    <cellStyle name="Normal 7 4 8 3 2 2" xfId="47043"/>
    <cellStyle name="Normal 7 4 8 3 3" xfId="47044"/>
    <cellStyle name="Normal 7 4 8 3 4" xfId="47045"/>
    <cellStyle name="Normal 7 4 8 3 5" xfId="47046"/>
    <cellStyle name="Normal 7 4 8 4" xfId="47047"/>
    <cellStyle name="Normal 7 4 8 4 2" xfId="47048"/>
    <cellStyle name="Normal 7 4 8 5" xfId="47049"/>
    <cellStyle name="Normal 7 4 8 5 2" xfId="47050"/>
    <cellStyle name="Normal 7 4 8 6" xfId="47051"/>
    <cellStyle name="Normal 7 4 8 6 2" xfId="47052"/>
    <cellStyle name="Normal 7 4 8 7" xfId="47053"/>
    <cellStyle name="Normal 7 4 8 7 2" xfId="47054"/>
    <cellStyle name="Normal 7 4 8 8" xfId="47055"/>
    <cellStyle name="Normal 7 4 8 9" xfId="47056"/>
    <cellStyle name="Normal 7 4 9" xfId="47057"/>
    <cellStyle name="Normal 7 4 9 10" xfId="47058"/>
    <cellStyle name="Normal 7 4 9 11" xfId="47059"/>
    <cellStyle name="Normal 7 4 9 12" xfId="47060"/>
    <cellStyle name="Normal 7 4 9 13" xfId="47061"/>
    <cellStyle name="Normal 7 4 9 14" xfId="47062"/>
    <cellStyle name="Normal 7 4 9 15" xfId="47063"/>
    <cellStyle name="Normal 7 4 9 2" xfId="47064"/>
    <cellStyle name="Normal 7 4 9 2 2" xfId="47065"/>
    <cellStyle name="Normal 7 4 9 2 2 2" xfId="47066"/>
    <cellStyle name="Normal 7 4 9 2 3" xfId="47067"/>
    <cellStyle name="Normal 7 4 9 2 3 2" xfId="47068"/>
    <cellStyle name="Normal 7 4 9 2 4" xfId="47069"/>
    <cellStyle name="Normal 7 4 9 2 4 2" xfId="47070"/>
    <cellStyle name="Normal 7 4 9 2 5" xfId="47071"/>
    <cellStyle name="Normal 7 4 9 2 5 2" xfId="47072"/>
    <cellStyle name="Normal 7 4 9 2 6" xfId="47073"/>
    <cellStyle name="Normal 7 4 9 2 7" xfId="47074"/>
    <cellStyle name="Normal 7 4 9 2 8" xfId="47075"/>
    <cellStyle name="Normal 7 4 9 2 9" xfId="47076"/>
    <cellStyle name="Normal 7 4 9 3" xfId="47077"/>
    <cellStyle name="Normal 7 4 9 3 2" xfId="47078"/>
    <cellStyle name="Normal 7 4 9 3 2 2" xfId="47079"/>
    <cellStyle name="Normal 7 4 9 3 3" xfId="47080"/>
    <cellStyle name="Normal 7 4 9 3 4" xfId="47081"/>
    <cellStyle name="Normal 7 4 9 3 5" xfId="47082"/>
    <cellStyle name="Normal 7 4 9 4" xfId="47083"/>
    <cellStyle name="Normal 7 4 9 4 2" xfId="47084"/>
    <cellStyle name="Normal 7 4 9 5" xfId="47085"/>
    <cellStyle name="Normal 7 4 9 5 2" xfId="47086"/>
    <cellStyle name="Normal 7 4 9 6" xfId="47087"/>
    <cellStyle name="Normal 7 4 9 6 2" xfId="47088"/>
    <cellStyle name="Normal 7 4 9 7" xfId="47089"/>
    <cellStyle name="Normal 7 4 9 7 2" xfId="47090"/>
    <cellStyle name="Normal 7 4 9 8" xfId="47091"/>
    <cellStyle name="Normal 7 4 9 9" xfId="47092"/>
    <cellStyle name="Normal 7 5" xfId="44524"/>
    <cellStyle name="Normal 7 5 10" xfId="47094"/>
    <cellStyle name="Normal 7 5 10 10" xfId="47095"/>
    <cellStyle name="Normal 7 5 10 11" xfId="47096"/>
    <cellStyle name="Normal 7 5 10 12" xfId="47097"/>
    <cellStyle name="Normal 7 5 10 13" xfId="47098"/>
    <cellStyle name="Normal 7 5 10 14" xfId="47099"/>
    <cellStyle name="Normal 7 5 10 2" xfId="47100"/>
    <cellStyle name="Normal 7 5 10 2 2" xfId="47101"/>
    <cellStyle name="Normal 7 5 10 2 2 2" xfId="47102"/>
    <cellStyle name="Normal 7 5 10 2 3" xfId="47103"/>
    <cellStyle name="Normal 7 5 10 2 3 2" xfId="47104"/>
    <cellStyle name="Normal 7 5 10 2 4" xfId="47105"/>
    <cellStyle name="Normal 7 5 10 2 4 2" xfId="47106"/>
    <cellStyle name="Normal 7 5 10 2 5" xfId="47107"/>
    <cellStyle name="Normal 7 5 10 2 5 2" xfId="47108"/>
    <cellStyle name="Normal 7 5 10 2 6" xfId="47109"/>
    <cellStyle name="Normal 7 5 10 2 7" xfId="47110"/>
    <cellStyle name="Normal 7 5 10 2 8" xfId="47111"/>
    <cellStyle name="Normal 7 5 10 2 9" xfId="47112"/>
    <cellStyle name="Normal 7 5 10 3" xfId="47113"/>
    <cellStyle name="Normal 7 5 10 3 2" xfId="47114"/>
    <cellStyle name="Normal 7 5 10 3 2 2" xfId="47115"/>
    <cellStyle name="Normal 7 5 10 3 3" xfId="47116"/>
    <cellStyle name="Normal 7 5 10 3 4" xfId="47117"/>
    <cellStyle name="Normal 7 5 10 3 5" xfId="47118"/>
    <cellStyle name="Normal 7 5 10 4" xfId="47119"/>
    <cellStyle name="Normal 7 5 10 4 2" xfId="47120"/>
    <cellStyle name="Normal 7 5 10 5" xfId="47121"/>
    <cellStyle name="Normal 7 5 10 5 2" xfId="47122"/>
    <cellStyle name="Normal 7 5 10 6" xfId="47123"/>
    <cellStyle name="Normal 7 5 10 6 2" xfId="47124"/>
    <cellStyle name="Normal 7 5 10 7" xfId="47125"/>
    <cellStyle name="Normal 7 5 10 7 2" xfId="47126"/>
    <cellStyle name="Normal 7 5 10 8" xfId="47127"/>
    <cellStyle name="Normal 7 5 10 9" xfId="47128"/>
    <cellStyle name="Normal 7 5 11" xfId="47129"/>
    <cellStyle name="Normal 7 5 11 2" xfId="47130"/>
    <cellStyle name="Normal 7 5 11 2 2" xfId="47131"/>
    <cellStyle name="Normal 7 5 11 3" xfId="47132"/>
    <cellStyle name="Normal 7 5 11 3 2" xfId="47133"/>
    <cellStyle name="Normal 7 5 11 4" xfId="47134"/>
    <cellStyle name="Normal 7 5 11 4 2" xfId="47135"/>
    <cellStyle name="Normal 7 5 11 5" xfId="47136"/>
    <cellStyle name="Normal 7 5 11 5 2" xfId="47137"/>
    <cellStyle name="Normal 7 5 11 6" xfId="47138"/>
    <cellStyle name="Normal 7 5 11 7" xfId="47139"/>
    <cellStyle name="Normal 7 5 11 8" xfId="47140"/>
    <cellStyle name="Normal 7 5 11 9" xfId="47141"/>
    <cellStyle name="Normal 7 5 12" xfId="47142"/>
    <cellStyle name="Normal 7 5 12 2" xfId="47143"/>
    <cellStyle name="Normal 7 5 12 2 2" xfId="47144"/>
    <cellStyle name="Normal 7 5 12 3" xfId="47145"/>
    <cellStyle name="Normal 7 5 12 4" xfId="47146"/>
    <cellStyle name="Normal 7 5 12 5" xfId="47147"/>
    <cellStyle name="Normal 7 5 13" xfId="47148"/>
    <cellStyle name="Normal 7 5 13 2" xfId="47149"/>
    <cellStyle name="Normal 7 5 14" xfId="47150"/>
    <cellStyle name="Normal 7 5 14 2" xfId="47151"/>
    <cellStyle name="Normal 7 5 15" xfId="47152"/>
    <cellStyle name="Normal 7 5 15 2" xfId="47153"/>
    <cellStyle name="Normal 7 5 16" xfId="47154"/>
    <cellStyle name="Normal 7 5 16 2" xfId="47155"/>
    <cellStyle name="Normal 7 5 17" xfId="47156"/>
    <cellStyle name="Normal 7 5 18" xfId="47157"/>
    <cellStyle name="Normal 7 5 19" xfId="47158"/>
    <cellStyle name="Normal 7 5 2" xfId="47159"/>
    <cellStyle name="Normal 7 5 2 10" xfId="47160"/>
    <cellStyle name="Normal 7 5 2 10 2" xfId="47161"/>
    <cellStyle name="Normal 7 5 2 11" xfId="47162"/>
    <cellStyle name="Normal 7 5 2 11 2" xfId="47163"/>
    <cellStyle name="Normal 7 5 2 12" xfId="47164"/>
    <cellStyle name="Normal 7 5 2 13" xfId="47165"/>
    <cellStyle name="Normal 7 5 2 14" xfId="47166"/>
    <cellStyle name="Normal 7 5 2 15" xfId="47167"/>
    <cellStyle name="Normal 7 5 2 16" xfId="47168"/>
    <cellStyle name="Normal 7 5 2 17" xfId="47169"/>
    <cellStyle name="Normal 7 5 2 18" xfId="47170"/>
    <cellStyle name="Normal 7 5 2 19" xfId="47171"/>
    <cellStyle name="Normal 7 5 2 2" xfId="47172"/>
    <cellStyle name="Normal 7 5 2 2 10" xfId="47173"/>
    <cellStyle name="Normal 7 5 2 2 11" xfId="47174"/>
    <cellStyle name="Normal 7 5 2 2 12" xfId="47175"/>
    <cellStyle name="Normal 7 5 2 2 13" xfId="47176"/>
    <cellStyle name="Normal 7 5 2 2 14" xfId="47177"/>
    <cellStyle name="Normal 7 5 2 2 15" xfId="47178"/>
    <cellStyle name="Normal 7 5 2 2 16" xfId="47179"/>
    <cellStyle name="Normal 7 5 2 2 2" xfId="47180"/>
    <cellStyle name="Normal 7 5 2 2 2 2" xfId="47181"/>
    <cellStyle name="Normal 7 5 2 2 2 2 2" xfId="47182"/>
    <cellStyle name="Normal 7 5 2 2 2 3" xfId="47183"/>
    <cellStyle name="Normal 7 5 2 2 2 3 2" xfId="47184"/>
    <cellStyle name="Normal 7 5 2 2 2 4" xfId="47185"/>
    <cellStyle name="Normal 7 5 2 2 2 4 2" xfId="47186"/>
    <cellStyle name="Normal 7 5 2 2 2 5" xfId="47187"/>
    <cellStyle name="Normal 7 5 2 2 2 5 2" xfId="47188"/>
    <cellStyle name="Normal 7 5 2 2 2 6" xfId="47189"/>
    <cellStyle name="Normal 7 5 2 2 2 7" xfId="47190"/>
    <cellStyle name="Normal 7 5 2 2 2 8" xfId="47191"/>
    <cellStyle name="Normal 7 5 2 2 2 9" xfId="47192"/>
    <cellStyle name="Normal 7 5 2 2 3" xfId="47193"/>
    <cellStyle name="Normal 7 5 2 2 3 2" xfId="47194"/>
    <cellStyle name="Normal 7 5 2 2 3 2 2" xfId="47195"/>
    <cellStyle name="Normal 7 5 2 2 3 3" xfId="47196"/>
    <cellStyle name="Normal 7 5 2 2 3 4" xfId="47197"/>
    <cellStyle name="Normal 7 5 2 2 3 5" xfId="47198"/>
    <cellStyle name="Normal 7 5 2 2 4" xfId="47199"/>
    <cellStyle name="Normal 7 5 2 2 4 2" xfId="47200"/>
    <cellStyle name="Normal 7 5 2 2 5" xfId="47201"/>
    <cellStyle name="Normal 7 5 2 2 5 2" xfId="47202"/>
    <cellStyle name="Normal 7 5 2 2 6" xfId="47203"/>
    <cellStyle name="Normal 7 5 2 2 6 2" xfId="47204"/>
    <cellStyle name="Normal 7 5 2 2 7" xfId="47205"/>
    <cellStyle name="Normal 7 5 2 2 7 2" xfId="47206"/>
    <cellStyle name="Normal 7 5 2 2 8" xfId="47207"/>
    <cellStyle name="Normal 7 5 2 2 9" xfId="47208"/>
    <cellStyle name="Normal 7 5 2 20" xfId="47209"/>
    <cellStyle name="Normal 7 5 2 3" xfId="47210"/>
    <cellStyle name="Normal 7 5 2 3 10" xfId="47211"/>
    <cellStyle name="Normal 7 5 2 3 11" xfId="47212"/>
    <cellStyle name="Normal 7 5 2 3 12" xfId="47213"/>
    <cellStyle name="Normal 7 5 2 3 13" xfId="47214"/>
    <cellStyle name="Normal 7 5 2 3 14" xfId="47215"/>
    <cellStyle name="Normal 7 5 2 3 15" xfId="47216"/>
    <cellStyle name="Normal 7 5 2 3 16" xfId="47217"/>
    <cellStyle name="Normal 7 5 2 3 2" xfId="47218"/>
    <cellStyle name="Normal 7 5 2 3 2 2" xfId="47219"/>
    <cellStyle name="Normal 7 5 2 3 2 2 2" xfId="47220"/>
    <cellStyle name="Normal 7 5 2 3 2 3" xfId="47221"/>
    <cellStyle name="Normal 7 5 2 3 2 3 2" xfId="47222"/>
    <cellStyle name="Normal 7 5 2 3 2 4" xfId="47223"/>
    <cellStyle name="Normal 7 5 2 3 2 4 2" xfId="47224"/>
    <cellStyle name="Normal 7 5 2 3 2 5" xfId="47225"/>
    <cellStyle name="Normal 7 5 2 3 2 5 2" xfId="47226"/>
    <cellStyle name="Normal 7 5 2 3 2 6" xfId="47227"/>
    <cellStyle name="Normal 7 5 2 3 2 7" xfId="47228"/>
    <cellStyle name="Normal 7 5 2 3 2 8" xfId="47229"/>
    <cellStyle name="Normal 7 5 2 3 2 9" xfId="47230"/>
    <cellStyle name="Normal 7 5 2 3 3" xfId="47231"/>
    <cellStyle name="Normal 7 5 2 3 3 2" xfId="47232"/>
    <cellStyle name="Normal 7 5 2 3 3 2 2" xfId="47233"/>
    <cellStyle name="Normal 7 5 2 3 3 3" xfId="47234"/>
    <cellStyle name="Normal 7 5 2 3 3 4" xfId="47235"/>
    <cellStyle name="Normal 7 5 2 3 3 5" xfId="47236"/>
    <cellStyle name="Normal 7 5 2 3 4" xfId="47237"/>
    <cellStyle name="Normal 7 5 2 3 4 2" xfId="47238"/>
    <cellStyle name="Normal 7 5 2 3 5" xfId="47239"/>
    <cellStyle name="Normal 7 5 2 3 5 2" xfId="47240"/>
    <cellStyle name="Normal 7 5 2 3 6" xfId="47241"/>
    <cellStyle name="Normal 7 5 2 3 6 2" xfId="47242"/>
    <cellStyle name="Normal 7 5 2 3 7" xfId="47243"/>
    <cellStyle name="Normal 7 5 2 3 7 2" xfId="47244"/>
    <cellStyle name="Normal 7 5 2 3 8" xfId="47245"/>
    <cellStyle name="Normal 7 5 2 3 9" xfId="47246"/>
    <cellStyle name="Normal 7 5 2 4" xfId="47247"/>
    <cellStyle name="Normal 7 5 2 4 10" xfId="47248"/>
    <cellStyle name="Normal 7 5 2 4 11" xfId="47249"/>
    <cellStyle name="Normal 7 5 2 4 12" xfId="47250"/>
    <cellStyle name="Normal 7 5 2 4 13" xfId="47251"/>
    <cellStyle name="Normal 7 5 2 4 14" xfId="47252"/>
    <cellStyle name="Normal 7 5 2 4 15" xfId="47253"/>
    <cellStyle name="Normal 7 5 2 4 2" xfId="47254"/>
    <cellStyle name="Normal 7 5 2 4 2 2" xfId="47255"/>
    <cellStyle name="Normal 7 5 2 4 2 2 2" xfId="47256"/>
    <cellStyle name="Normal 7 5 2 4 2 3" xfId="47257"/>
    <cellStyle name="Normal 7 5 2 4 2 3 2" xfId="47258"/>
    <cellStyle name="Normal 7 5 2 4 2 4" xfId="47259"/>
    <cellStyle name="Normal 7 5 2 4 2 4 2" xfId="47260"/>
    <cellStyle name="Normal 7 5 2 4 2 5" xfId="47261"/>
    <cellStyle name="Normal 7 5 2 4 2 5 2" xfId="47262"/>
    <cellStyle name="Normal 7 5 2 4 2 6" xfId="47263"/>
    <cellStyle name="Normal 7 5 2 4 2 7" xfId="47264"/>
    <cellStyle name="Normal 7 5 2 4 2 8" xfId="47265"/>
    <cellStyle name="Normal 7 5 2 4 2 9" xfId="47266"/>
    <cellStyle name="Normal 7 5 2 4 3" xfId="47267"/>
    <cellStyle name="Normal 7 5 2 4 3 2" xfId="47268"/>
    <cellStyle name="Normal 7 5 2 4 3 2 2" xfId="47269"/>
    <cellStyle name="Normal 7 5 2 4 3 3" xfId="47270"/>
    <cellStyle name="Normal 7 5 2 4 3 4" xfId="47271"/>
    <cellStyle name="Normal 7 5 2 4 3 5" xfId="47272"/>
    <cellStyle name="Normal 7 5 2 4 4" xfId="47273"/>
    <cellStyle name="Normal 7 5 2 4 4 2" xfId="47274"/>
    <cellStyle name="Normal 7 5 2 4 5" xfId="47275"/>
    <cellStyle name="Normal 7 5 2 4 5 2" xfId="47276"/>
    <cellStyle name="Normal 7 5 2 4 6" xfId="47277"/>
    <cellStyle name="Normal 7 5 2 4 6 2" xfId="47278"/>
    <cellStyle name="Normal 7 5 2 4 7" xfId="47279"/>
    <cellStyle name="Normal 7 5 2 4 7 2" xfId="47280"/>
    <cellStyle name="Normal 7 5 2 4 8" xfId="47281"/>
    <cellStyle name="Normal 7 5 2 4 9" xfId="47282"/>
    <cellStyle name="Normal 7 5 2 5" xfId="47283"/>
    <cellStyle name="Normal 7 5 2 5 10" xfId="47284"/>
    <cellStyle name="Normal 7 5 2 5 11" xfId="47285"/>
    <cellStyle name="Normal 7 5 2 5 12" xfId="47286"/>
    <cellStyle name="Normal 7 5 2 5 13" xfId="47287"/>
    <cellStyle name="Normal 7 5 2 5 14" xfId="47288"/>
    <cellStyle name="Normal 7 5 2 5 2" xfId="47289"/>
    <cellStyle name="Normal 7 5 2 5 2 2" xfId="47290"/>
    <cellStyle name="Normal 7 5 2 5 2 2 2" xfId="47291"/>
    <cellStyle name="Normal 7 5 2 5 2 3" xfId="47292"/>
    <cellStyle name="Normal 7 5 2 5 2 3 2" xfId="47293"/>
    <cellStyle name="Normal 7 5 2 5 2 4" xfId="47294"/>
    <cellStyle name="Normal 7 5 2 5 2 4 2" xfId="47295"/>
    <cellStyle name="Normal 7 5 2 5 2 5" xfId="47296"/>
    <cellStyle name="Normal 7 5 2 5 2 5 2" xfId="47297"/>
    <cellStyle name="Normal 7 5 2 5 2 6" xfId="47298"/>
    <cellStyle name="Normal 7 5 2 5 2 7" xfId="47299"/>
    <cellStyle name="Normal 7 5 2 5 2 8" xfId="47300"/>
    <cellStyle name="Normal 7 5 2 5 2 9" xfId="47301"/>
    <cellStyle name="Normal 7 5 2 5 3" xfId="47302"/>
    <cellStyle name="Normal 7 5 2 5 3 2" xfId="47303"/>
    <cellStyle name="Normal 7 5 2 5 3 2 2" xfId="47304"/>
    <cellStyle name="Normal 7 5 2 5 3 3" xfId="47305"/>
    <cellStyle name="Normal 7 5 2 5 3 4" xfId="47306"/>
    <cellStyle name="Normal 7 5 2 5 3 5" xfId="47307"/>
    <cellStyle name="Normal 7 5 2 5 4" xfId="47308"/>
    <cellStyle name="Normal 7 5 2 5 4 2" xfId="47309"/>
    <cellStyle name="Normal 7 5 2 5 5" xfId="47310"/>
    <cellStyle name="Normal 7 5 2 5 5 2" xfId="47311"/>
    <cellStyle name="Normal 7 5 2 5 6" xfId="47312"/>
    <cellStyle name="Normal 7 5 2 5 6 2" xfId="47313"/>
    <cellStyle name="Normal 7 5 2 5 7" xfId="47314"/>
    <cellStyle name="Normal 7 5 2 5 7 2" xfId="47315"/>
    <cellStyle name="Normal 7 5 2 5 8" xfId="47316"/>
    <cellStyle name="Normal 7 5 2 5 9" xfId="47317"/>
    <cellStyle name="Normal 7 5 2 6" xfId="47318"/>
    <cellStyle name="Normal 7 5 2 6 2" xfId="47319"/>
    <cellStyle name="Normal 7 5 2 6 2 2" xfId="47320"/>
    <cellStyle name="Normal 7 5 2 6 3" xfId="47321"/>
    <cellStyle name="Normal 7 5 2 6 3 2" xfId="47322"/>
    <cellStyle name="Normal 7 5 2 6 4" xfId="47323"/>
    <cellStyle name="Normal 7 5 2 6 4 2" xfId="47324"/>
    <cellStyle name="Normal 7 5 2 6 5" xfId="47325"/>
    <cellStyle name="Normal 7 5 2 6 5 2" xfId="47326"/>
    <cellStyle name="Normal 7 5 2 6 6" xfId="47327"/>
    <cellStyle name="Normal 7 5 2 6 7" xfId="47328"/>
    <cellStyle name="Normal 7 5 2 6 8" xfId="47329"/>
    <cellStyle name="Normal 7 5 2 6 9" xfId="47330"/>
    <cellStyle name="Normal 7 5 2 7" xfId="47331"/>
    <cellStyle name="Normal 7 5 2 7 2" xfId="47332"/>
    <cellStyle name="Normal 7 5 2 7 2 2" xfId="47333"/>
    <cellStyle name="Normal 7 5 2 7 3" xfId="47334"/>
    <cellStyle name="Normal 7 5 2 7 4" xfId="47335"/>
    <cellStyle name="Normal 7 5 2 7 5" xfId="47336"/>
    <cellStyle name="Normal 7 5 2 8" xfId="47337"/>
    <cellStyle name="Normal 7 5 2 8 2" xfId="47338"/>
    <cellStyle name="Normal 7 5 2 9" xfId="47339"/>
    <cellStyle name="Normal 7 5 2 9 2" xfId="47340"/>
    <cellStyle name="Normal 7 5 20" xfId="47341"/>
    <cellStyle name="Normal 7 5 21" xfId="47342"/>
    <cellStyle name="Normal 7 5 22" xfId="47343"/>
    <cellStyle name="Normal 7 5 23" xfId="47344"/>
    <cellStyle name="Normal 7 5 24" xfId="47345"/>
    <cellStyle name="Normal 7 5 25" xfId="47346"/>
    <cellStyle name="Normal 7 5 3" xfId="47347"/>
    <cellStyle name="Normal 7 5 3 10" xfId="47348"/>
    <cellStyle name="Normal 7 5 3 11" xfId="47349"/>
    <cellStyle name="Normal 7 5 3 12" xfId="47350"/>
    <cellStyle name="Normal 7 5 3 13" xfId="47351"/>
    <cellStyle name="Normal 7 5 3 14" xfId="47352"/>
    <cellStyle name="Normal 7 5 3 15" xfId="47353"/>
    <cellStyle name="Normal 7 5 3 16" xfId="47354"/>
    <cellStyle name="Normal 7 5 3 17" xfId="47355"/>
    <cellStyle name="Normal 7 5 3 18" xfId="47356"/>
    <cellStyle name="Normal 7 5 3 2" xfId="47357"/>
    <cellStyle name="Normal 7 5 3 2 10" xfId="47358"/>
    <cellStyle name="Normal 7 5 3 2 11" xfId="47359"/>
    <cellStyle name="Normal 7 5 3 2 12" xfId="47360"/>
    <cellStyle name="Normal 7 5 3 2 13" xfId="47361"/>
    <cellStyle name="Normal 7 5 3 2 2" xfId="47362"/>
    <cellStyle name="Normal 7 5 3 2 2 2" xfId="47363"/>
    <cellStyle name="Normal 7 5 3 2 2 2 2" xfId="47364"/>
    <cellStyle name="Normal 7 5 3 2 2 3" xfId="47365"/>
    <cellStyle name="Normal 7 5 3 2 2 4" xfId="47366"/>
    <cellStyle name="Normal 7 5 3 2 2 5" xfId="47367"/>
    <cellStyle name="Normal 7 5 3 2 3" xfId="47368"/>
    <cellStyle name="Normal 7 5 3 2 3 2" xfId="47369"/>
    <cellStyle name="Normal 7 5 3 2 4" xfId="47370"/>
    <cellStyle name="Normal 7 5 3 2 4 2" xfId="47371"/>
    <cellStyle name="Normal 7 5 3 2 5" xfId="47372"/>
    <cellStyle name="Normal 7 5 3 2 5 2" xfId="47373"/>
    <cellStyle name="Normal 7 5 3 2 6" xfId="47374"/>
    <cellStyle name="Normal 7 5 3 2 6 2" xfId="47375"/>
    <cellStyle name="Normal 7 5 3 2 7" xfId="47376"/>
    <cellStyle name="Normal 7 5 3 2 8" xfId="47377"/>
    <cellStyle name="Normal 7 5 3 2 9" xfId="47378"/>
    <cellStyle name="Normal 7 5 3 3" xfId="47379"/>
    <cellStyle name="Normal 7 5 3 3 2" xfId="47380"/>
    <cellStyle name="Normal 7 5 3 3 2 2" xfId="47381"/>
    <cellStyle name="Normal 7 5 3 3 3" xfId="47382"/>
    <cellStyle name="Normal 7 5 3 3 4" xfId="47383"/>
    <cellStyle name="Normal 7 5 3 3 5" xfId="47384"/>
    <cellStyle name="Normal 7 5 3 4" xfId="47385"/>
    <cellStyle name="Normal 7 5 3 4 2" xfId="47386"/>
    <cellStyle name="Normal 7 5 3 5" xfId="47387"/>
    <cellStyle name="Normal 7 5 3 5 2" xfId="47388"/>
    <cellStyle name="Normal 7 5 3 6" xfId="47389"/>
    <cellStyle name="Normal 7 5 3 6 2" xfId="47390"/>
    <cellStyle name="Normal 7 5 3 7" xfId="47391"/>
    <cellStyle name="Normal 7 5 3 7 2" xfId="47392"/>
    <cellStyle name="Normal 7 5 3 8" xfId="47393"/>
    <cellStyle name="Normal 7 5 3 9" xfId="47394"/>
    <cellStyle name="Normal 7 5 4" xfId="47395"/>
    <cellStyle name="Normal 7 5 4 10" xfId="47396"/>
    <cellStyle name="Normal 7 5 4 11" xfId="47397"/>
    <cellStyle name="Normal 7 5 4 12" xfId="47398"/>
    <cellStyle name="Normal 7 5 4 13" xfId="47399"/>
    <cellStyle name="Normal 7 5 4 14" xfId="47400"/>
    <cellStyle name="Normal 7 5 4 15" xfId="47401"/>
    <cellStyle name="Normal 7 5 4 16" xfId="47402"/>
    <cellStyle name="Normal 7 5 4 17" xfId="47403"/>
    <cellStyle name="Normal 7 5 4 18" xfId="47404"/>
    <cellStyle name="Normal 7 5 4 2" xfId="47405"/>
    <cellStyle name="Normal 7 5 4 2 10" xfId="47406"/>
    <cellStyle name="Normal 7 5 4 2 11" xfId="47407"/>
    <cellStyle name="Normal 7 5 4 2 12" xfId="47408"/>
    <cellStyle name="Normal 7 5 4 2 13" xfId="47409"/>
    <cellStyle name="Normal 7 5 4 2 2" xfId="47410"/>
    <cellStyle name="Normal 7 5 4 2 2 2" xfId="47411"/>
    <cellStyle name="Normal 7 5 4 2 2 2 2" xfId="47412"/>
    <cellStyle name="Normal 7 5 4 2 2 3" xfId="47413"/>
    <cellStyle name="Normal 7 5 4 2 2 4" xfId="47414"/>
    <cellStyle name="Normal 7 5 4 2 2 5" xfId="47415"/>
    <cellStyle name="Normal 7 5 4 2 3" xfId="47416"/>
    <cellStyle name="Normal 7 5 4 2 3 2" xfId="47417"/>
    <cellStyle name="Normal 7 5 4 2 4" xfId="47418"/>
    <cellStyle name="Normal 7 5 4 2 4 2" xfId="47419"/>
    <cellStyle name="Normal 7 5 4 2 5" xfId="47420"/>
    <cellStyle name="Normal 7 5 4 2 5 2" xfId="47421"/>
    <cellStyle name="Normal 7 5 4 2 6" xfId="47422"/>
    <cellStyle name="Normal 7 5 4 2 6 2" xfId="47423"/>
    <cellStyle name="Normal 7 5 4 2 7" xfId="47424"/>
    <cellStyle name="Normal 7 5 4 2 8" xfId="47425"/>
    <cellStyle name="Normal 7 5 4 2 9" xfId="47426"/>
    <cellStyle name="Normal 7 5 4 3" xfId="47427"/>
    <cellStyle name="Normal 7 5 4 3 2" xfId="47428"/>
    <cellStyle name="Normal 7 5 4 3 2 2" xfId="47429"/>
    <cellStyle name="Normal 7 5 4 3 3" xfId="47430"/>
    <cellStyle name="Normal 7 5 4 3 4" xfId="47431"/>
    <cellStyle name="Normal 7 5 4 3 5" xfId="47432"/>
    <cellStyle name="Normal 7 5 4 4" xfId="47433"/>
    <cellStyle name="Normal 7 5 4 4 2" xfId="47434"/>
    <cellStyle name="Normal 7 5 4 5" xfId="47435"/>
    <cellStyle name="Normal 7 5 4 5 2" xfId="47436"/>
    <cellStyle name="Normal 7 5 4 6" xfId="47437"/>
    <cellStyle name="Normal 7 5 4 6 2" xfId="47438"/>
    <cellStyle name="Normal 7 5 4 7" xfId="47439"/>
    <cellStyle name="Normal 7 5 4 7 2" xfId="47440"/>
    <cellStyle name="Normal 7 5 4 8" xfId="47441"/>
    <cellStyle name="Normal 7 5 4 9" xfId="47442"/>
    <cellStyle name="Normal 7 5 5" xfId="47443"/>
    <cellStyle name="Normal 7 5 5 10" xfId="47444"/>
    <cellStyle name="Normal 7 5 5 11" xfId="47445"/>
    <cellStyle name="Normal 7 5 5 12" xfId="47446"/>
    <cellStyle name="Normal 7 5 5 13" xfId="47447"/>
    <cellStyle name="Normal 7 5 5 14" xfId="47448"/>
    <cellStyle name="Normal 7 5 5 15" xfId="47449"/>
    <cellStyle name="Normal 7 5 5 16" xfId="47450"/>
    <cellStyle name="Normal 7 5 5 17" xfId="47451"/>
    <cellStyle name="Normal 7 5 5 18" xfId="47452"/>
    <cellStyle name="Normal 7 5 5 2" xfId="47453"/>
    <cellStyle name="Normal 7 5 5 2 10" xfId="47454"/>
    <cellStyle name="Normal 7 5 5 2 11" xfId="47455"/>
    <cellStyle name="Normal 7 5 5 2 12" xfId="47456"/>
    <cellStyle name="Normal 7 5 5 2 13" xfId="47457"/>
    <cellStyle name="Normal 7 5 5 2 2" xfId="47458"/>
    <cellStyle name="Normal 7 5 5 2 2 2" xfId="47459"/>
    <cellStyle name="Normal 7 5 5 2 2 2 2" xfId="47460"/>
    <cellStyle name="Normal 7 5 5 2 2 3" xfId="47461"/>
    <cellStyle name="Normal 7 5 5 2 2 4" xfId="47462"/>
    <cellStyle name="Normal 7 5 5 2 2 5" xfId="47463"/>
    <cellStyle name="Normal 7 5 5 2 3" xfId="47464"/>
    <cellStyle name="Normal 7 5 5 2 3 2" xfId="47465"/>
    <cellStyle name="Normal 7 5 5 2 4" xfId="47466"/>
    <cellStyle name="Normal 7 5 5 2 4 2" xfId="47467"/>
    <cellStyle name="Normal 7 5 5 2 5" xfId="47468"/>
    <cellStyle name="Normal 7 5 5 2 5 2" xfId="47469"/>
    <cellStyle name="Normal 7 5 5 2 6" xfId="47470"/>
    <cellStyle name="Normal 7 5 5 2 6 2" xfId="47471"/>
    <cellStyle name="Normal 7 5 5 2 7" xfId="47472"/>
    <cellStyle name="Normal 7 5 5 2 8" xfId="47473"/>
    <cellStyle name="Normal 7 5 5 2 9" xfId="47474"/>
    <cellStyle name="Normal 7 5 5 3" xfId="47475"/>
    <cellStyle name="Normal 7 5 5 3 2" xfId="47476"/>
    <cellStyle name="Normal 7 5 5 3 2 2" xfId="47477"/>
    <cellStyle name="Normal 7 5 5 3 3" xfId="47478"/>
    <cellStyle name="Normal 7 5 5 3 4" xfId="47479"/>
    <cellStyle name="Normal 7 5 5 3 5" xfId="47480"/>
    <cellStyle name="Normal 7 5 5 4" xfId="47481"/>
    <cellStyle name="Normal 7 5 5 4 2" xfId="47482"/>
    <cellStyle name="Normal 7 5 5 5" xfId="47483"/>
    <cellStyle name="Normal 7 5 5 5 2" xfId="47484"/>
    <cellStyle name="Normal 7 5 5 6" xfId="47485"/>
    <cellStyle name="Normal 7 5 5 6 2" xfId="47486"/>
    <cellStyle name="Normal 7 5 5 7" xfId="47487"/>
    <cellStyle name="Normal 7 5 5 7 2" xfId="47488"/>
    <cellStyle name="Normal 7 5 5 8" xfId="47489"/>
    <cellStyle name="Normal 7 5 5 9" xfId="47490"/>
    <cellStyle name="Normal 7 5 6" xfId="47491"/>
    <cellStyle name="Normal 7 5 6 10" xfId="47492"/>
    <cellStyle name="Normal 7 5 6 11" xfId="47493"/>
    <cellStyle name="Normal 7 5 6 12" xfId="47494"/>
    <cellStyle name="Normal 7 5 6 13" xfId="47495"/>
    <cellStyle name="Normal 7 5 6 14" xfId="47496"/>
    <cellStyle name="Normal 7 5 6 15" xfId="47497"/>
    <cellStyle name="Normal 7 5 6 16" xfId="47498"/>
    <cellStyle name="Normal 7 5 6 17" xfId="47499"/>
    <cellStyle name="Normal 7 5 6 18" xfId="47500"/>
    <cellStyle name="Normal 7 5 6 2" xfId="47501"/>
    <cellStyle name="Normal 7 5 6 2 10" xfId="47502"/>
    <cellStyle name="Normal 7 5 6 2 11" xfId="47503"/>
    <cellStyle name="Normal 7 5 6 2 12" xfId="47504"/>
    <cellStyle name="Normal 7 5 6 2 13" xfId="47505"/>
    <cellStyle name="Normal 7 5 6 2 2" xfId="47506"/>
    <cellStyle name="Normal 7 5 6 2 2 2" xfId="47507"/>
    <cellStyle name="Normal 7 5 6 2 2 2 2" xfId="47508"/>
    <cellStyle name="Normal 7 5 6 2 2 3" xfId="47509"/>
    <cellStyle name="Normal 7 5 6 2 2 4" xfId="47510"/>
    <cellStyle name="Normal 7 5 6 2 2 5" xfId="47511"/>
    <cellStyle name="Normal 7 5 6 2 3" xfId="47512"/>
    <cellStyle name="Normal 7 5 6 2 3 2" xfId="47513"/>
    <cellStyle name="Normal 7 5 6 2 4" xfId="47514"/>
    <cellStyle name="Normal 7 5 6 2 4 2" xfId="47515"/>
    <cellStyle name="Normal 7 5 6 2 5" xfId="47516"/>
    <cellStyle name="Normal 7 5 6 2 5 2" xfId="47517"/>
    <cellStyle name="Normal 7 5 6 2 6" xfId="47518"/>
    <cellStyle name="Normal 7 5 6 2 6 2" xfId="47519"/>
    <cellStyle name="Normal 7 5 6 2 7" xfId="47520"/>
    <cellStyle name="Normal 7 5 6 2 8" xfId="47521"/>
    <cellStyle name="Normal 7 5 6 2 9" xfId="47522"/>
    <cellStyle name="Normal 7 5 6 3" xfId="47523"/>
    <cellStyle name="Normal 7 5 6 3 2" xfId="47524"/>
    <cellStyle name="Normal 7 5 6 3 2 2" xfId="47525"/>
    <cellStyle name="Normal 7 5 6 3 3" xfId="47526"/>
    <cellStyle name="Normal 7 5 6 3 4" xfId="47527"/>
    <cellStyle name="Normal 7 5 6 3 5" xfId="47528"/>
    <cellStyle name="Normal 7 5 6 4" xfId="47529"/>
    <cellStyle name="Normal 7 5 6 4 2" xfId="47530"/>
    <cellStyle name="Normal 7 5 6 5" xfId="47531"/>
    <cellStyle name="Normal 7 5 6 5 2" xfId="47532"/>
    <cellStyle name="Normal 7 5 6 6" xfId="47533"/>
    <cellStyle name="Normal 7 5 6 6 2" xfId="47534"/>
    <cellStyle name="Normal 7 5 6 7" xfId="47535"/>
    <cellStyle name="Normal 7 5 6 7 2" xfId="47536"/>
    <cellStyle name="Normal 7 5 6 8" xfId="47537"/>
    <cellStyle name="Normal 7 5 6 9" xfId="47538"/>
    <cellStyle name="Normal 7 5 7" xfId="47539"/>
    <cellStyle name="Normal 7 5 7 10" xfId="47540"/>
    <cellStyle name="Normal 7 5 7 11" xfId="47541"/>
    <cellStyle name="Normal 7 5 7 12" xfId="47542"/>
    <cellStyle name="Normal 7 5 7 13" xfId="47543"/>
    <cellStyle name="Normal 7 5 7 14" xfId="47544"/>
    <cellStyle name="Normal 7 5 7 15" xfId="47545"/>
    <cellStyle name="Normal 7 5 7 16" xfId="47546"/>
    <cellStyle name="Normal 7 5 7 17" xfId="47547"/>
    <cellStyle name="Normal 7 5 7 2" xfId="47548"/>
    <cellStyle name="Normal 7 5 7 2 10" xfId="47549"/>
    <cellStyle name="Normal 7 5 7 2 11" xfId="47550"/>
    <cellStyle name="Normal 7 5 7 2 12" xfId="47551"/>
    <cellStyle name="Normal 7 5 7 2 13" xfId="47552"/>
    <cellStyle name="Normal 7 5 7 2 2" xfId="47553"/>
    <cellStyle name="Normal 7 5 7 2 2 2" xfId="47554"/>
    <cellStyle name="Normal 7 5 7 2 2 2 2" xfId="47555"/>
    <cellStyle name="Normal 7 5 7 2 2 3" xfId="47556"/>
    <cellStyle name="Normal 7 5 7 2 2 4" xfId="47557"/>
    <cellStyle name="Normal 7 5 7 2 2 5" xfId="47558"/>
    <cellStyle name="Normal 7 5 7 2 3" xfId="47559"/>
    <cellStyle name="Normal 7 5 7 2 3 2" xfId="47560"/>
    <cellStyle name="Normal 7 5 7 2 4" xfId="47561"/>
    <cellStyle name="Normal 7 5 7 2 4 2" xfId="47562"/>
    <cellStyle name="Normal 7 5 7 2 5" xfId="47563"/>
    <cellStyle name="Normal 7 5 7 2 5 2" xfId="47564"/>
    <cellStyle name="Normal 7 5 7 2 6" xfId="47565"/>
    <cellStyle name="Normal 7 5 7 2 6 2" xfId="47566"/>
    <cellStyle name="Normal 7 5 7 2 7" xfId="47567"/>
    <cellStyle name="Normal 7 5 7 2 8" xfId="47568"/>
    <cellStyle name="Normal 7 5 7 2 9" xfId="47569"/>
    <cellStyle name="Normal 7 5 7 3" xfId="47570"/>
    <cellStyle name="Normal 7 5 7 3 2" xfId="47571"/>
    <cellStyle name="Normal 7 5 7 3 2 2" xfId="47572"/>
    <cellStyle name="Normal 7 5 7 3 3" xfId="47573"/>
    <cellStyle name="Normal 7 5 7 3 4" xfId="47574"/>
    <cellStyle name="Normal 7 5 7 3 5" xfId="47575"/>
    <cellStyle name="Normal 7 5 7 4" xfId="47576"/>
    <cellStyle name="Normal 7 5 7 4 2" xfId="47577"/>
    <cellStyle name="Normal 7 5 7 5" xfId="47578"/>
    <cellStyle name="Normal 7 5 7 5 2" xfId="47579"/>
    <cellStyle name="Normal 7 5 7 6" xfId="47580"/>
    <cellStyle name="Normal 7 5 7 6 2" xfId="47581"/>
    <cellStyle name="Normal 7 5 7 7" xfId="47582"/>
    <cellStyle name="Normal 7 5 7 7 2" xfId="47583"/>
    <cellStyle name="Normal 7 5 7 8" xfId="47584"/>
    <cellStyle name="Normal 7 5 7 9" xfId="47585"/>
    <cellStyle name="Normal 7 5 8" xfId="47586"/>
    <cellStyle name="Normal 7 5 8 10" xfId="47587"/>
    <cellStyle name="Normal 7 5 8 11" xfId="47588"/>
    <cellStyle name="Normal 7 5 8 12" xfId="47589"/>
    <cellStyle name="Normal 7 5 8 13" xfId="47590"/>
    <cellStyle name="Normal 7 5 8 14" xfId="47591"/>
    <cellStyle name="Normal 7 5 8 15" xfId="47592"/>
    <cellStyle name="Normal 7 5 8 2" xfId="47593"/>
    <cellStyle name="Normal 7 5 8 2 2" xfId="47594"/>
    <cellStyle name="Normal 7 5 8 2 2 2" xfId="47595"/>
    <cellStyle name="Normal 7 5 8 2 3" xfId="47596"/>
    <cellStyle name="Normal 7 5 8 2 3 2" xfId="47597"/>
    <cellStyle name="Normal 7 5 8 2 4" xfId="47598"/>
    <cellStyle name="Normal 7 5 8 2 4 2" xfId="47599"/>
    <cellStyle name="Normal 7 5 8 2 5" xfId="47600"/>
    <cellStyle name="Normal 7 5 8 2 5 2" xfId="47601"/>
    <cellStyle name="Normal 7 5 8 2 6" xfId="47602"/>
    <cellStyle name="Normal 7 5 8 2 7" xfId="47603"/>
    <cellStyle name="Normal 7 5 8 2 8" xfId="47604"/>
    <cellStyle name="Normal 7 5 8 2 9" xfId="47605"/>
    <cellStyle name="Normal 7 5 8 3" xfId="47606"/>
    <cellStyle name="Normal 7 5 8 3 2" xfId="47607"/>
    <cellStyle name="Normal 7 5 8 3 2 2" xfId="47608"/>
    <cellStyle name="Normal 7 5 8 3 3" xfId="47609"/>
    <cellStyle name="Normal 7 5 8 3 4" xfId="47610"/>
    <cellStyle name="Normal 7 5 8 3 5" xfId="47611"/>
    <cellStyle name="Normal 7 5 8 4" xfId="47612"/>
    <cellStyle name="Normal 7 5 8 4 2" xfId="47613"/>
    <cellStyle name="Normal 7 5 8 5" xfId="47614"/>
    <cellStyle name="Normal 7 5 8 5 2" xfId="47615"/>
    <cellStyle name="Normal 7 5 8 6" xfId="47616"/>
    <cellStyle name="Normal 7 5 8 6 2" xfId="47617"/>
    <cellStyle name="Normal 7 5 8 7" xfId="47618"/>
    <cellStyle name="Normal 7 5 8 7 2" xfId="47619"/>
    <cellStyle name="Normal 7 5 8 8" xfId="47620"/>
    <cellStyle name="Normal 7 5 8 9" xfId="47621"/>
    <cellStyle name="Normal 7 5 9" xfId="47622"/>
    <cellStyle name="Normal 7 5 9 10" xfId="47623"/>
    <cellStyle name="Normal 7 5 9 11" xfId="47624"/>
    <cellStyle name="Normal 7 5 9 12" xfId="47625"/>
    <cellStyle name="Normal 7 5 9 13" xfId="47626"/>
    <cellStyle name="Normal 7 5 9 14" xfId="47627"/>
    <cellStyle name="Normal 7 5 9 15" xfId="47628"/>
    <cellStyle name="Normal 7 5 9 2" xfId="47629"/>
    <cellStyle name="Normal 7 5 9 2 2" xfId="47630"/>
    <cellStyle name="Normal 7 5 9 2 2 2" xfId="47631"/>
    <cellStyle name="Normal 7 5 9 2 3" xfId="47632"/>
    <cellStyle name="Normal 7 5 9 2 3 2" xfId="47633"/>
    <cellStyle name="Normal 7 5 9 2 4" xfId="47634"/>
    <cellStyle name="Normal 7 5 9 2 4 2" xfId="47635"/>
    <cellStyle name="Normal 7 5 9 2 5" xfId="47636"/>
    <cellStyle name="Normal 7 5 9 2 5 2" xfId="47637"/>
    <cellStyle name="Normal 7 5 9 2 6" xfId="47638"/>
    <cellStyle name="Normal 7 5 9 2 7" xfId="47639"/>
    <cellStyle name="Normal 7 5 9 2 8" xfId="47640"/>
    <cellStyle name="Normal 7 5 9 2 9" xfId="47641"/>
    <cellStyle name="Normal 7 5 9 3" xfId="47642"/>
    <cellStyle name="Normal 7 5 9 3 2" xfId="47643"/>
    <cellStyle name="Normal 7 5 9 3 2 2" xfId="47644"/>
    <cellStyle name="Normal 7 5 9 3 3" xfId="47645"/>
    <cellStyle name="Normal 7 5 9 3 4" xfId="47646"/>
    <cellStyle name="Normal 7 5 9 3 5" xfId="47647"/>
    <cellStyle name="Normal 7 5 9 4" xfId="47648"/>
    <cellStyle name="Normal 7 5 9 4 2" xfId="47649"/>
    <cellStyle name="Normal 7 5 9 5" xfId="47650"/>
    <cellStyle name="Normal 7 5 9 5 2" xfId="47651"/>
    <cellStyle name="Normal 7 5 9 6" xfId="47652"/>
    <cellStyle name="Normal 7 5 9 6 2" xfId="47653"/>
    <cellStyle name="Normal 7 5 9 7" xfId="47654"/>
    <cellStyle name="Normal 7 5 9 7 2" xfId="47655"/>
    <cellStyle name="Normal 7 5 9 8" xfId="47656"/>
    <cellStyle name="Normal 7 5 9 9" xfId="47657"/>
    <cellStyle name="Normal 7 6" xfId="47658"/>
    <cellStyle name="Normal 7 6 10" xfId="47659"/>
    <cellStyle name="Normal 7 6 10 10" xfId="47660"/>
    <cellStyle name="Normal 7 6 10 11" xfId="47661"/>
    <cellStyle name="Normal 7 6 10 12" xfId="47662"/>
    <cellStyle name="Normal 7 6 10 13" xfId="47663"/>
    <cellStyle name="Normal 7 6 10 14" xfId="47664"/>
    <cellStyle name="Normal 7 6 10 2" xfId="47665"/>
    <cellStyle name="Normal 7 6 10 2 2" xfId="47666"/>
    <cellStyle name="Normal 7 6 10 2 2 2" xfId="47667"/>
    <cellStyle name="Normal 7 6 10 2 3" xfId="47668"/>
    <cellStyle name="Normal 7 6 10 2 3 2" xfId="47669"/>
    <cellStyle name="Normal 7 6 10 2 4" xfId="47670"/>
    <cellStyle name="Normal 7 6 10 2 4 2" xfId="47671"/>
    <cellStyle name="Normal 7 6 10 2 5" xfId="47672"/>
    <cellStyle name="Normal 7 6 10 2 5 2" xfId="47673"/>
    <cellStyle name="Normal 7 6 10 2 6" xfId="47674"/>
    <cellStyle name="Normal 7 6 10 2 7" xfId="47675"/>
    <cellStyle name="Normal 7 6 10 2 8" xfId="47676"/>
    <cellStyle name="Normal 7 6 10 2 9" xfId="47677"/>
    <cellStyle name="Normal 7 6 10 3" xfId="47678"/>
    <cellStyle name="Normal 7 6 10 3 2" xfId="47679"/>
    <cellStyle name="Normal 7 6 10 3 2 2" xfId="47680"/>
    <cellStyle name="Normal 7 6 10 3 3" xfId="47681"/>
    <cellStyle name="Normal 7 6 10 3 4" xfId="47682"/>
    <cellStyle name="Normal 7 6 10 3 5" xfId="47683"/>
    <cellStyle name="Normal 7 6 10 4" xfId="47684"/>
    <cellStyle name="Normal 7 6 10 4 2" xfId="47685"/>
    <cellStyle name="Normal 7 6 10 5" xfId="47686"/>
    <cellStyle name="Normal 7 6 10 5 2" xfId="47687"/>
    <cellStyle name="Normal 7 6 10 6" xfId="47688"/>
    <cellStyle name="Normal 7 6 10 6 2" xfId="47689"/>
    <cellStyle name="Normal 7 6 10 7" xfId="47690"/>
    <cellStyle name="Normal 7 6 10 7 2" xfId="47691"/>
    <cellStyle name="Normal 7 6 10 8" xfId="47692"/>
    <cellStyle name="Normal 7 6 10 9" xfId="47693"/>
    <cellStyle name="Normal 7 6 11" xfId="47694"/>
    <cellStyle name="Normal 7 6 11 2" xfId="47695"/>
    <cellStyle name="Normal 7 6 11 2 2" xfId="47696"/>
    <cellStyle name="Normal 7 6 11 3" xfId="47697"/>
    <cellStyle name="Normal 7 6 11 3 2" xfId="47698"/>
    <cellStyle name="Normal 7 6 11 4" xfId="47699"/>
    <cellStyle name="Normal 7 6 11 4 2" xfId="47700"/>
    <cellStyle name="Normal 7 6 11 5" xfId="47701"/>
    <cellStyle name="Normal 7 6 11 5 2" xfId="47702"/>
    <cellStyle name="Normal 7 6 11 6" xfId="47703"/>
    <cellStyle name="Normal 7 6 11 7" xfId="47704"/>
    <cellStyle name="Normal 7 6 11 8" xfId="47705"/>
    <cellStyle name="Normal 7 6 11 9" xfId="47706"/>
    <cellStyle name="Normal 7 6 12" xfId="47707"/>
    <cellStyle name="Normal 7 6 12 2" xfId="47708"/>
    <cellStyle name="Normal 7 6 12 2 2" xfId="47709"/>
    <cellStyle name="Normal 7 6 12 3" xfId="47710"/>
    <cellStyle name="Normal 7 6 12 4" xfId="47711"/>
    <cellStyle name="Normal 7 6 12 5" xfId="47712"/>
    <cellStyle name="Normal 7 6 13" xfId="47713"/>
    <cellStyle name="Normal 7 6 13 2" xfId="47714"/>
    <cellStyle name="Normal 7 6 14" xfId="47715"/>
    <cellStyle name="Normal 7 6 14 2" xfId="47716"/>
    <cellStyle name="Normal 7 6 15" xfId="47717"/>
    <cellStyle name="Normal 7 6 15 2" xfId="47718"/>
    <cellStyle name="Normal 7 6 16" xfId="47719"/>
    <cellStyle name="Normal 7 6 16 2" xfId="47720"/>
    <cellStyle name="Normal 7 6 17" xfId="47721"/>
    <cellStyle name="Normal 7 6 18" xfId="47722"/>
    <cellStyle name="Normal 7 6 19" xfId="47723"/>
    <cellStyle name="Normal 7 6 2" xfId="47724"/>
    <cellStyle name="Normal 7 6 2 10" xfId="47725"/>
    <cellStyle name="Normal 7 6 2 11" xfId="47726"/>
    <cellStyle name="Normal 7 6 2 12" xfId="47727"/>
    <cellStyle name="Normal 7 6 2 13" xfId="47728"/>
    <cellStyle name="Normal 7 6 2 14" xfId="47729"/>
    <cellStyle name="Normal 7 6 2 15" xfId="47730"/>
    <cellStyle name="Normal 7 6 2 16" xfId="47731"/>
    <cellStyle name="Normal 7 6 2 17" xfId="47732"/>
    <cellStyle name="Normal 7 6 2 18" xfId="47733"/>
    <cellStyle name="Normal 7 6 2 2" xfId="47734"/>
    <cellStyle name="Normal 7 6 2 2 10" xfId="47735"/>
    <cellStyle name="Normal 7 6 2 2 11" xfId="47736"/>
    <cellStyle name="Normal 7 6 2 2 12" xfId="47737"/>
    <cellStyle name="Normal 7 6 2 2 13" xfId="47738"/>
    <cellStyle name="Normal 7 6 2 2 2" xfId="47739"/>
    <cellStyle name="Normal 7 6 2 2 2 2" xfId="47740"/>
    <cellStyle name="Normal 7 6 2 2 2 2 2" xfId="47741"/>
    <cellStyle name="Normal 7 6 2 2 2 3" xfId="47742"/>
    <cellStyle name="Normal 7 6 2 2 2 4" xfId="47743"/>
    <cellStyle name="Normal 7 6 2 2 2 5" xfId="47744"/>
    <cellStyle name="Normal 7 6 2 2 3" xfId="47745"/>
    <cellStyle name="Normal 7 6 2 2 3 2" xfId="47746"/>
    <cellStyle name="Normal 7 6 2 2 4" xfId="47747"/>
    <cellStyle name="Normal 7 6 2 2 4 2" xfId="47748"/>
    <cellStyle name="Normal 7 6 2 2 5" xfId="47749"/>
    <cellStyle name="Normal 7 6 2 2 5 2" xfId="47750"/>
    <cellStyle name="Normal 7 6 2 2 6" xfId="47751"/>
    <cellStyle name="Normal 7 6 2 2 6 2" xfId="47752"/>
    <cellStyle name="Normal 7 6 2 2 7" xfId="47753"/>
    <cellStyle name="Normal 7 6 2 2 8" xfId="47754"/>
    <cellStyle name="Normal 7 6 2 2 9" xfId="47755"/>
    <cellStyle name="Normal 7 6 2 3" xfId="47756"/>
    <cellStyle name="Normal 7 6 2 3 2" xfId="47757"/>
    <cellStyle name="Normal 7 6 2 3 2 2" xfId="47758"/>
    <cellStyle name="Normal 7 6 2 3 3" xfId="47759"/>
    <cellStyle name="Normal 7 6 2 3 4" xfId="47760"/>
    <cellStyle name="Normal 7 6 2 3 5" xfId="47761"/>
    <cellStyle name="Normal 7 6 2 4" xfId="47762"/>
    <cellStyle name="Normal 7 6 2 4 2" xfId="47763"/>
    <cellStyle name="Normal 7 6 2 5" xfId="47764"/>
    <cellStyle name="Normal 7 6 2 5 2" xfId="47765"/>
    <cellStyle name="Normal 7 6 2 6" xfId="47766"/>
    <cellStyle name="Normal 7 6 2 6 2" xfId="47767"/>
    <cellStyle name="Normal 7 6 2 7" xfId="47768"/>
    <cellStyle name="Normal 7 6 2 7 2" xfId="47769"/>
    <cellStyle name="Normal 7 6 2 8" xfId="47770"/>
    <cellStyle name="Normal 7 6 2 9" xfId="47771"/>
    <cellStyle name="Normal 7 6 20" xfId="47772"/>
    <cellStyle name="Normal 7 6 21" xfId="47773"/>
    <cellStyle name="Normal 7 6 22" xfId="47774"/>
    <cellStyle name="Normal 7 6 23" xfId="47775"/>
    <cellStyle name="Normal 7 6 24" xfId="47776"/>
    <cellStyle name="Normal 7 6 25" xfId="47777"/>
    <cellStyle name="Normal 7 6 3" xfId="47778"/>
    <cellStyle name="Normal 7 6 3 10" xfId="47779"/>
    <cellStyle name="Normal 7 6 3 11" xfId="47780"/>
    <cellStyle name="Normal 7 6 3 12" xfId="47781"/>
    <cellStyle name="Normal 7 6 3 13" xfId="47782"/>
    <cellStyle name="Normal 7 6 3 14" xfId="47783"/>
    <cellStyle name="Normal 7 6 3 15" xfId="47784"/>
    <cellStyle name="Normal 7 6 3 16" xfId="47785"/>
    <cellStyle name="Normal 7 6 3 17" xfId="47786"/>
    <cellStyle name="Normal 7 6 3 18" xfId="47787"/>
    <cellStyle name="Normal 7 6 3 2" xfId="47788"/>
    <cellStyle name="Normal 7 6 3 2 10" xfId="47789"/>
    <cellStyle name="Normal 7 6 3 2 11" xfId="47790"/>
    <cellStyle name="Normal 7 6 3 2 12" xfId="47791"/>
    <cellStyle name="Normal 7 6 3 2 13" xfId="47792"/>
    <cellStyle name="Normal 7 6 3 2 2" xfId="47793"/>
    <cellStyle name="Normal 7 6 3 2 2 2" xfId="47794"/>
    <cellStyle name="Normal 7 6 3 2 2 2 2" xfId="47795"/>
    <cellStyle name="Normal 7 6 3 2 2 3" xfId="47796"/>
    <cellStyle name="Normal 7 6 3 2 2 4" xfId="47797"/>
    <cellStyle name="Normal 7 6 3 2 2 5" xfId="47798"/>
    <cellStyle name="Normal 7 6 3 2 3" xfId="47799"/>
    <cellStyle name="Normal 7 6 3 2 3 2" xfId="47800"/>
    <cellStyle name="Normal 7 6 3 2 4" xfId="47801"/>
    <cellStyle name="Normal 7 6 3 2 4 2" xfId="47802"/>
    <cellStyle name="Normal 7 6 3 2 5" xfId="47803"/>
    <cellStyle name="Normal 7 6 3 2 5 2" xfId="47804"/>
    <cellStyle name="Normal 7 6 3 2 6" xfId="47805"/>
    <cellStyle name="Normal 7 6 3 2 6 2" xfId="47806"/>
    <cellStyle name="Normal 7 6 3 2 7" xfId="47807"/>
    <cellStyle name="Normal 7 6 3 2 8" xfId="47808"/>
    <cellStyle name="Normal 7 6 3 2 9" xfId="47809"/>
    <cellStyle name="Normal 7 6 3 3" xfId="47810"/>
    <cellStyle name="Normal 7 6 3 3 2" xfId="47811"/>
    <cellStyle name="Normal 7 6 3 3 2 2" xfId="47812"/>
    <cellStyle name="Normal 7 6 3 3 3" xfId="47813"/>
    <cellStyle name="Normal 7 6 3 3 4" xfId="47814"/>
    <cellStyle name="Normal 7 6 3 3 5" xfId="47815"/>
    <cellStyle name="Normal 7 6 3 4" xfId="47816"/>
    <cellStyle name="Normal 7 6 3 4 2" xfId="47817"/>
    <cellStyle name="Normal 7 6 3 5" xfId="47818"/>
    <cellStyle name="Normal 7 6 3 5 2" xfId="47819"/>
    <cellStyle name="Normal 7 6 3 6" xfId="47820"/>
    <cellStyle name="Normal 7 6 3 6 2" xfId="47821"/>
    <cellStyle name="Normal 7 6 3 7" xfId="47822"/>
    <cellStyle name="Normal 7 6 3 7 2" xfId="47823"/>
    <cellStyle name="Normal 7 6 3 8" xfId="47824"/>
    <cellStyle name="Normal 7 6 3 9" xfId="47825"/>
    <cellStyle name="Normal 7 6 4" xfId="47826"/>
    <cellStyle name="Normal 7 6 4 10" xfId="47827"/>
    <cellStyle name="Normal 7 6 4 11" xfId="47828"/>
    <cellStyle name="Normal 7 6 4 12" xfId="47829"/>
    <cellStyle name="Normal 7 6 4 13" xfId="47830"/>
    <cellStyle name="Normal 7 6 4 14" xfId="47831"/>
    <cellStyle name="Normal 7 6 4 15" xfId="47832"/>
    <cellStyle name="Normal 7 6 4 16" xfId="47833"/>
    <cellStyle name="Normal 7 6 4 17" xfId="47834"/>
    <cellStyle name="Normal 7 6 4 18" xfId="47835"/>
    <cellStyle name="Normal 7 6 4 2" xfId="47836"/>
    <cellStyle name="Normal 7 6 4 2 10" xfId="47837"/>
    <cellStyle name="Normal 7 6 4 2 11" xfId="47838"/>
    <cellStyle name="Normal 7 6 4 2 12" xfId="47839"/>
    <cellStyle name="Normal 7 6 4 2 13" xfId="47840"/>
    <cellStyle name="Normal 7 6 4 2 2" xfId="47841"/>
    <cellStyle name="Normal 7 6 4 2 2 2" xfId="47842"/>
    <cellStyle name="Normal 7 6 4 2 2 2 2" xfId="47843"/>
    <cellStyle name="Normal 7 6 4 2 2 3" xfId="47844"/>
    <cellStyle name="Normal 7 6 4 2 2 4" xfId="47845"/>
    <cellStyle name="Normal 7 6 4 2 2 5" xfId="47846"/>
    <cellStyle name="Normal 7 6 4 2 3" xfId="47847"/>
    <cellStyle name="Normal 7 6 4 2 3 2" xfId="47848"/>
    <cellStyle name="Normal 7 6 4 2 4" xfId="47849"/>
    <cellStyle name="Normal 7 6 4 2 4 2" xfId="47850"/>
    <cellStyle name="Normal 7 6 4 2 5" xfId="47851"/>
    <cellStyle name="Normal 7 6 4 2 5 2" xfId="47852"/>
    <cellStyle name="Normal 7 6 4 2 6" xfId="47853"/>
    <cellStyle name="Normal 7 6 4 2 6 2" xfId="47854"/>
    <cellStyle name="Normal 7 6 4 2 7" xfId="47855"/>
    <cellStyle name="Normal 7 6 4 2 8" xfId="47856"/>
    <cellStyle name="Normal 7 6 4 2 9" xfId="47857"/>
    <cellStyle name="Normal 7 6 4 3" xfId="47858"/>
    <cellStyle name="Normal 7 6 4 3 2" xfId="47859"/>
    <cellStyle name="Normal 7 6 4 3 2 2" xfId="47860"/>
    <cellStyle name="Normal 7 6 4 3 3" xfId="47861"/>
    <cellStyle name="Normal 7 6 4 3 4" xfId="47862"/>
    <cellStyle name="Normal 7 6 4 3 5" xfId="47863"/>
    <cellStyle name="Normal 7 6 4 4" xfId="47864"/>
    <cellStyle name="Normal 7 6 4 4 2" xfId="47865"/>
    <cellStyle name="Normal 7 6 4 5" xfId="47866"/>
    <cellStyle name="Normal 7 6 4 5 2" xfId="47867"/>
    <cellStyle name="Normal 7 6 4 6" xfId="47868"/>
    <cellStyle name="Normal 7 6 4 6 2" xfId="47869"/>
    <cellStyle name="Normal 7 6 4 7" xfId="47870"/>
    <cellStyle name="Normal 7 6 4 7 2" xfId="47871"/>
    <cellStyle name="Normal 7 6 4 8" xfId="47872"/>
    <cellStyle name="Normal 7 6 4 9" xfId="47873"/>
    <cellStyle name="Normal 7 6 5" xfId="47874"/>
    <cellStyle name="Normal 7 6 5 10" xfId="47875"/>
    <cellStyle name="Normal 7 6 5 11" xfId="47876"/>
    <cellStyle name="Normal 7 6 5 12" xfId="47877"/>
    <cellStyle name="Normal 7 6 5 13" xfId="47878"/>
    <cellStyle name="Normal 7 6 5 14" xfId="47879"/>
    <cellStyle name="Normal 7 6 5 15" xfId="47880"/>
    <cellStyle name="Normal 7 6 5 16" xfId="47881"/>
    <cellStyle name="Normal 7 6 5 17" xfId="47882"/>
    <cellStyle name="Normal 7 6 5 2" xfId="47883"/>
    <cellStyle name="Normal 7 6 5 2 10" xfId="47884"/>
    <cellStyle name="Normal 7 6 5 2 11" xfId="47885"/>
    <cellStyle name="Normal 7 6 5 2 12" xfId="47886"/>
    <cellStyle name="Normal 7 6 5 2 13" xfId="47887"/>
    <cellStyle name="Normal 7 6 5 2 2" xfId="47888"/>
    <cellStyle name="Normal 7 6 5 2 2 2" xfId="47889"/>
    <cellStyle name="Normal 7 6 5 2 2 2 2" xfId="47890"/>
    <cellStyle name="Normal 7 6 5 2 2 3" xfId="47891"/>
    <cellStyle name="Normal 7 6 5 2 2 4" xfId="47892"/>
    <cellStyle name="Normal 7 6 5 2 2 5" xfId="47893"/>
    <cellStyle name="Normal 7 6 5 2 3" xfId="47894"/>
    <cellStyle name="Normal 7 6 5 2 3 2" xfId="47895"/>
    <cellStyle name="Normal 7 6 5 2 4" xfId="47896"/>
    <cellStyle name="Normal 7 6 5 2 4 2" xfId="47897"/>
    <cellStyle name="Normal 7 6 5 2 5" xfId="47898"/>
    <cellStyle name="Normal 7 6 5 2 5 2" xfId="47899"/>
    <cellStyle name="Normal 7 6 5 2 6" xfId="47900"/>
    <cellStyle name="Normal 7 6 5 2 6 2" xfId="47901"/>
    <cellStyle name="Normal 7 6 5 2 7" xfId="47902"/>
    <cellStyle name="Normal 7 6 5 2 8" xfId="47903"/>
    <cellStyle name="Normal 7 6 5 2 9" xfId="47904"/>
    <cellStyle name="Normal 7 6 5 3" xfId="47905"/>
    <cellStyle name="Normal 7 6 5 3 2" xfId="47906"/>
    <cellStyle name="Normal 7 6 5 3 2 2" xfId="47907"/>
    <cellStyle name="Normal 7 6 5 3 3" xfId="47908"/>
    <cellStyle name="Normal 7 6 5 3 4" xfId="47909"/>
    <cellStyle name="Normal 7 6 5 3 5" xfId="47910"/>
    <cellStyle name="Normal 7 6 5 4" xfId="47911"/>
    <cellStyle name="Normal 7 6 5 4 2" xfId="47912"/>
    <cellStyle name="Normal 7 6 5 5" xfId="47913"/>
    <cellStyle name="Normal 7 6 5 5 2" xfId="47914"/>
    <cellStyle name="Normal 7 6 5 6" xfId="47915"/>
    <cellStyle name="Normal 7 6 5 6 2" xfId="47916"/>
    <cellStyle name="Normal 7 6 5 7" xfId="47917"/>
    <cellStyle name="Normal 7 6 5 7 2" xfId="47918"/>
    <cellStyle name="Normal 7 6 5 8" xfId="47919"/>
    <cellStyle name="Normal 7 6 5 9" xfId="47920"/>
    <cellStyle name="Normal 7 6 6" xfId="47921"/>
    <cellStyle name="Normal 7 6 6 10" xfId="47922"/>
    <cellStyle name="Normal 7 6 6 11" xfId="47923"/>
    <cellStyle name="Normal 7 6 6 12" xfId="47924"/>
    <cellStyle name="Normal 7 6 6 13" xfId="47925"/>
    <cellStyle name="Normal 7 6 6 14" xfId="47926"/>
    <cellStyle name="Normal 7 6 6 15" xfId="47927"/>
    <cellStyle name="Normal 7 6 6 16" xfId="47928"/>
    <cellStyle name="Normal 7 6 6 17" xfId="47929"/>
    <cellStyle name="Normal 7 6 6 2" xfId="47930"/>
    <cellStyle name="Normal 7 6 6 2 10" xfId="47931"/>
    <cellStyle name="Normal 7 6 6 2 11" xfId="47932"/>
    <cellStyle name="Normal 7 6 6 2 12" xfId="47933"/>
    <cellStyle name="Normal 7 6 6 2 13" xfId="47934"/>
    <cellStyle name="Normal 7 6 6 2 2" xfId="47935"/>
    <cellStyle name="Normal 7 6 6 2 2 2" xfId="47936"/>
    <cellStyle name="Normal 7 6 6 2 2 2 2" xfId="47937"/>
    <cellStyle name="Normal 7 6 6 2 2 3" xfId="47938"/>
    <cellStyle name="Normal 7 6 6 2 2 4" xfId="47939"/>
    <cellStyle name="Normal 7 6 6 2 2 5" xfId="47940"/>
    <cellStyle name="Normal 7 6 6 2 3" xfId="47941"/>
    <cellStyle name="Normal 7 6 6 2 3 2" xfId="47942"/>
    <cellStyle name="Normal 7 6 6 2 4" xfId="47943"/>
    <cellStyle name="Normal 7 6 6 2 4 2" xfId="47944"/>
    <cellStyle name="Normal 7 6 6 2 5" xfId="47945"/>
    <cellStyle name="Normal 7 6 6 2 5 2" xfId="47946"/>
    <cellStyle name="Normal 7 6 6 2 6" xfId="47947"/>
    <cellStyle name="Normal 7 6 6 2 6 2" xfId="47948"/>
    <cellStyle name="Normal 7 6 6 2 7" xfId="47949"/>
    <cellStyle name="Normal 7 6 6 2 8" xfId="47950"/>
    <cellStyle name="Normal 7 6 6 2 9" xfId="47951"/>
    <cellStyle name="Normal 7 6 6 3" xfId="47952"/>
    <cellStyle name="Normal 7 6 6 3 2" xfId="47953"/>
    <cellStyle name="Normal 7 6 6 3 2 2" xfId="47954"/>
    <cellStyle name="Normal 7 6 6 3 3" xfId="47955"/>
    <cellStyle name="Normal 7 6 6 3 4" xfId="47956"/>
    <cellStyle name="Normal 7 6 6 3 5" xfId="47957"/>
    <cellStyle name="Normal 7 6 6 4" xfId="47958"/>
    <cellStyle name="Normal 7 6 6 4 2" xfId="47959"/>
    <cellStyle name="Normal 7 6 6 5" xfId="47960"/>
    <cellStyle name="Normal 7 6 6 5 2" xfId="47961"/>
    <cellStyle name="Normal 7 6 6 6" xfId="47962"/>
    <cellStyle name="Normal 7 6 6 6 2" xfId="47963"/>
    <cellStyle name="Normal 7 6 6 7" xfId="47964"/>
    <cellStyle name="Normal 7 6 6 7 2" xfId="47965"/>
    <cellStyle name="Normal 7 6 6 8" xfId="47966"/>
    <cellStyle name="Normal 7 6 6 9" xfId="47967"/>
    <cellStyle name="Normal 7 6 7" xfId="47968"/>
    <cellStyle name="Normal 7 6 7 10" xfId="47969"/>
    <cellStyle name="Normal 7 6 7 11" xfId="47970"/>
    <cellStyle name="Normal 7 6 7 12" xfId="47971"/>
    <cellStyle name="Normal 7 6 7 13" xfId="47972"/>
    <cellStyle name="Normal 7 6 7 14" xfId="47973"/>
    <cellStyle name="Normal 7 6 7 15" xfId="47974"/>
    <cellStyle name="Normal 7 6 7 16" xfId="47975"/>
    <cellStyle name="Normal 7 6 7 17" xfId="47976"/>
    <cellStyle name="Normal 7 6 7 2" xfId="47977"/>
    <cellStyle name="Normal 7 6 7 2 10" xfId="47978"/>
    <cellStyle name="Normal 7 6 7 2 11" xfId="47979"/>
    <cellStyle name="Normal 7 6 7 2 12" xfId="47980"/>
    <cellStyle name="Normal 7 6 7 2 13" xfId="47981"/>
    <cellStyle name="Normal 7 6 7 2 2" xfId="47982"/>
    <cellStyle name="Normal 7 6 7 2 2 2" xfId="47983"/>
    <cellStyle name="Normal 7 6 7 2 2 2 2" xfId="47984"/>
    <cellStyle name="Normal 7 6 7 2 2 3" xfId="47985"/>
    <cellStyle name="Normal 7 6 7 2 2 4" xfId="47986"/>
    <cellStyle name="Normal 7 6 7 2 2 5" xfId="47987"/>
    <cellStyle name="Normal 7 6 7 2 3" xfId="47988"/>
    <cellStyle name="Normal 7 6 7 2 3 2" xfId="47989"/>
    <cellStyle name="Normal 7 6 7 2 4" xfId="47990"/>
    <cellStyle name="Normal 7 6 7 2 4 2" xfId="47991"/>
    <cellStyle name="Normal 7 6 7 2 5" xfId="47992"/>
    <cellStyle name="Normal 7 6 7 2 5 2" xfId="47993"/>
    <cellStyle name="Normal 7 6 7 2 6" xfId="47994"/>
    <cellStyle name="Normal 7 6 7 2 6 2" xfId="47995"/>
    <cellStyle name="Normal 7 6 7 2 7" xfId="47996"/>
    <cellStyle name="Normal 7 6 7 2 8" xfId="47997"/>
    <cellStyle name="Normal 7 6 7 2 9" xfId="47998"/>
    <cellStyle name="Normal 7 6 7 3" xfId="47999"/>
    <cellStyle name="Normal 7 6 7 3 2" xfId="48000"/>
    <cellStyle name="Normal 7 6 7 3 2 2" xfId="48001"/>
    <cellStyle name="Normal 7 6 7 3 3" xfId="48002"/>
    <cellStyle name="Normal 7 6 7 3 4" xfId="48003"/>
    <cellStyle name="Normal 7 6 7 3 5" xfId="48004"/>
    <cellStyle name="Normal 7 6 7 4" xfId="48005"/>
    <cellStyle name="Normal 7 6 7 4 2" xfId="48006"/>
    <cellStyle name="Normal 7 6 7 5" xfId="48007"/>
    <cellStyle name="Normal 7 6 7 5 2" xfId="48008"/>
    <cellStyle name="Normal 7 6 7 6" xfId="48009"/>
    <cellStyle name="Normal 7 6 7 6 2" xfId="48010"/>
    <cellStyle name="Normal 7 6 7 7" xfId="48011"/>
    <cellStyle name="Normal 7 6 7 7 2" xfId="48012"/>
    <cellStyle name="Normal 7 6 7 8" xfId="48013"/>
    <cellStyle name="Normal 7 6 7 9" xfId="48014"/>
    <cellStyle name="Normal 7 6 8" xfId="48015"/>
    <cellStyle name="Normal 7 6 8 10" xfId="48016"/>
    <cellStyle name="Normal 7 6 8 11" xfId="48017"/>
    <cellStyle name="Normal 7 6 8 12" xfId="48018"/>
    <cellStyle name="Normal 7 6 8 13" xfId="48019"/>
    <cellStyle name="Normal 7 6 8 14" xfId="48020"/>
    <cellStyle name="Normal 7 6 8 15" xfId="48021"/>
    <cellStyle name="Normal 7 6 8 2" xfId="48022"/>
    <cellStyle name="Normal 7 6 8 2 2" xfId="48023"/>
    <cellStyle name="Normal 7 6 8 2 2 2" xfId="48024"/>
    <cellStyle name="Normal 7 6 8 2 3" xfId="48025"/>
    <cellStyle name="Normal 7 6 8 2 3 2" xfId="48026"/>
    <cellStyle name="Normal 7 6 8 2 4" xfId="48027"/>
    <cellStyle name="Normal 7 6 8 2 4 2" xfId="48028"/>
    <cellStyle name="Normal 7 6 8 2 5" xfId="48029"/>
    <cellStyle name="Normal 7 6 8 2 5 2" xfId="48030"/>
    <cellStyle name="Normal 7 6 8 2 6" xfId="48031"/>
    <cellStyle name="Normal 7 6 8 2 7" xfId="48032"/>
    <cellStyle name="Normal 7 6 8 2 8" xfId="48033"/>
    <cellStyle name="Normal 7 6 8 2 9" xfId="48034"/>
    <cellStyle name="Normal 7 6 8 3" xfId="48035"/>
    <cellStyle name="Normal 7 6 8 3 2" xfId="48036"/>
    <cellStyle name="Normal 7 6 8 3 2 2" xfId="48037"/>
    <cellStyle name="Normal 7 6 8 3 3" xfId="48038"/>
    <cellStyle name="Normal 7 6 8 3 4" xfId="48039"/>
    <cellStyle name="Normal 7 6 8 3 5" xfId="48040"/>
    <cellStyle name="Normal 7 6 8 4" xfId="48041"/>
    <cellStyle name="Normal 7 6 8 4 2" xfId="48042"/>
    <cellStyle name="Normal 7 6 8 5" xfId="48043"/>
    <cellStyle name="Normal 7 6 8 5 2" xfId="48044"/>
    <cellStyle name="Normal 7 6 8 6" xfId="48045"/>
    <cellStyle name="Normal 7 6 8 6 2" xfId="48046"/>
    <cellStyle name="Normal 7 6 8 7" xfId="48047"/>
    <cellStyle name="Normal 7 6 8 7 2" xfId="48048"/>
    <cellStyle name="Normal 7 6 8 8" xfId="48049"/>
    <cellStyle name="Normal 7 6 8 9" xfId="48050"/>
    <cellStyle name="Normal 7 6 9" xfId="48051"/>
    <cellStyle name="Normal 7 6 9 10" xfId="48052"/>
    <cellStyle name="Normal 7 6 9 11" xfId="48053"/>
    <cellStyle name="Normal 7 6 9 12" xfId="48054"/>
    <cellStyle name="Normal 7 6 9 13" xfId="48055"/>
    <cellStyle name="Normal 7 6 9 14" xfId="48056"/>
    <cellStyle name="Normal 7 6 9 15" xfId="48057"/>
    <cellStyle name="Normal 7 6 9 2" xfId="48058"/>
    <cellStyle name="Normal 7 6 9 2 2" xfId="48059"/>
    <cellStyle name="Normal 7 6 9 2 2 2" xfId="48060"/>
    <cellStyle name="Normal 7 6 9 2 3" xfId="48061"/>
    <cellStyle name="Normal 7 6 9 2 3 2" xfId="48062"/>
    <cellStyle name="Normal 7 6 9 2 4" xfId="48063"/>
    <cellStyle name="Normal 7 6 9 2 4 2" xfId="48064"/>
    <cellStyle name="Normal 7 6 9 2 5" xfId="48065"/>
    <cellStyle name="Normal 7 6 9 2 5 2" xfId="48066"/>
    <cellStyle name="Normal 7 6 9 2 6" xfId="48067"/>
    <cellStyle name="Normal 7 6 9 2 7" xfId="48068"/>
    <cellStyle name="Normal 7 6 9 2 8" xfId="48069"/>
    <cellStyle name="Normal 7 6 9 2 9" xfId="48070"/>
    <cellStyle name="Normal 7 6 9 3" xfId="48071"/>
    <cellStyle name="Normal 7 6 9 3 2" xfId="48072"/>
    <cellStyle name="Normal 7 6 9 3 2 2" xfId="48073"/>
    <cellStyle name="Normal 7 6 9 3 3" xfId="48074"/>
    <cellStyle name="Normal 7 6 9 3 4" xfId="48075"/>
    <cellStyle name="Normal 7 6 9 3 5" xfId="48076"/>
    <cellStyle name="Normal 7 6 9 4" xfId="48077"/>
    <cellStyle name="Normal 7 6 9 4 2" xfId="48078"/>
    <cellStyle name="Normal 7 6 9 5" xfId="48079"/>
    <cellStyle name="Normal 7 6 9 5 2" xfId="48080"/>
    <cellStyle name="Normal 7 6 9 6" xfId="48081"/>
    <cellStyle name="Normal 7 6 9 6 2" xfId="48082"/>
    <cellStyle name="Normal 7 6 9 7" xfId="48083"/>
    <cellStyle name="Normal 7 6 9 7 2" xfId="48084"/>
    <cellStyle name="Normal 7 6 9 8" xfId="48085"/>
    <cellStyle name="Normal 7 6 9 9" xfId="48086"/>
    <cellStyle name="Normal 7 7" xfId="48087"/>
    <cellStyle name="Normal 7 7 10" xfId="48088"/>
    <cellStyle name="Normal 7 7 10 10" xfId="48089"/>
    <cellStyle name="Normal 7 7 10 11" xfId="48090"/>
    <cellStyle name="Normal 7 7 10 12" xfId="48091"/>
    <cellStyle name="Normal 7 7 10 13" xfId="48092"/>
    <cellStyle name="Normal 7 7 10 14" xfId="48093"/>
    <cellStyle name="Normal 7 7 10 2" xfId="48094"/>
    <cellStyle name="Normal 7 7 10 2 2" xfId="48095"/>
    <cellStyle name="Normal 7 7 10 2 2 2" xfId="48096"/>
    <cellStyle name="Normal 7 7 10 2 3" xfId="48097"/>
    <cellStyle name="Normal 7 7 10 2 3 2" xfId="48098"/>
    <cellStyle name="Normal 7 7 10 2 4" xfId="48099"/>
    <cellStyle name="Normal 7 7 10 2 4 2" xfId="48100"/>
    <cellStyle name="Normal 7 7 10 2 5" xfId="48101"/>
    <cellStyle name="Normal 7 7 10 2 5 2" xfId="48102"/>
    <cellStyle name="Normal 7 7 10 2 6" xfId="48103"/>
    <cellStyle name="Normal 7 7 10 2 7" xfId="48104"/>
    <cellStyle name="Normal 7 7 10 2 8" xfId="48105"/>
    <cellStyle name="Normal 7 7 10 2 9" xfId="48106"/>
    <cellStyle name="Normal 7 7 10 3" xfId="48107"/>
    <cellStyle name="Normal 7 7 10 3 2" xfId="48108"/>
    <cellStyle name="Normal 7 7 10 3 2 2" xfId="48109"/>
    <cellStyle name="Normal 7 7 10 3 3" xfId="48110"/>
    <cellStyle name="Normal 7 7 10 3 4" xfId="48111"/>
    <cellStyle name="Normal 7 7 10 3 5" xfId="48112"/>
    <cellStyle name="Normal 7 7 10 4" xfId="48113"/>
    <cellStyle name="Normal 7 7 10 4 2" xfId="48114"/>
    <cellStyle name="Normal 7 7 10 5" xfId="48115"/>
    <cellStyle name="Normal 7 7 10 5 2" xfId="48116"/>
    <cellStyle name="Normal 7 7 10 6" xfId="48117"/>
    <cellStyle name="Normal 7 7 10 6 2" xfId="48118"/>
    <cellStyle name="Normal 7 7 10 7" xfId="48119"/>
    <cellStyle name="Normal 7 7 10 7 2" xfId="48120"/>
    <cellStyle name="Normal 7 7 10 8" xfId="48121"/>
    <cellStyle name="Normal 7 7 10 9" xfId="48122"/>
    <cellStyle name="Normal 7 7 11" xfId="48123"/>
    <cellStyle name="Normal 7 7 11 2" xfId="48124"/>
    <cellStyle name="Normal 7 7 11 2 2" xfId="48125"/>
    <cellStyle name="Normal 7 7 11 3" xfId="48126"/>
    <cellStyle name="Normal 7 7 11 3 2" xfId="48127"/>
    <cellStyle name="Normal 7 7 11 4" xfId="48128"/>
    <cellStyle name="Normal 7 7 11 4 2" xfId="48129"/>
    <cellStyle name="Normal 7 7 11 5" xfId="48130"/>
    <cellStyle name="Normal 7 7 11 5 2" xfId="48131"/>
    <cellStyle name="Normal 7 7 11 6" xfId="48132"/>
    <cellStyle name="Normal 7 7 11 7" xfId="48133"/>
    <cellStyle name="Normal 7 7 11 8" xfId="48134"/>
    <cellStyle name="Normal 7 7 11 9" xfId="48135"/>
    <cellStyle name="Normal 7 7 12" xfId="48136"/>
    <cellStyle name="Normal 7 7 12 2" xfId="48137"/>
    <cellStyle name="Normal 7 7 12 2 2" xfId="48138"/>
    <cellStyle name="Normal 7 7 12 3" xfId="48139"/>
    <cellStyle name="Normal 7 7 12 4" xfId="48140"/>
    <cellStyle name="Normal 7 7 12 5" xfId="48141"/>
    <cellStyle name="Normal 7 7 13" xfId="48142"/>
    <cellStyle name="Normal 7 7 13 2" xfId="48143"/>
    <cellStyle name="Normal 7 7 14" xfId="48144"/>
    <cellStyle name="Normal 7 7 14 2" xfId="48145"/>
    <cellStyle name="Normal 7 7 15" xfId="48146"/>
    <cellStyle name="Normal 7 7 15 2" xfId="48147"/>
    <cellStyle name="Normal 7 7 16" xfId="48148"/>
    <cellStyle name="Normal 7 7 16 2" xfId="48149"/>
    <cellStyle name="Normal 7 7 17" xfId="48150"/>
    <cellStyle name="Normal 7 7 18" xfId="48151"/>
    <cellStyle name="Normal 7 7 19" xfId="48152"/>
    <cellStyle name="Normal 7 7 2" xfId="48153"/>
    <cellStyle name="Normal 7 7 2 10" xfId="48154"/>
    <cellStyle name="Normal 7 7 2 11" xfId="48155"/>
    <cellStyle name="Normal 7 7 2 12" xfId="48156"/>
    <cellStyle name="Normal 7 7 2 13" xfId="48157"/>
    <cellStyle name="Normal 7 7 2 14" xfId="48158"/>
    <cellStyle name="Normal 7 7 2 15" xfId="48159"/>
    <cellStyle name="Normal 7 7 2 16" xfId="48160"/>
    <cellStyle name="Normal 7 7 2 17" xfId="48161"/>
    <cellStyle name="Normal 7 7 2 18" xfId="48162"/>
    <cellStyle name="Normal 7 7 2 2" xfId="48163"/>
    <cellStyle name="Normal 7 7 2 2 10" xfId="48164"/>
    <cellStyle name="Normal 7 7 2 2 11" xfId="48165"/>
    <cellStyle name="Normal 7 7 2 2 12" xfId="48166"/>
    <cellStyle name="Normal 7 7 2 2 13" xfId="48167"/>
    <cellStyle name="Normal 7 7 2 2 2" xfId="48168"/>
    <cellStyle name="Normal 7 7 2 2 2 2" xfId="48169"/>
    <cellStyle name="Normal 7 7 2 2 2 2 2" xfId="48170"/>
    <cellStyle name="Normal 7 7 2 2 2 3" xfId="48171"/>
    <cellStyle name="Normal 7 7 2 2 2 4" xfId="48172"/>
    <cellStyle name="Normal 7 7 2 2 2 5" xfId="48173"/>
    <cellStyle name="Normal 7 7 2 2 3" xfId="48174"/>
    <cellStyle name="Normal 7 7 2 2 3 2" xfId="48175"/>
    <cellStyle name="Normal 7 7 2 2 4" xfId="48176"/>
    <cellStyle name="Normal 7 7 2 2 4 2" xfId="48177"/>
    <cellStyle name="Normal 7 7 2 2 5" xfId="48178"/>
    <cellStyle name="Normal 7 7 2 2 5 2" xfId="48179"/>
    <cellStyle name="Normal 7 7 2 2 6" xfId="48180"/>
    <cellStyle name="Normal 7 7 2 2 6 2" xfId="48181"/>
    <cellStyle name="Normal 7 7 2 2 7" xfId="48182"/>
    <cellStyle name="Normal 7 7 2 2 8" xfId="48183"/>
    <cellStyle name="Normal 7 7 2 2 9" xfId="48184"/>
    <cellStyle name="Normal 7 7 2 3" xfId="48185"/>
    <cellStyle name="Normal 7 7 2 3 2" xfId="48186"/>
    <cellStyle name="Normal 7 7 2 3 2 2" xfId="48187"/>
    <cellStyle name="Normal 7 7 2 3 3" xfId="48188"/>
    <cellStyle name="Normal 7 7 2 3 4" xfId="48189"/>
    <cellStyle name="Normal 7 7 2 3 5" xfId="48190"/>
    <cellStyle name="Normal 7 7 2 4" xfId="48191"/>
    <cellStyle name="Normal 7 7 2 4 2" xfId="48192"/>
    <cellStyle name="Normal 7 7 2 5" xfId="48193"/>
    <cellStyle name="Normal 7 7 2 5 2" xfId="48194"/>
    <cellStyle name="Normal 7 7 2 6" xfId="48195"/>
    <cellStyle name="Normal 7 7 2 6 2" xfId="48196"/>
    <cellStyle name="Normal 7 7 2 7" xfId="48197"/>
    <cellStyle name="Normal 7 7 2 7 2" xfId="48198"/>
    <cellStyle name="Normal 7 7 2 8" xfId="48199"/>
    <cellStyle name="Normal 7 7 2 9" xfId="48200"/>
    <cellStyle name="Normal 7 7 20" xfId="48201"/>
    <cellStyle name="Normal 7 7 21" xfId="48202"/>
    <cellStyle name="Normal 7 7 22" xfId="48203"/>
    <cellStyle name="Normal 7 7 23" xfId="48204"/>
    <cellStyle name="Normal 7 7 24" xfId="48205"/>
    <cellStyle name="Normal 7 7 25" xfId="48206"/>
    <cellStyle name="Normal 7 7 3" xfId="48207"/>
    <cellStyle name="Normal 7 7 3 10" xfId="48208"/>
    <cellStyle name="Normal 7 7 3 11" xfId="48209"/>
    <cellStyle name="Normal 7 7 3 12" xfId="48210"/>
    <cellStyle name="Normal 7 7 3 13" xfId="48211"/>
    <cellStyle name="Normal 7 7 3 14" xfId="48212"/>
    <cellStyle name="Normal 7 7 3 15" xfId="48213"/>
    <cellStyle name="Normal 7 7 3 16" xfId="48214"/>
    <cellStyle name="Normal 7 7 3 17" xfId="48215"/>
    <cellStyle name="Normal 7 7 3 18" xfId="48216"/>
    <cellStyle name="Normal 7 7 3 2" xfId="48217"/>
    <cellStyle name="Normal 7 7 3 2 10" xfId="48218"/>
    <cellStyle name="Normal 7 7 3 2 11" xfId="48219"/>
    <cellStyle name="Normal 7 7 3 2 12" xfId="48220"/>
    <cellStyle name="Normal 7 7 3 2 13" xfId="48221"/>
    <cellStyle name="Normal 7 7 3 2 2" xfId="48222"/>
    <cellStyle name="Normal 7 7 3 2 2 2" xfId="48223"/>
    <cellStyle name="Normal 7 7 3 2 2 2 2" xfId="48224"/>
    <cellStyle name="Normal 7 7 3 2 2 3" xfId="48225"/>
    <cellStyle name="Normal 7 7 3 2 2 4" xfId="48226"/>
    <cellStyle name="Normal 7 7 3 2 2 5" xfId="48227"/>
    <cellStyle name="Normal 7 7 3 2 3" xfId="48228"/>
    <cellStyle name="Normal 7 7 3 2 3 2" xfId="48229"/>
    <cellStyle name="Normal 7 7 3 2 4" xfId="48230"/>
    <cellStyle name="Normal 7 7 3 2 4 2" xfId="48231"/>
    <cellStyle name="Normal 7 7 3 2 5" xfId="48232"/>
    <cellStyle name="Normal 7 7 3 2 5 2" xfId="48233"/>
    <cellStyle name="Normal 7 7 3 2 6" xfId="48234"/>
    <cellStyle name="Normal 7 7 3 2 6 2" xfId="48235"/>
    <cellStyle name="Normal 7 7 3 2 7" xfId="48236"/>
    <cellStyle name="Normal 7 7 3 2 8" xfId="48237"/>
    <cellStyle name="Normal 7 7 3 2 9" xfId="48238"/>
    <cellStyle name="Normal 7 7 3 3" xfId="48239"/>
    <cellStyle name="Normal 7 7 3 3 2" xfId="48240"/>
    <cellStyle name="Normal 7 7 3 3 2 2" xfId="48241"/>
    <cellStyle name="Normal 7 7 3 3 3" xfId="48242"/>
    <cellStyle name="Normal 7 7 3 3 4" xfId="48243"/>
    <cellStyle name="Normal 7 7 3 3 5" xfId="48244"/>
    <cellStyle name="Normal 7 7 3 4" xfId="48245"/>
    <cellStyle name="Normal 7 7 3 4 2" xfId="48246"/>
    <cellStyle name="Normal 7 7 3 5" xfId="48247"/>
    <cellStyle name="Normal 7 7 3 5 2" xfId="48248"/>
    <cellStyle name="Normal 7 7 3 6" xfId="48249"/>
    <cellStyle name="Normal 7 7 3 6 2" xfId="48250"/>
    <cellStyle name="Normal 7 7 3 7" xfId="48251"/>
    <cellStyle name="Normal 7 7 3 7 2" xfId="48252"/>
    <cellStyle name="Normal 7 7 3 8" xfId="48253"/>
    <cellStyle name="Normal 7 7 3 9" xfId="48254"/>
    <cellStyle name="Normal 7 7 4" xfId="48255"/>
    <cellStyle name="Normal 7 7 4 10" xfId="48256"/>
    <cellStyle name="Normal 7 7 4 11" xfId="48257"/>
    <cellStyle name="Normal 7 7 4 12" xfId="48258"/>
    <cellStyle name="Normal 7 7 4 13" xfId="48259"/>
    <cellStyle name="Normal 7 7 4 14" xfId="48260"/>
    <cellStyle name="Normal 7 7 4 15" xfId="48261"/>
    <cellStyle name="Normal 7 7 4 16" xfId="48262"/>
    <cellStyle name="Normal 7 7 4 17" xfId="48263"/>
    <cellStyle name="Normal 7 7 4 18" xfId="48264"/>
    <cellStyle name="Normal 7 7 4 2" xfId="48265"/>
    <cellStyle name="Normal 7 7 4 2 10" xfId="48266"/>
    <cellStyle name="Normal 7 7 4 2 11" xfId="48267"/>
    <cellStyle name="Normal 7 7 4 2 12" xfId="48268"/>
    <cellStyle name="Normal 7 7 4 2 13" xfId="48269"/>
    <cellStyle name="Normal 7 7 4 2 2" xfId="48270"/>
    <cellStyle name="Normal 7 7 4 2 2 2" xfId="48271"/>
    <cellStyle name="Normal 7 7 4 2 2 2 2" xfId="48272"/>
    <cellStyle name="Normal 7 7 4 2 2 3" xfId="48273"/>
    <cellStyle name="Normal 7 7 4 2 2 4" xfId="48274"/>
    <cellStyle name="Normal 7 7 4 2 2 5" xfId="48275"/>
    <cellStyle name="Normal 7 7 4 2 3" xfId="48276"/>
    <cellStyle name="Normal 7 7 4 2 3 2" xfId="48277"/>
    <cellStyle name="Normal 7 7 4 2 4" xfId="48278"/>
    <cellStyle name="Normal 7 7 4 2 4 2" xfId="48279"/>
    <cellStyle name="Normal 7 7 4 2 5" xfId="48280"/>
    <cellStyle name="Normal 7 7 4 2 5 2" xfId="48281"/>
    <cellStyle name="Normal 7 7 4 2 6" xfId="48282"/>
    <cellStyle name="Normal 7 7 4 2 6 2" xfId="48283"/>
    <cellStyle name="Normal 7 7 4 2 7" xfId="48284"/>
    <cellStyle name="Normal 7 7 4 2 8" xfId="48285"/>
    <cellStyle name="Normal 7 7 4 2 9" xfId="48286"/>
    <cellStyle name="Normal 7 7 4 3" xfId="48287"/>
    <cellStyle name="Normal 7 7 4 3 2" xfId="48288"/>
    <cellStyle name="Normal 7 7 4 3 2 2" xfId="48289"/>
    <cellStyle name="Normal 7 7 4 3 3" xfId="48290"/>
    <cellStyle name="Normal 7 7 4 3 4" xfId="48291"/>
    <cellStyle name="Normal 7 7 4 3 5" xfId="48292"/>
    <cellStyle name="Normal 7 7 4 4" xfId="48293"/>
    <cellStyle name="Normal 7 7 4 4 2" xfId="48294"/>
    <cellStyle name="Normal 7 7 4 5" xfId="48295"/>
    <cellStyle name="Normal 7 7 4 5 2" xfId="48296"/>
    <cellStyle name="Normal 7 7 4 6" xfId="48297"/>
    <cellStyle name="Normal 7 7 4 6 2" xfId="48298"/>
    <cellStyle name="Normal 7 7 4 7" xfId="48299"/>
    <cellStyle name="Normal 7 7 4 7 2" xfId="48300"/>
    <cellStyle name="Normal 7 7 4 8" xfId="48301"/>
    <cellStyle name="Normal 7 7 4 9" xfId="48302"/>
    <cellStyle name="Normal 7 7 5" xfId="48303"/>
    <cellStyle name="Normal 7 7 5 10" xfId="48304"/>
    <cellStyle name="Normal 7 7 5 11" xfId="48305"/>
    <cellStyle name="Normal 7 7 5 12" xfId="48306"/>
    <cellStyle name="Normal 7 7 5 13" xfId="48307"/>
    <cellStyle name="Normal 7 7 5 14" xfId="48308"/>
    <cellStyle name="Normal 7 7 5 15" xfId="48309"/>
    <cellStyle name="Normal 7 7 5 16" xfId="48310"/>
    <cellStyle name="Normal 7 7 5 17" xfId="48311"/>
    <cellStyle name="Normal 7 7 5 2" xfId="48312"/>
    <cellStyle name="Normal 7 7 5 2 10" xfId="48313"/>
    <cellStyle name="Normal 7 7 5 2 11" xfId="48314"/>
    <cellStyle name="Normal 7 7 5 2 12" xfId="48315"/>
    <cellStyle name="Normal 7 7 5 2 13" xfId="48316"/>
    <cellStyle name="Normal 7 7 5 2 2" xfId="48317"/>
    <cellStyle name="Normal 7 7 5 2 2 2" xfId="48318"/>
    <cellStyle name="Normal 7 7 5 2 2 2 2" xfId="48319"/>
    <cellStyle name="Normal 7 7 5 2 2 3" xfId="48320"/>
    <cellStyle name="Normal 7 7 5 2 2 4" xfId="48321"/>
    <cellStyle name="Normal 7 7 5 2 2 5" xfId="48322"/>
    <cellStyle name="Normal 7 7 5 2 3" xfId="48323"/>
    <cellStyle name="Normal 7 7 5 2 3 2" xfId="48324"/>
    <cellStyle name="Normal 7 7 5 2 4" xfId="48325"/>
    <cellStyle name="Normal 7 7 5 2 4 2" xfId="48326"/>
    <cellStyle name="Normal 7 7 5 2 5" xfId="48327"/>
    <cellStyle name="Normal 7 7 5 2 5 2" xfId="48328"/>
    <cellStyle name="Normal 7 7 5 2 6" xfId="48329"/>
    <cellStyle name="Normal 7 7 5 2 6 2" xfId="48330"/>
    <cellStyle name="Normal 7 7 5 2 7" xfId="48331"/>
    <cellStyle name="Normal 7 7 5 2 8" xfId="48332"/>
    <cellStyle name="Normal 7 7 5 2 9" xfId="48333"/>
    <cellStyle name="Normal 7 7 5 3" xfId="48334"/>
    <cellStyle name="Normal 7 7 5 3 2" xfId="48335"/>
    <cellStyle name="Normal 7 7 5 3 2 2" xfId="48336"/>
    <cellStyle name="Normal 7 7 5 3 3" xfId="48337"/>
    <cellStyle name="Normal 7 7 5 3 4" xfId="48338"/>
    <cellStyle name="Normal 7 7 5 3 5" xfId="48339"/>
    <cellStyle name="Normal 7 7 5 4" xfId="48340"/>
    <cellStyle name="Normal 7 7 5 4 2" xfId="48341"/>
    <cellStyle name="Normal 7 7 5 5" xfId="48342"/>
    <cellStyle name="Normal 7 7 5 5 2" xfId="48343"/>
    <cellStyle name="Normal 7 7 5 6" xfId="48344"/>
    <cellStyle name="Normal 7 7 5 6 2" xfId="48345"/>
    <cellStyle name="Normal 7 7 5 7" xfId="48346"/>
    <cellStyle name="Normal 7 7 5 7 2" xfId="48347"/>
    <cellStyle name="Normal 7 7 5 8" xfId="48348"/>
    <cellStyle name="Normal 7 7 5 9" xfId="48349"/>
    <cellStyle name="Normal 7 7 6" xfId="48350"/>
    <cellStyle name="Normal 7 7 6 10" xfId="48351"/>
    <cellStyle name="Normal 7 7 6 11" xfId="48352"/>
    <cellStyle name="Normal 7 7 6 12" xfId="48353"/>
    <cellStyle name="Normal 7 7 6 13" xfId="48354"/>
    <cellStyle name="Normal 7 7 6 14" xfId="48355"/>
    <cellStyle name="Normal 7 7 6 15" xfId="48356"/>
    <cellStyle name="Normal 7 7 6 16" xfId="48357"/>
    <cellStyle name="Normal 7 7 6 17" xfId="48358"/>
    <cellStyle name="Normal 7 7 6 2" xfId="48359"/>
    <cellStyle name="Normal 7 7 6 2 10" xfId="48360"/>
    <cellStyle name="Normal 7 7 6 2 11" xfId="48361"/>
    <cellStyle name="Normal 7 7 6 2 12" xfId="48362"/>
    <cellStyle name="Normal 7 7 6 2 13" xfId="48363"/>
    <cellStyle name="Normal 7 7 6 2 2" xfId="48364"/>
    <cellStyle name="Normal 7 7 6 2 2 2" xfId="48365"/>
    <cellStyle name="Normal 7 7 6 2 2 2 2" xfId="48366"/>
    <cellStyle name="Normal 7 7 6 2 2 3" xfId="48367"/>
    <cellStyle name="Normal 7 7 6 2 2 4" xfId="48368"/>
    <cellStyle name="Normal 7 7 6 2 2 5" xfId="48369"/>
    <cellStyle name="Normal 7 7 6 2 3" xfId="48370"/>
    <cellStyle name="Normal 7 7 6 2 3 2" xfId="48371"/>
    <cellStyle name="Normal 7 7 6 2 4" xfId="48372"/>
    <cellStyle name="Normal 7 7 6 2 4 2" xfId="48373"/>
    <cellStyle name="Normal 7 7 6 2 5" xfId="48374"/>
    <cellStyle name="Normal 7 7 6 2 5 2" xfId="48375"/>
    <cellStyle name="Normal 7 7 6 2 6" xfId="48376"/>
    <cellStyle name="Normal 7 7 6 2 6 2" xfId="48377"/>
    <cellStyle name="Normal 7 7 6 2 7" xfId="48378"/>
    <cellStyle name="Normal 7 7 6 2 8" xfId="48379"/>
    <cellStyle name="Normal 7 7 6 2 9" xfId="48380"/>
    <cellStyle name="Normal 7 7 6 3" xfId="48381"/>
    <cellStyle name="Normal 7 7 6 3 2" xfId="48382"/>
    <cellStyle name="Normal 7 7 6 3 2 2" xfId="48383"/>
    <cellStyle name="Normal 7 7 6 3 3" xfId="48384"/>
    <cellStyle name="Normal 7 7 6 3 4" xfId="48385"/>
    <cellStyle name="Normal 7 7 6 3 5" xfId="48386"/>
    <cellStyle name="Normal 7 7 6 4" xfId="48387"/>
    <cellStyle name="Normal 7 7 6 4 2" xfId="48388"/>
    <cellStyle name="Normal 7 7 6 5" xfId="48389"/>
    <cellStyle name="Normal 7 7 6 5 2" xfId="48390"/>
    <cellStyle name="Normal 7 7 6 6" xfId="48391"/>
    <cellStyle name="Normal 7 7 6 6 2" xfId="48392"/>
    <cellStyle name="Normal 7 7 6 7" xfId="48393"/>
    <cellStyle name="Normal 7 7 6 7 2" xfId="48394"/>
    <cellStyle name="Normal 7 7 6 8" xfId="48395"/>
    <cellStyle name="Normal 7 7 6 9" xfId="48396"/>
    <cellStyle name="Normal 7 7 7" xfId="48397"/>
    <cellStyle name="Normal 7 7 7 10" xfId="48398"/>
    <cellStyle name="Normal 7 7 7 11" xfId="48399"/>
    <cellStyle name="Normal 7 7 7 12" xfId="48400"/>
    <cellStyle name="Normal 7 7 7 13" xfId="48401"/>
    <cellStyle name="Normal 7 7 7 14" xfId="48402"/>
    <cellStyle name="Normal 7 7 7 15" xfId="48403"/>
    <cellStyle name="Normal 7 7 7 16" xfId="48404"/>
    <cellStyle name="Normal 7 7 7 17" xfId="48405"/>
    <cellStyle name="Normal 7 7 7 2" xfId="48406"/>
    <cellStyle name="Normal 7 7 7 2 10" xfId="48407"/>
    <cellStyle name="Normal 7 7 7 2 11" xfId="48408"/>
    <cellStyle name="Normal 7 7 7 2 12" xfId="48409"/>
    <cellStyle name="Normal 7 7 7 2 13" xfId="48410"/>
    <cellStyle name="Normal 7 7 7 2 2" xfId="48411"/>
    <cellStyle name="Normal 7 7 7 2 2 2" xfId="48412"/>
    <cellStyle name="Normal 7 7 7 2 2 2 2" xfId="48413"/>
    <cellStyle name="Normal 7 7 7 2 2 3" xfId="48414"/>
    <cellStyle name="Normal 7 7 7 2 2 4" xfId="48415"/>
    <cellStyle name="Normal 7 7 7 2 2 5" xfId="48416"/>
    <cellStyle name="Normal 7 7 7 2 3" xfId="48417"/>
    <cellStyle name="Normal 7 7 7 2 3 2" xfId="48418"/>
    <cellStyle name="Normal 7 7 7 2 4" xfId="48419"/>
    <cellStyle name="Normal 7 7 7 2 4 2" xfId="48420"/>
    <cellStyle name="Normal 7 7 7 2 5" xfId="48421"/>
    <cellStyle name="Normal 7 7 7 2 5 2" xfId="48422"/>
    <cellStyle name="Normal 7 7 7 2 6" xfId="48423"/>
    <cellStyle name="Normal 7 7 7 2 6 2" xfId="48424"/>
    <cellStyle name="Normal 7 7 7 2 7" xfId="48425"/>
    <cellStyle name="Normal 7 7 7 2 8" xfId="48426"/>
    <cellStyle name="Normal 7 7 7 2 9" xfId="48427"/>
    <cellStyle name="Normal 7 7 7 3" xfId="48428"/>
    <cellStyle name="Normal 7 7 7 3 2" xfId="48429"/>
    <cellStyle name="Normal 7 7 7 3 2 2" xfId="48430"/>
    <cellStyle name="Normal 7 7 7 3 3" xfId="48431"/>
    <cellStyle name="Normal 7 7 7 3 4" xfId="48432"/>
    <cellStyle name="Normal 7 7 7 3 5" xfId="48433"/>
    <cellStyle name="Normal 7 7 7 4" xfId="48434"/>
    <cellStyle name="Normal 7 7 7 4 2" xfId="48435"/>
    <cellStyle name="Normal 7 7 7 5" xfId="48436"/>
    <cellStyle name="Normal 7 7 7 5 2" xfId="48437"/>
    <cellStyle name="Normal 7 7 7 6" xfId="48438"/>
    <cellStyle name="Normal 7 7 7 6 2" xfId="48439"/>
    <cellStyle name="Normal 7 7 7 7" xfId="48440"/>
    <cellStyle name="Normal 7 7 7 7 2" xfId="48441"/>
    <cellStyle name="Normal 7 7 7 8" xfId="48442"/>
    <cellStyle name="Normal 7 7 7 9" xfId="48443"/>
    <cellStyle name="Normal 7 7 8" xfId="48444"/>
    <cellStyle name="Normal 7 7 8 10" xfId="48445"/>
    <cellStyle name="Normal 7 7 8 11" xfId="48446"/>
    <cellStyle name="Normal 7 7 8 12" xfId="48447"/>
    <cellStyle name="Normal 7 7 8 13" xfId="48448"/>
    <cellStyle name="Normal 7 7 8 14" xfId="48449"/>
    <cellStyle name="Normal 7 7 8 15" xfId="48450"/>
    <cellStyle name="Normal 7 7 8 2" xfId="48451"/>
    <cellStyle name="Normal 7 7 8 2 2" xfId="48452"/>
    <cellStyle name="Normal 7 7 8 2 2 2" xfId="48453"/>
    <cellStyle name="Normal 7 7 8 2 3" xfId="48454"/>
    <cellStyle name="Normal 7 7 8 2 3 2" xfId="48455"/>
    <cellStyle name="Normal 7 7 8 2 4" xfId="48456"/>
    <cellStyle name="Normal 7 7 8 2 4 2" xfId="48457"/>
    <cellStyle name="Normal 7 7 8 2 5" xfId="48458"/>
    <cellStyle name="Normal 7 7 8 2 5 2" xfId="48459"/>
    <cellStyle name="Normal 7 7 8 2 6" xfId="48460"/>
    <cellStyle name="Normal 7 7 8 2 7" xfId="48461"/>
    <cellStyle name="Normal 7 7 8 2 8" xfId="48462"/>
    <cellStyle name="Normal 7 7 8 2 9" xfId="48463"/>
    <cellStyle name="Normal 7 7 8 3" xfId="48464"/>
    <cellStyle name="Normal 7 7 8 3 2" xfId="48465"/>
    <cellStyle name="Normal 7 7 8 3 2 2" xfId="48466"/>
    <cellStyle name="Normal 7 7 8 3 3" xfId="48467"/>
    <cellStyle name="Normal 7 7 8 3 4" xfId="48468"/>
    <cellStyle name="Normal 7 7 8 3 5" xfId="48469"/>
    <cellStyle name="Normal 7 7 8 4" xfId="48470"/>
    <cellStyle name="Normal 7 7 8 4 2" xfId="48471"/>
    <cellStyle name="Normal 7 7 8 5" xfId="48472"/>
    <cellStyle name="Normal 7 7 8 5 2" xfId="48473"/>
    <cellStyle name="Normal 7 7 8 6" xfId="48474"/>
    <cellStyle name="Normal 7 7 8 6 2" xfId="48475"/>
    <cellStyle name="Normal 7 7 8 7" xfId="48476"/>
    <cellStyle name="Normal 7 7 8 7 2" xfId="48477"/>
    <cellStyle name="Normal 7 7 8 8" xfId="48478"/>
    <cellStyle name="Normal 7 7 8 9" xfId="48479"/>
    <cellStyle name="Normal 7 7 9" xfId="48480"/>
    <cellStyle name="Normal 7 7 9 10" xfId="48481"/>
    <cellStyle name="Normal 7 7 9 11" xfId="48482"/>
    <cellStyle name="Normal 7 7 9 12" xfId="48483"/>
    <cellStyle name="Normal 7 7 9 13" xfId="48484"/>
    <cellStyle name="Normal 7 7 9 14" xfId="48485"/>
    <cellStyle name="Normal 7 7 9 15" xfId="48486"/>
    <cellStyle name="Normal 7 7 9 2" xfId="48487"/>
    <cellStyle name="Normal 7 7 9 2 2" xfId="48488"/>
    <cellStyle name="Normal 7 7 9 2 2 2" xfId="48489"/>
    <cellStyle name="Normal 7 7 9 2 3" xfId="48490"/>
    <cellStyle name="Normal 7 7 9 2 3 2" xfId="48491"/>
    <cellStyle name="Normal 7 7 9 2 4" xfId="48492"/>
    <cellStyle name="Normal 7 7 9 2 4 2" xfId="48493"/>
    <cellStyle name="Normal 7 7 9 2 5" xfId="48494"/>
    <cellStyle name="Normal 7 7 9 2 5 2" xfId="48495"/>
    <cellStyle name="Normal 7 7 9 2 6" xfId="48496"/>
    <cellStyle name="Normal 7 7 9 2 7" xfId="48497"/>
    <cellStyle name="Normal 7 7 9 2 8" xfId="48498"/>
    <cellStyle name="Normal 7 7 9 2 9" xfId="48499"/>
    <cellStyle name="Normal 7 7 9 3" xfId="48500"/>
    <cellStyle name="Normal 7 7 9 3 2" xfId="48501"/>
    <cellStyle name="Normal 7 7 9 3 2 2" xfId="48502"/>
    <cellStyle name="Normal 7 7 9 3 3" xfId="48503"/>
    <cellStyle name="Normal 7 7 9 3 4" xfId="48504"/>
    <cellStyle name="Normal 7 7 9 3 5" xfId="48505"/>
    <cellStyle name="Normal 7 7 9 4" xfId="48506"/>
    <cellStyle name="Normal 7 7 9 4 2" xfId="48507"/>
    <cellStyle name="Normal 7 7 9 5" xfId="48508"/>
    <cellStyle name="Normal 7 7 9 5 2" xfId="48509"/>
    <cellStyle name="Normal 7 7 9 6" xfId="48510"/>
    <cellStyle name="Normal 7 7 9 6 2" xfId="48511"/>
    <cellStyle name="Normal 7 7 9 7" xfId="48512"/>
    <cellStyle name="Normal 7 7 9 7 2" xfId="48513"/>
    <cellStyle name="Normal 7 7 9 8" xfId="48514"/>
    <cellStyle name="Normal 7 7 9 9" xfId="48515"/>
    <cellStyle name="Normal 7 8" xfId="48516"/>
    <cellStyle name="Normal 7 8 10" xfId="48517"/>
    <cellStyle name="Normal 7 8 10 10" xfId="48518"/>
    <cellStyle name="Normal 7 8 10 11" xfId="48519"/>
    <cellStyle name="Normal 7 8 10 12" xfId="48520"/>
    <cellStyle name="Normal 7 8 10 13" xfId="48521"/>
    <cellStyle name="Normal 7 8 10 14" xfId="48522"/>
    <cellStyle name="Normal 7 8 10 2" xfId="48523"/>
    <cellStyle name="Normal 7 8 10 2 2" xfId="48524"/>
    <cellStyle name="Normal 7 8 10 2 2 2" xfId="48525"/>
    <cellStyle name="Normal 7 8 10 2 3" xfId="48526"/>
    <cellStyle name="Normal 7 8 10 2 3 2" xfId="48527"/>
    <cellStyle name="Normal 7 8 10 2 4" xfId="48528"/>
    <cellStyle name="Normal 7 8 10 2 4 2" xfId="48529"/>
    <cellStyle name="Normal 7 8 10 2 5" xfId="48530"/>
    <cellStyle name="Normal 7 8 10 2 5 2" xfId="48531"/>
    <cellStyle name="Normal 7 8 10 2 6" xfId="48532"/>
    <cellStyle name="Normal 7 8 10 2 7" xfId="48533"/>
    <cellStyle name="Normal 7 8 10 2 8" xfId="48534"/>
    <cellStyle name="Normal 7 8 10 2 9" xfId="48535"/>
    <cellStyle name="Normal 7 8 10 3" xfId="48536"/>
    <cellStyle name="Normal 7 8 10 3 2" xfId="48537"/>
    <cellStyle name="Normal 7 8 10 3 2 2" xfId="48538"/>
    <cellStyle name="Normal 7 8 10 3 3" xfId="48539"/>
    <cellStyle name="Normal 7 8 10 3 4" xfId="48540"/>
    <cellStyle name="Normal 7 8 10 3 5" xfId="48541"/>
    <cellStyle name="Normal 7 8 10 4" xfId="48542"/>
    <cellStyle name="Normal 7 8 10 4 2" xfId="48543"/>
    <cellStyle name="Normal 7 8 10 5" xfId="48544"/>
    <cellStyle name="Normal 7 8 10 5 2" xfId="48545"/>
    <cellStyle name="Normal 7 8 10 6" xfId="48546"/>
    <cellStyle name="Normal 7 8 10 6 2" xfId="48547"/>
    <cellStyle name="Normal 7 8 10 7" xfId="48548"/>
    <cellStyle name="Normal 7 8 10 7 2" xfId="48549"/>
    <cellStyle name="Normal 7 8 10 8" xfId="48550"/>
    <cellStyle name="Normal 7 8 10 9" xfId="48551"/>
    <cellStyle name="Normal 7 8 11" xfId="48552"/>
    <cellStyle name="Normal 7 8 11 2" xfId="48553"/>
    <cellStyle name="Normal 7 8 11 2 2" xfId="48554"/>
    <cellStyle name="Normal 7 8 11 3" xfId="48555"/>
    <cellStyle name="Normal 7 8 11 3 2" xfId="48556"/>
    <cellStyle name="Normal 7 8 11 4" xfId="48557"/>
    <cellStyle name="Normal 7 8 11 4 2" xfId="48558"/>
    <cellStyle name="Normal 7 8 11 5" xfId="48559"/>
    <cellStyle name="Normal 7 8 11 5 2" xfId="48560"/>
    <cellStyle name="Normal 7 8 11 6" xfId="48561"/>
    <cellStyle name="Normal 7 8 11 7" xfId="48562"/>
    <cellStyle name="Normal 7 8 11 8" xfId="48563"/>
    <cellStyle name="Normal 7 8 11 9" xfId="48564"/>
    <cellStyle name="Normal 7 8 12" xfId="48565"/>
    <cellStyle name="Normal 7 8 12 2" xfId="48566"/>
    <cellStyle name="Normal 7 8 12 2 2" xfId="48567"/>
    <cellStyle name="Normal 7 8 12 3" xfId="48568"/>
    <cellStyle name="Normal 7 8 12 4" xfId="48569"/>
    <cellStyle name="Normal 7 8 12 5" xfId="48570"/>
    <cellStyle name="Normal 7 8 13" xfId="48571"/>
    <cellStyle name="Normal 7 8 13 2" xfId="48572"/>
    <cellStyle name="Normal 7 8 14" xfId="48573"/>
    <cellStyle name="Normal 7 8 14 2" xfId="48574"/>
    <cellStyle name="Normal 7 8 15" xfId="48575"/>
    <cellStyle name="Normal 7 8 15 2" xfId="48576"/>
    <cellStyle name="Normal 7 8 16" xfId="48577"/>
    <cellStyle name="Normal 7 8 16 2" xfId="48578"/>
    <cellStyle name="Normal 7 8 17" xfId="48579"/>
    <cellStyle name="Normal 7 8 18" xfId="48580"/>
    <cellStyle name="Normal 7 8 19" xfId="48581"/>
    <cellStyle name="Normal 7 8 2" xfId="48582"/>
    <cellStyle name="Normal 7 8 2 10" xfId="48583"/>
    <cellStyle name="Normal 7 8 2 11" xfId="48584"/>
    <cellStyle name="Normal 7 8 2 12" xfId="48585"/>
    <cellStyle name="Normal 7 8 2 13" xfId="48586"/>
    <cellStyle name="Normal 7 8 2 14" xfId="48587"/>
    <cellStyle name="Normal 7 8 2 15" xfId="48588"/>
    <cellStyle name="Normal 7 8 2 16" xfId="48589"/>
    <cellStyle name="Normal 7 8 2 17" xfId="48590"/>
    <cellStyle name="Normal 7 8 2 18" xfId="48591"/>
    <cellStyle name="Normal 7 8 2 2" xfId="48592"/>
    <cellStyle name="Normal 7 8 2 2 10" xfId="48593"/>
    <cellStyle name="Normal 7 8 2 2 11" xfId="48594"/>
    <cellStyle name="Normal 7 8 2 2 12" xfId="48595"/>
    <cellStyle name="Normal 7 8 2 2 13" xfId="48596"/>
    <cellStyle name="Normal 7 8 2 2 2" xfId="48597"/>
    <cellStyle name="Normal 7 8 2 2 2 2" xfId="48598"/>
    <cellStyle name="Normal 7 8 2 2 2 2 2" xfId="48599"/>
    <cellStyle name="Normal 7 8 2 2 2 3" xfId="48600"/>
    <cellStyle name="Normal 7 8 2 2 2 4" xfId="48601"/>
    <cellStyle name="Normal 7 8 2 2 2 5" xfId="48602"/>
    <cellStyle name="Normal 7 8 2 2 3" xfId="48603"/>
    <cellStyle name="Normal 7 8 2 2 3 2" xfId="48604"/>
    <cellStyle name="Normal 7 8 2 2 4" xfId="48605"/>
    <cellStyle name="Normal 7 8 2 2 4 2" xfId="48606"/>
    <cellStyle name="Normal 7 8 2 2 5" xfId="48607"/>
    <cellStyle name="Normal 7 8 2 2 5 2" xfId="48608"/>
    <cellStyle name="Normal 7 8 2 2 6" xfId="48609"/>
    <cellStyle name="Normal 7 8 2 2 6 2" xfId="48610"/>
    <cellStyle name="Normal 7 8 2 2 7" xfId="48611"/>
    <cellStyle name="Normal 7 8 2 2 8" xfId="48612"/>
    <cellStyle name="Normal 7 8 2 2 9" xfId="48613"/>
    <cellStyle name="Normal 7 8 2 3" xfId="48614"/>
    <cellStyle name="Normal 7 8 2 3 2" xfId="48615"/>
    <cellStyle name="Normal 7 8 2 3 2 2" xfId="48616"/>
    <cellStyle name="Normal 7 8 2 3 3" xfId="48617"/>
    <cellStyle name="Normal 7 8 2 3 4" xfId="48618"/>
    <cellStyle name="Normal 7 8 2 3 5" xfId="48619"/>
    <cellStyle name="Normal 7 8 2 4" xfId="48620"/>
    <cellStyle name="Normal 7 8 2 4 2" xfId="48621"/>
    <cellStyle name="Normal 7 8 2 5" xfId="48622"/>
    <cellStyle name="Normal 7 8 2 5 2" xfId="48623"/>
    <cellStyle name="Normal 7 8 2 6" xfId="48624"/>
    <cellStyle name="Normal 7 8 2 6 2" xfId="48625"/>
    <cellStyle name="Normal 7 8 2 7" xfId="48626"/>
    <cellStyle name="Normal 7 8 2 7 2" xfId="48627"/>
    <cellStyle name="Normal 7 8 2 8" xfId="48628"/>
    <cellStyle name="Normal 7 8 2 9" xfId="48629"/>
    <cellStyle name="Normal 7 8 20" xfId="48630"/>
    <cellStyle name="Normal 7 8 21" xfId="48631"/>
    <cellStyle name="Normal 7 8 22" xfId="48632"/>
    <cellStyle name="Normal 7 8 23" xfId="48633"/>
    <cellStyle name="Normal 7 8 24" xfId="48634"/>
    <cellStyle name="Normal 7 8 25" xfId="48635"/>
    <cellStyle name="Normal 7 8 3" xfId="48636"/>
    <cellStyle name="Normal 7 8 3 10" xfId="48637"/>
    <cellStyle name="Normal 7 8 3 11" xfId="48638"/>
    <cellStyle name="Normal 7 8 3 12" xfId="48639"/>
    <cellStyle name="Normal 7 8 3 13" xfId="48640"/>
    <cellStyle name="Normal 7 8 3 14" xfId="48641"/>
    <cellStyle name="Normal 7 8 3 15" xfId="48642"/>
    <cellStyle name="Normal 7 8 3 16" xfId="48643"/>
    <cellStyle name="Normal 7 8 3 17" xfId="48644"/>
    <cellStyle name="Normal 7 8 3 18" xfId="48645"/>
    <cellStyle name="Normal 7 8 3 2" xfId="48646"/>
    <cellStyle name="Normal 7 8 3 2 10" xfId="48647"/>
    <cellStyle name="Normal 7 8 3 2 11" xfId="48648"/>
    <cellStyle name="Normal 7 8 3 2 12" xfId="48649"/>
    <cellStyle name="Normal 7 8 3 2 13" xfId="48650"/>
    <cellStyle name="Normal 7 8 3 2 2" xfId="48651"/>
    <cellStyle name="Normal 7 8 3 2 2 2" xfId="48652"/>
    <cellStyle name="Normal 7 8 3 2 2 2 2" xfId="48653"/>
    <cellStyle name="Normal 7 8 3 2 2 3" xfId="48654"/>
    <cellStyle name="Normal 7 8 3 2 2 4" xfId="48655"/>
    <cellStyle name="Normal 7 8 3 2 2 5" xfId="48656"/>
    <cellStyle name="Normal 7 8 3 2 3" xfId="48657"/>
    <cellStyle name="Normal 7 8 3 2 3 2" xfId="48658"/>
    <cellStyle name="Normal 7 8 3 2 4" xfId="48659"/>
    <cellStyle name="Normal 7 8 3 2 4 2" xfId="48660"/>
    <cellStyle name="Normal 7 8 3 2 5" xfId="48661"/>
    <cellStyle name="Normal 7 8 3 2 5 2" xfId="48662"/>
    <cellStyle name="Normal 7 8 3 2 6" xfId="48663"/>
    <cellStyle name="Normal 7 8 3 2 6 2" xfId="48664"/>
    <cellStyle name="Normal 7 8 3 2 7" xfId="48665"/>
    <cellStyle name="Normal 7 8 3 2 8" xfId="48666"/>
    <cellStyle name="Normal 7 8 3 2 9" xfId="48667"/>
    <cellStyle name="Normal 7 8 3 3" xfId="48668"/>
    <cellStyle name="Normal 7 8 3 3 2" xfId="48669"/>
    <cellStyle name="Normal 7 8 3 3 2 2" xfId="48670"/>
    <cellStyle name="Normal 7 8 3 3 3" xfId="48671"/>
    <cellStyle name="Normal 7 8 3 3 4" xfId="48672"/>
    <cellStyle name="Normal 7 8 3 3 5" xfId="48673"/>
    <cellStyle name="Normal 7 8 3 4" xfId="48674"/>
    <cellStyle name="Normal 7 8 3 4 2" xfId="48675"/>
    <cellStyle name="Normal 7 8 3 5" xfId="48676"/>
    <cellStyle name="Normal 7 8 3 5 2" xfId="48677"/>
    <cellStyle name="Normal 7 8 3 6" xfId="48678"/>
    <cellStyle name="Normal 7 8 3 6 2" xfId="48679"/>
    <cellStyle name="Normal 7 8 3 7" xfId="48680"/>
    <cellStyle name="Normal 7 8 3 7 2" xfId="48681"/>
    <cellStyle name="Normal 7 8 3 8" xfId="48682"/>
    <cellStyle name="Normal 7 8 3 9" xfId="48683"/>
    <cellStyle name="Normal 7 8 4" xfId="48684"/>
    <cellStyle name="Normal 7 8 4 10" xfId="48685"/>
    <cellStyle name="Normal 7 8 4 11" xfId="48686"/>
    <cellStyle name="Normal 7 8 4 12" xfId="48687"/>
    <cellStyle name="Normal 7 8 4 13" xfId="48688"/>
    <cellStyle name="Normal 7 8 4 14" xfId="48689"/>
    <cellStyle name="Normal 7 8 4 15" xfId="48690"/>
    <cellStyle name="Normal 7 8 4 16" xfId="48691"/>
    <cellStyle name="Normal 7 8 4 17" xfId="48692"/>
    <cellStyle name="Normal 7 8 4 18" xfId="48693"/>
    <cellStyle name="Normal 7 8 4 2" xfId="48694"/>
    <cellStyle name="Normal 7 8 4 2 10" xfId="48695"/>
    <cellStyle name="Normal 7 8 4 2 11" xfId="48696"/>
    <cellStyle name="Normal 7 8 4 2 12" xfId="48697"/>
    <cellStyle name="Normal 7 8 4 2 13" xfId="48698"/>
    <cellStyle name="Normal 7 8 4 2 2" xfId="48699"/>
    <cellStyle name="Normal 7 8 4 2 2 2" xfId="48700"/>
    <cellStyle name="Normal 7 8 4 2 2 2 2" xfId="48701"/>
    <cellStyle name="Normal 7 8 4 2 2 3" xfId="48702"/>
    <cellStyle name="Normal 7 8 4 2 2 4" xfId="48703"/>
    <cellStyle name="Normal 7 8 4 2 2 5" xfId="48704"/>
    <cellStyle name="Normal 7 8 4 2 3" xfId="48705"/>
    <cellStyle name="Normal 7 8 4 2 3 2" xfId="48706"/>
    <cellStyle name="Normal 7 8 4 2 4" xfId="48707"/>
    <cellStyle name="Normal 7 8 4 2 4 2" xfId="48708"/>
    <cellStyle name="Normal 7 8 4 2 5" xfId="48709"/>
    <cellStyle name="Normal 7 8 4 2 5 2" xfId="48710"/>
    <cellStyle name="Normal 7 8 4 2 6" xfId="48711"/>
    <cellStyle name="Normal 7 8 4 2 6 2" xfId="48712"/>
    <cellStyle name="Normal 7 8 4 2 7" xfId="48713"/>
    <cellStyle name="Normal 7 8 4 2 8" xfId="48714"/>
    <cellStyle name="Normal 7 8 4 2 9" xfId="48715"/>
    <cellStyle name="Normal 7 8 4 3" xfId="48716"/>
    <cellStyle name="Normal 7 8 4 3 2" xfId="48717"/>
    <cellStyle name="Normal 7 8 4 3 2 2" xfId="48718"/>
    <cellStyle name="Normal 7 8 4 3 3" xfId="48719"/>
    <cellStyle name="Normal 7 8 4 3 4" xfId="48720"/>
    <cellStyle name="Normal 7 8 4 3 5" xfId="48721"/>
    <cellStyle name="Normal 7 8 4 4" xfId="48722"/>
    <cellStyle name="Normal 7 8 4 4 2" xfId="48723"/>
    <cellStyle name="Normal 7 8 4 5" xfId="48724"/>
    <cellStyle name="Normal 7 8 4 5 2" xfId="48725"/>
    <cellStyle name="Normal 7 8 4 6" xfId="48726"/>
    <cellStyle name="Normal 7 8 4 6 2" xfId="48727"/>
    <cellStyle name="Normal 7 8 4 7" xfId="48728"/>
    <cellStyle name="Normal 7 8 4 7 2" xfId="48729"/>
    <cellStyle name="Normal 7 8 4 8" xfId="48730"/>
    <cellStyle name="Normal 7 8 4 9" xfId="48731"/>
    <cellStyle name="Normal 7 8 5" xfId="48732"/>
    <cellStyle name="Normal 7 8 5 10" xfId="48733"/>
    <cellStyle name="Normal 7 8 5 11" xfId="48734"/>
    <cellStyle name="Normal 7 8 5 12" xfId="48735"/>
    <cellStyle name="Normal 7 8 5 13" xfId="48736"/>
    <cellStyle name="Normal 7 8 5 14" xfId="48737"/>
    <cellStyle name="Normal 7 8 5 15" xfId="48738"/>
    <cellStyle name="Normal 7 8 5 16" xfId="48739"/>
    <cellStyle name="Normal 7 8 5 17" xfId="48740"/>
    <cellStyle name="Normal 7 8 5 2" xfId="48741"/>
    <cellStyle name="Normal 7 8 5 2 10" xfId="48742"/>
    <cellStyle name="Normal 7 8 5 2 11" xfId="48743"/>
    <cellStyle name="Normal 7 8 5 2 12" xfId="48744"/>
    <cellStyle name="Normal 7 8 5 2 13" xfId="48745"/>
    <cellStyle name="Normal 7 8 5 2 2" xfId="48746"/>
    <cellStyle name="Normal 7 8 5 2 2 2" xfId="48747"/>
    <cellStyle name="Normal 7 8 5 2 2 2 2" xfId="48748"/>
    <cellStyle name="Normal 7 8 5 2 2 3" xfId="48749"/>
    <cellStyle name="Normal 7 8 5 2 2 4" xfId="48750"/>
    <cellStyle name="Normal 7 8 5 2 2 5" xfId="48751"/>
    <cellStyle name="Normal 7 8 5 2 3" xfId="48752"/>
    <cellStyle name="Normal 7 8 5 2 3 2" xfId="48753"/>
    <cellStyle name="Normal 7 8 5 2 4" xfId="48754"/>
    <cellStyle name="Normal 7 8 5 2 4 2" xfId="48755"/>
    <cellStyle name="Normal 7 8 5 2 5" xfId="48756"/>
    <cellStyle name="Normal 7 8 5 2 5 2" xfId="48757"/>
    <cellStyle name="Normal 7 8 5 2 6" xfId="48758"/>
    <cellStyle name="Normal 7 8 5 2 6 2" xfId="48759"/>
    <cellStyle name="Normal 7 8 5 2 7" xfId="48760"/>
    <cellStyle name="Normal 7 8 5 2 8" xfId="48761"/>
    <cellStyle name="Normal 7 8 5 2 9" xfId="48762"/>
    <cellStyle name="Normal 7 8 5 3" xfId="48763"/>
    <cellStyle name="Normal 7 8 5 3 2" xfId="48764"/>
    <cellStyle name="Normal 7 8 5 3 2 2" xfId="48765"/>
    <cellStyle name="Normal 7 8 5 3 3" xfId="48766"/>
    <cellStyle name="Normal 7 8 5 3 4" xfId="48767"/>
    <cellStyle name="Normal 7 8 5 3 5" xfId="48768"/>
    <cellStyle name="Normal 7 8 5 4" xfId="48769"/>
    <cellStyle name="Normal 7 8 5 4 2" xfId="48770"/>
    <cellStyle name="Normal 7 8 5 5" xfId="48771"/>
    <cellStyle name="Normal 7 8 5 5 2" xfId="48772"/>
    <cellStyle name="Normal 7 8 5 6" xfId="48773"/>
    <cellStyle name="Normal 7 8 5 6 2" xfId="48774"/>
    <cellStyle name="Normal 7 8 5 7" xfId="48775"/>
    <cellStyle name="Normal 7 8 5 7 2" xfId="48776"/>
    <cellStyle name="Normal 7 8 5 8" xfId="48777"/>
    <cellStyle name="Normal 7 8 5 9" xfId="48778"/>
    <cellStyle name="Normal 7 8 6" xfId="48779"/>
    <cellStyle name="Normal 7 8 6 10" xfId="48780"/>
    <cellStyle name="Normal 7 8 6 11" xfId="48781"/>
    <cellStyle name="Normal 7 8 6 12" xfId="48782"/>
    <cellStyle name="Normal 7 8 6 13" xfId="48783"/>
    <cellStyle name="Normal 7 8 6 14" xfId="48784"/>
    <cellStyle name="Normal 7 8 6 15" xfId="48785"/>
    <cellStyle name="Normal 7 8 6 16" xfId="48786"/>
    <cellStyle name="Normal 7 8 6 17" xfId="48787"/>
    <cellStyle name="Normal 7 8 6 2" xfId="48788"/>
    <cellStyle name="Normal 7 8 6 2 10" xfId="48789"/>
    <cellStyle name="Normal 7 8 6 2 11" xfId="48790"/>
    <cellStyle name="Normal 7 8 6 2 12" xfId="48791"/>
    <cellStyle name="Normal 7 8 6 2 13" xfId="48792"/>
    <cellStyle name="Normal 7 8 6 2 2" xfId="48793"/>
    <cellStyle name="Normal 7 8 6 2 2 2" xfId="48794"/>
    <cellStyle name="Normal 7 8 6 2 2 2 2" xfId="48795"/>
    <cellStyle name="Normal 7 8 6 2 2 3" xfId="48796"/>
    <cellStyle name="Normal 7 8 6 2 2 4" xfId="48797"/>
    <cellStyle name="Normal 7 8 6 2 2 5" xfId="48798"/>
    <cellStyle name="Normal 7 8 6 2 3" xfId="48799"/>
    <cellStyle name="Normal 7 8 6 2 3 2" xfId="48800"/>
    <cellStyle name="Normal 7 8 6 2 4" xfId="48801"/>
    <cellStyle name="Normal 7 8 6 2 4 2" xfId="48802"/>
    <cellStyle name="Normal 7 8 6 2 5" xfId="48803"/>
    <cellStyle name="Normal 7 8 6 2 5 2" xfId="48804"/>
    <cellStyle name="Normal 7 8 6 2 6" xfId="48805"/>
    <cellStyle name="Normal 7 8 6 2 6 2" xfId="48806"/>
    <cellStyle name="Normal 7 8 6 2 7" xfId="48807"/>
    <cellStyle name="Normal 7 8 6 2 8" xfId="48808"/>
    <cellStyle name="Normal 7 8 6 2 9" xfId="48809"/>
    <cellStyle name="Normal 7 8 6 3" xfId="48810"/>
    <cellStyle name="Normal 7 8 6 3 2" xfId="48811"/>
    <cellStyle name="Normal 7 8 6 3 2 2" xfId="48812"/>
    <cellStyle name="Normal 7 8 6 3 3" xfId="48813"/>
    <cellStyle name="Normal 7 8 6 3 4" xfId="48814"/>
    <cellStyle name="Normal 7 8 6 3 5" xfId="48815"/>
    <cellStyle name="Normal 7 8 6 4" xfId="48816"/>
    <cellStyle name="Normal 7 8 6 4 2" xfId="48817"/>
    <cellStyle name="Normal 7 8 6 5" xfId="48818"/>
    <cellStyle name="Normal 7 8 6 5 2" xfId="48819"/>
    <cellStyle name="Normal 7 8 6 6" xfId="48820"/>
    <cellStyle name="Normal 7 8 6 6 2" xfId="48821"/>
    <cellStyle name="Normal 7 8 6 7" xfId="48822"/>
    <cellStyle name="Normal 7 8 6 7 2" xfId="48823"/>
    <cellStyle name="Normal 7 8 6 8" xfId="48824"/>
    <cellStyle name="Normal 7 8 6 9" xfId="48825"/>
    <cellStyle name="Normal 7 8 7" xfId="48826"/>
    <cellStyle name="Normal 7 8 7 10" xfId="48827"/>
    <cellStyle name="Normal 7 8 7 11" xfId="48828"/>
    <cellStyle name="Normal 7 8 7 12" xfId="48829"/>
    <cellStyle name="Normal 7 8 7 13" xfId="48830"/>
    <cellStyle name="Normal 7 8 7 14" xfId="48831"/>
    <cellStyle name="Normal 7 8 7 15" xfId="48832"/>
    <cellStyle name="Normal 7 8 7 16" xfId="48833"/>
    <cellStyle name="Normal 7 8 7 17" xfId="48834"/>
    <cellStyle name="Normal 7 8 7 2" xfId="48835"/>
    <cellStyle name="Normal 7 8 7 2 10" xfId="48836"/>
    <cellStyle name="Normal 7 8 7 2 11" xfId="48837"/>
    <cellStyle name="Normal 7 8 7 2 12" xfId="48838"/>
    <cellStyle name="Normal 7 8 7 2 13" xfId="48839"/>
    <cellStyle name="Normal 7 8 7 2 2" xfId="48840"/>
    <cellStyle name="Normal 7 8 7 2 2 2" xfId="48841"/>
    <cellStyle name="Normal 7 8 7 2 2 2 2" xfId="48842"/>
    <cellStyle name="Normal 7 8 7 2 2 3" xfId="48843"/>
    <cellStyle name="Normal 7 8 7 2 2 4" xfId="48844"/>
    <cellStyle name="Normal 7 8 7 2 2 5" xfId="48845"/>
    <cellStyle name="Normal 7 8 7 2 3" xfId="48846"/>
    <cellStyle name="Normal 7 8 7 2 3 2" xfId="48847"/>
    <cellStyle name="Normal 7 8 7 2 4" xfId="48848"/>
    <cellStyle name="Normal 7 8 7 2 4 2" xfId="48849"/>
    <cellStyle name="Normal 7 8 7 2 5" xfId="48850"/>
    <cellStyle name="Normal 7 8 7 2 5 2" xfId="48851"/>
    <cellStyle name="Normal 7 8 7 2 6" xfId="48852"/>
    <cellStyle name="Normal 7 8 7 2 6 2" xfId="48853"/>
    <cellStyle name="Normal 7 8 7 2 7" xfId="48854"/>
    <cellStyle name="Normal 7 8 7 2 8" xfId="48855"/>
    <cellStyle name="Normal 7 8 7 2 9" xfId="48856"/>
    <cellStyle name="Normal 7 8 7 3" xfId="48857"/>
    <cellStyle name="Normal 7 8 7 3 2" xfId="48858"/>
    <cellStyle name="Normal 7 8 7 3 2 2" xfId="48859"/>
    <cellStyle name="Normal 7 8 7 3 3" xfId="48860"/>
    <cellStyle name="Normal 7 8 7 3 4" xfId="48861"/>
    <cellStyle name="Normal 7 8 7 3 5" xfId="48862"/>
    <cellStyle name="Normal 7 8 7 4" xfId="48863"/>
    <cellStyle name="Normal 7 8 7 4 2" xfId="48864"/>
    <cellStyle name="Normal 7 8 7 5" xfId="48865"/>
    <cellStyle name="Normal 7 8 7 5 2" xfId="48866"/>
    <cellStyle name="Normal 7 8 7 6" xfId="48867"/>
    <cellStyle name="Normal 7 8 7 6 2" xfId="48868"/>
    <cellStyle name="Normal 7 8 7 7" xfId="48869"/>
    <cellStyle name="Normal 7 8 7 7 2" xfId="48870"/>
    <cellStyle name="Normal 7 8 7 8" xfId="48871"/>
    <cellStyle name="Normal 7 8 7 9" xfId="48872"/>
    <cellStyle name="Normal 7 8 8" xfId="48873"/>
    <cellStyle name="Normal 7 8 8 10" xfId="48874"/>
    <cellStyle name="Normal 7 8 8 11" xfId="48875"/>
    <cellStyle name="Normal 7 8 8 12" xfId="48876"/>
    <cellStyle name="Normal 7 8 8 13" xfId="48877"/>
    <cellStyle name="Normal 7 8 8 14" xfId="48878"/>
    <cellStyle name="Normal 7 8 8 15" xfId="48879"/>
    <cellStyle name="Normal 7 8 8 2" xfId="48880"/>
    <cellStyle name="Normal 7 8 8 2 2" xfId="48881"/>
    <cellStyle name="Normal 7 8 8 2 2 2" xfId="48882"/>
    <cellStyle name="Normal 7 8 8 2 3" xfId="48883"/>
    <cellStyle name="Normal 7 8 8 2 3 2" xfId="48884"/>
    <cellStyle name="Normal 7 8 8 2 4" xfId="48885"/>
    <cellStyle name="Normal 7 8 8 2 4 2" xfId="48886"/>
    <cellStyle name="Normal 7 8 8 2 5" xfId="48887"/>
    <cellStyle name="Normal 7 8 8 2 5 2" xfId="48888"/>
    <cellStyle name="Normal 7 8 8 2 6" xfId="48889"/>
    <cellStyle name="Normal 7 8 8 2 7" xfId="48890"/>
    <cellStyle name="Normal 7 8 8 2 8" xfId="48891"/>
    <cellStyle name="Normal 7 8 8 2 9" xfId="48892"/>
    <cellStyle name="Normal 7 8 8 3" xfId="48893"/>
    <cellStyle name="Normal 7 8 8 3 2" xfId="48894"/>
    <cellStyle name="Normal 7 8 8 3 2 2" xfId="48895"/>
    <cellStyle name="Normal 7 8 8 3 3" xfId="48896"/>
    <cellStyle name="Normal 7 8 8 3 4" xfId="48897"/>
    <cellStyle name="Normal 7 8 8 3 5" xfId="48898"/>
    <cellStyle name="Normal 7 8 8 4" xfId="48899"/>
    <cellStyle name="Normal 7 8 8 4 2" xfId="48900"/>
    <cellStyle name="Normal 7 8 8 5" xfId="48901"/>
    <cellStyle name="Normal 7 8 8 5 2" xfId="48902"/>
    <cellStyle name="Normal 7 8 8 6" xfId="48903"/>
    <cellStyle name="Normal 7 8 8 6 2" xfId="48904"/>
    <cellStyle name="Normal 7 8 8 7" xfId="48905"/>
    <cellStyle name="Normal 7 8 8 7 2" xfId="48906"/>
    <cellStyle name="Normal 7 8 8 8" xfId="48907"/>
    <cellStyle name="Normal 7 8 8 9" xfId="48908"/>
    <cellStyle name="Normal 7 8 9" xfId="48909"/>
    <cellStyle name="Normal 7 8 9 10" xfId="48910"/>
    <cellStyle name="Normal 7 8 9 11" xfId="48911"/>
    <cellStyle name="Normal 7 8 9 12" xfId="48912"/>
    <cellStyle name="Normal 7 8 9 13" xfId="48913"/>
    <cellStyle name="Normal 7 8 9 14" xfId="48914"/>
    <cellStyle name="Normal 7 8 9 15" xfId="48915"/>
    <cellStyle name="Normal 7 8 9 2" xfId="48916"/>
    <cellStyle name="Normal 7 8 9 2 2" xfId="48917"/>
    <cellStyle name="Normal 7 8 9 2 2 2" xfId="48918"/>
    <cellStyle name="Normal 7 8 9 2 3" xfId="48919"/>
    <cellStyle name="Normal 7 8 9 2 3 2" xfId="48920"/>
    <cellStyle name="Normal 7 8 9 2 4" xfId="48921"/>
    <cellStyle name="Normal 7 8 9 2 4 2" xfId="48922"/>
    <cellStyle name="Normal 7 8 9 2 5" xfId="48923"/>
    <cellStyle name="Normal 7 8 9 2 5 2" xfId="48924"/>
    <cellStyle name="Normal 7 8 9 2 6" xfId="48925"/>
    <cellStyle name="Normal 7 8 9 2 7" xfId="48926"/>
    <cellStyle name="Normal 7 8 9 2 8" xfId="48927"/>
    <cellStyle name="Normal 7 8 9 2 9" xfId="48928"/>
    <cellStyle name="Normal 7 8 9 3" xfId="48929"/>
    <cellStyle name="Normal 7 8 9 3 2" xfId="48930"/>
    <cellStyle name="Normal 7 8 9 3 2 2" xfId="48931"/>
    <cellStyle name="Normal 7 8 9 3 3" xfId="48932"/>
    <cellStyle name="Normal 7 8 9 3 4" xfId="48933"/>
    <cellStyle name="Normal 7 8 9 3 5" xfId="48934"/>
    <cellStyle name="Normal 7 8 9 4" xfId="48935"/>
    <cellStyle name="Normal 7 8 9 4 2" xfId="48936"/>
    <cellStyle name="Normal 7 8 9 5" xfId="48937"/>
    <cellStyle name="Normal 7 8 9 5 2" xfId="48938"/>
    <cellStyle name="Normal 7 8 9 6" xfId="48939"/>
    <cellStyle name="Normal 7 8 9 6 2" xfId="48940"/>
    <cellStyle name="Normal 7 8 9 7" xfId="48941"/>
    <cellStyle name="Normal 7 8 9 7 2" xfId="48942"/>
    <cellStyle name="Normal 7 8 9 8" xfId="48943"/>
    <cellStyle name="Normal 7 8 9 9" xfId="48944"/>
    <cellStyle name="Normal 7 9" xfId="48945"/>
    <cellStyle name="Normal 7 9 10" xfId="48946"/>
    <cellStyle name="Normal 7 9 10 10" xfId="48947"/>
    <cellStyle name="Normal 7 9 10 11" xfId="48948"/>
    <cellStyle name="Normal 7 9 10 12" xfId="48949"/>
    <cellStyle name="Normal 7 9 10 13" xfId="48950"/>
    <cellStyle name="Normal 7 9 10 14" xfId="48951"/>
    <cellStyle name="Normal 7 9 10 2" xfId="48952"/>
    <cellStyle name="Normal 7 9 10 2 2" xfId="48953"/>
    <cellStyle name="Normal 7 9 10 2 2 2" xfId="48954"/>
    <cellStyle name="Normal 7 9 10 2 3" xfId="48955"/>
    <cellStyle name="Normal 7 9 10 2 3 2" xfId="48956"/>
    <cellStyle name="Normal 7 9 10 2 4" xfId="48957"/>
    <cellStyle name="Normal 7 9 10 2 4 2" xfId="48958"/>
    <cellStyle name="Normal 7 9 10 2 5" xfId="48959"/>
    <cellStyle name="Normal 7 9 10 2 5 2" xfId="48960"/>
    <cellStyle name="Normal 7 9 10 2 6" xfId="48961"/>
    <cellStyle name="Normal 7 9 10 2 7" xfId="48962"/>
    <cellStyle name="Normal 7 9 10 2 8" xfId="48963"/>
    <cellStyle name="Normal 7 9 10 2 9" xfId="48964"/>
    <cellStyle name="Normal 7 9 10 3" xfId="48965"/>
    <cellStyle name="Normal 7 9 10 3 2" xfId="48966"/>
    <cellStyle name="Normal 7 9 10 3 2 2" xfId="48967"/>
    <cellStyle name="Normal 7 9 10 3 3" xfId="48968"/>
    <cellStyle name="Normal 7 9 10 3 4" xfId="48969"/>
    <cellStyle name="Normal 7 9 10 3 5" xfId="48970"/>
    <cellStyle name="Normal 7 9 10 4" xfId="48971"/>
    <cellStyle name="Normal 7 9 10 4 2" xfId="48972"/>
    <cellStyle name="Normal 7 9 10 5" xfId="48973"/>
    <cellStyle name="Normal 7 9 10 5 2" xfId="48974"/>
    <cellStyle name="Normal 7 9 10 6" xfId="48975"/>
    <cellStyle name="Normal 7 9 10 6 2" xfId="48976"/>
    <cellStyle name="Normal 7 9 10 7" xfId="48977"/>
    <cellStyle name="Normal 7 9 10 7 2" xfId="48978"/>
    <cellStyle name="Normal 7 9 10 8" xfId="48979"/>
    <cellStyle name="Normal 7 9 10 9" xfId="48980"/>
    <cellStyle name="Normal 7 9 11" xfId="48981"/>
    <cellStyle name="Normal 7 9 11 2" xfId="48982"/>
    <cellStyle name="Normal 7 9 11 2 2" xfId="48983"/>
    <cellStyle name="Normal 7 9 11 3" xfId="48984"/>
    <cellStyle name="Normal 7 9 11 3 2" xfId="48985"/>
    <cellStyle name="Normal 7 9 11 4" xfId="48986"/>
    <cellStyle name="Normal 7 9 11 4 2" xfId="48987"/>
    <cellStyle name="Normal 7 9 11 5" xfId="48988"/>
    <cellStyle name="Normal 7 9 11 5 2" xfId="48989"/>
    <cellStyle name="Normal 7 9 11 6" xfId="48990"/>
    <cellStyle name="Normal 7 9 11 7" xfId="48991"/>
    <cellStyle name="Normal 7 9 11 8" xfId="48992"/>
    <cellStyle name="Normal 7 9 11 9" xfId="48993"/>
    <cellStyle name="Normal 7 9 12" xfId="48994"/>
    <cellStyle name="Normal 7 9 12 2" xfId="48995"/>
    <cellStyle name="Normal 7 9 12 2 2" xfId="48996"/>
    <cellStyle name="Normal 7 9 12 3" xfId="48997"/>
    <cellStyle name="Normal 7 9 12 4" xfId="48998"/>
    <cellStyle name="Normal 7 9 12 5" xfId="48999"/>
    <cellStyle name="Normal 7 9 13" xfId="49000"/>
    <cellStyle name="Normal 7 9 13 2" xfId="49001"/>
    <cellStyle name="Normal 7 9 14" xfId="49002"/>
    <cellStyle name="Normal 7 9 14 2" xfId="49003"/>
    <cellStyle name="Normal 7 9 15" xfId="49004"/>
    <cellStyle name="Normal 7 9 15 2" xfId="49005"/>
    <cellStyle name="Normal 7 9 16" xfId="49006"/>
    <cellStyle name="Normal 7 9 16 2" xfId="49007"/>
    <cellStyle name="Normal 7 9 17" xfId="49008"/>
    <cellStyle name="Normal 7 9 18" xfId="49009"/>
    <cellStyle name="Normal 7 9 19" xfId="49010"/>
    <cellStyle name="Normal 7 9 2" xfId="49011"/>
    <cellStyle name="Normal 7 9 2 10" xfId="49012"/>
    <cellStyle name="Normal 7 9 2 11" xfId="49013"/>
    <cellStyle name="Normal 7 9 2 12" xfId="49014"/>
    <cellStyle name="Normal 7 9 2 13" xfId="49015"/>
    <cellStyle name="Normal 7 9 2 14" xfId="49016"/>
    <cellStyle name="Normal 7 9 2 15" xfId="49017"/>
    <cellStyle name="Normal 7 9 2 16" xfId="49018"/>
    <cellStyle name="Normal 7 9 2 17" xfId="49019"/>
    <cellStyle name="Normal 7 9 2 18" xfId="49020"/>
    <cellStyle name="Normal 7 9 2 2" xfId="49021"/>
    <cellStyle name="Normal 7 9 2 2 10" xfId="49022"/>
    <cellStyle name="Normal 7 9 2 2 11" xfId="49023"/>
    <cellStyle name="Normal 7 9 2 2 12" xfId="49024"/>
    <cellStyle name="Normal 7 9 2 2 13" xfId="49025"/>
    <cellStyle name="Normal 7 9 2 2 2" xfId="49026"/>
    <cellStyle name="Normal 7 9 2 2 2 2" xfId="49027"/>
    <cellStyle name="Normal 7 9 2 2 2 2 2" xfId="49028"/>
    <cellStyle name="Normal 7 9 2 2 2 3" xfId="49029"/>
    <cellStyle name="Normal 7 9 2 2 2 4" xfId="49030"/>
    <cellStyle name="Normal 7 9 2 2 2 5" xfId="49031"/>
    <cellStyle name="Normal 7 9 2 2 3" xfId="49032"/>
    <cellStyle name="Normal 7 9 2 2 3 2" xfId="49033"/>
    <cellStyle name="Normal 7 9 2 2 4" xfId="49034"/>
    <cellStyle name="Normal 7 9 2 2 4 2" xfId="49035"/>
    <cellStyle name="Normal 7 9 2 2 5" xfId="49036"/>
    <cellStyle name="Normal 7 9 2 2 5 2" xfId="49037"/>
    <cellStyle name="Normal 7 9 2 2 6" xfId="49038"/>
    <cellStyle name="Normal 7 9 2 2 6 2" xfId="49039"/>
    <cellStyle name="Normal 7 9 2 2 7" xfId="49040"/>
    <cellStyle name="Normal 7 9 2 2 8" xfId="49041"/>
    <cellStyle name="Normal 7 9 2 2 9" xfId="49042"/>
    <cellStyle name="Normal 7 9 2 3" xfId="49043"/>
    <cellStyle name="Normal 7 9 2 3 2" xfId="49044"/>
    <cellStyle name="Normal 7 9 2 3 2 2" xfId="49045"/>
    <cellStyle name="Normal 7 9 2 3 3" xfId="49046"/>
    <cellStyle name="Normal 7 9 2 3 4" xfId="49047"/>
    <cellStyle name="Normal 7 9 2 3 5" xfId="49048"/>
    <cellStyle name="Normal 7 9 2 4" xfId="49049"/>
    <cellStyle name="Normal 7 9 2 4 2" xfId="49050"/>
    <cellStyle name="Normal 7 9 2 5" xfId="49051"/>
    <cellStyle name="Normal 7 9 2 5 2" xfId="49052"/>
    <cellStyle name="Normal 7 9 2 6" xfId="49053"/>
    <cellStyle name="Normal 7 9 2 6 2" xfId="49054"/>
    <cellStyle name="Normal 7 9 2 7" xfId="49055"/>
    <cellStyle name="Normal 7 9 2 7 2" xfId="49056"/>
    <cellStyle name="Normal 7 9 2 8" xfId="49057"/>
    <cellStyle name="Normal 7 9 2 9" xfId="49058"/>
    <cellStyle name="Normal 7 9 20" xfId="49059"/>
    <cellStyle name="Normal 7 9 21" xfId="49060"/>
    <cellStyle name="Normal 7 9 22" xfId="49061"/>
    <cellStyle name="Normal 7 9 23" xfId="49062"/>
    <cellStyle name="Normal 7 9 24" xfId="49063"/>
    <cellStyle name="Normal 7 9 25" xfId="49064"/>
    <cellStyle name="Normal 7 9 3" xfId="49065"/>
    <cellStyle name="Normal 7 9 3 10" xfId="49066"/>
    <cellStyle name="Normal 7 9 3 11" xfId="49067"/>
    <cellStyle name="Normal 7 9 3 12" xfId="49068"/>
    <cellStyle name="Normal 7 9 3 13" xfId="49069"/>
    <cellStyle name="Normal 7 9 3 14" xfId="49070"/>
    <cellStyle name="Normal 7 9 3 15" xfId="49071"/>
    <cellStyle name="Normal 7 9 3 16" xfId="49072"/>
    <cellStyle name="Normal 7 9 3 17" xfId="49073"/>
    <cellStyle name="Normal 7 9 3 18" xfId="49074"/>
    <cellStyle name="Normal 7 9 3 2" xfId="49075"/>
    <cellStyle name="Normal 7 9 3 2 10" xfId="49076"/>
    <cellStyle name="Normal 7 9 3 2 11" xfId="49077"/>
    <cellStyle name="Normal 7 9 3 2 12" xfId="49078"/>
    <cellStyle name="Normal 7 9 3 2 13" xfId="49079"/>
    <cellStyle name="Normal 7 9 3 2 2" xfId="49080"/>
    <cellStyle name="Normal 7 9 3 2 2 2" xfId="49081"/>
    <cellStyle name="Normal 7 9 3 2 2 2 2" xfId="49082"/>
    <cellStyle name="Normal 7 9 3 2 2 3" xfId="49083"/>
    <cellStyle name="Normal 7 9 3 2 2 4" xfId="49084"/>
    <cellStyle name="Normal 7 9 3 2 2 5" xfId="49085"/>
    <cellStyle name="Normal 7 9 3 2 3" xfId="49086"/>
    <cellStyle name="Normal 7 9 3 2 3 2" xfId="49087"/>
    <cellStyle name="Normal 7 9 3 2 4" xfId="49088"/>
    <cellStyle name="Normal 7 9 3 2 4 2" xfId="49089"/>
    <cellStyle name="Normal 7 9 3 2 5" xfId="49090"/>
    <cellStyle name="Normal 7 9 3 2 5 2" xfId="49091"/>
    <cellStyle name="Normal 7 9 3 2 6" xfId="49092"/>
    <cellStyle name="Normal 7 9 3 2 6 2" xfId="49093"/>
    <cellStyle name="Normal 7 9 3 2 7" xfId="49094"/>
    <cellStyle name="Normal 7 9 3 2 8" xfId="49095"/>
    <cellStyle name="Normal 7 9 3 2 9" xfId="49096"/>
    <cellStyle name="Normal 7 9 3 3" xfId="49097"/>
    <cellStyle name="Normal 7 9 3 3 2" xfId="49098"/>
    <cellStyle name="Normal 7 9 3 3 2 2" xfId="49099"/>
    <cellStyle name="Normal 7 9 3 3 3" xfId="49100"/>
    <cellStyle name="Normal 7 9 3 3 4" xfId="49101"/>
    <cellStyle name="Normal 7 9 3 3 5" xfId="49102"/>
    <cellStyle name="Normal 7 9 3 4" xfId="49103"/>
    <cellStyle name="Normal 7 9 3 4 2" xfId="49104"/>
    <cellStyle name="Normal 7 9 3 5" xfId="49105"/>
    <cellStyle name="Normal 7 9 3 5 2" xfId="49106"/>
    <cellStyle name="Normal 7 9 3 6" xfId="49107"/>
    <cellStyle name="Normal 7 9 3 6 2" xfId="49108"/>
    <cellStyle name="Normal 7 9 3 7" xfId="49109"/>
    <cellStyle name="Normal 7 9 3 7 2" xfId="49110"/>
    <cellStyle name="Normal 7 9 3 8" xfId="49111"/>
    <cellStyle name="Normal 7 9 3 9" xfId="49112"/>
    <cellStyle name="Normal 7 9 4" xfId="49113"/>
    <cellStyle name="Normal 7 9 4 10" xfId="49114"/>
    <cellStyle name="Normal 7 9 4 11" xfId="49115"/>
    <cellStyle name="Normal 7 9 4 12" xfId="49116"/>
    <cellStyle name="Normal 7 9 4 13" xfId="49117"/>
    <cellStyle name="Normal 7 9 4 14" xfId="49118"/>
    <cellStyle name="Normal 7 9 4 15" xfId="49119"/>
    <cellStyle name="Normal 7 9 4 16" xfId="49120"/>
    <cellStyle name="Normal 7 9 4 17" xfId="49121"/>
    <cellStyle name="Normal 7 9 4 18" xfId="49122"/>
    <cellStyle name="Normal 7 9 4 2" xfId="49123"/>
    <cellStyle name="Normal 7 9 4 2 10" xfId="49124"/>
    <cellStyle name="Normal 7 9 4 2 11" xfId="49125"/>
    <cellStyle name="Normal 7 9 4 2 12" xfId="49126"/>
    <cellStyle name="Normal 7 9 4 2 13" xfId="49127"/>
    <cellStyle name="Normal 7 9 4 2 2" xfId="49128"/>
    <cellStyle name="Normal 7 9 4 2 2 2" xfId="49129"/>
    <cellStyle name="Normal 7 9 4 2 2 2 2" xfId="49130"/>
    <cellStyle name="Normal 7 9 4 2 2 3" xfId="49131"/>
    <cellStyle name="Normal 7 9 4 2 2 4" xfId="49132"/>
    <cellStyle name="Normal 7 9 4 2 2 5" xfId="49133"/>
    <cellStyle name="Normal 7 9 4 2 3" xfId="49134"/>
    <cellStyle name="Normal 7 9 4 2 3 2" xfId="49135"/>
    <cellStyle name="Normal 7 9 4 2 4" xfId="49136"/>
    <cellStyle name="Normal 7 9 4 2 4 2" xfId="49137"/>
    <cellStyle name="Normal 7 9 4 2 5" xfId="49138"/>
    <cellStyle name="Normal 7 9 4 2 5 2" xfId="49139"/>
    <cellStyle name="Normal 7 9 4 2 6" xfId="49140"/>
    <cellStyle name="Normal 7 9 4 2 6 2" xfId="49141"/>
    <cellStyle name="Normal 7 9 4 2 7" xfId="49142"/>
    <cellStyle name="Normal 7 9 4 2 8" xfId="49143"/>
    <cellStyle name="Normal 7 9 4 2 9" xfId="49144"/>
    <cellStyle name="Normal 7 9 4 3" xfId="49145"/>
    <cellStyle name="Normal 7 9 4 3 2" xfId="49146"/>
    <cellStyle name="Normal 7 9 4 3 2 2" xfId="49147"/>
    <cellStyle name="Normal 7 9 4 3 3" xfId="49148"/>
    <cellStyle name="Normal 7 9 4 3 4" xfId="49149"/>
    <cellStyle name="Normal 7 9 4 3 5" xfId="49150"/>
    <cellStyle name="Normal 7 9 4 4" xfId="49151"/>
    <cellStyle name="Normal 7 9 4 4 2" xfId="49152"/>
    <cellStyle name="Normal 7 9 4 5" xfId="49153"/>
    <cellStyle name="Normal 7 9 4 5 2" xfId="49154"/>
    <cellStyle name="Normal 7 9 4 6" xfId="49155"/>
    <cellStyle name="Normal 7 9 4 6 2" xfId="49156"/>
    <cellStyle name="Normal 7 9 4 7" xfId="49157"/>
    <cellStyle name="Normal 7 9 4 7 2" xfId="49158"/>
    <cellStyle name="Normal 7 9 4 8" xfId="49159"/>
    <cellStyle name="Normal 7 9 4 9" xfId="49160"/>
    <cellStyle name="Normal 7 9 5" xfId="49161"/>
    <cellStyle name="Normal 7 9 5 10" xfId="49162"/>
    <cellStyle name="Normal 7 9 5 11" xfId="49163"/>
    <cellStyle name="Normal 7 9 5 12" xfId="49164"/>
    <cellStyle name="Normal 7 9 5 13" xfId="49165"/>
    <cellStyle name="Normal 7 9 5 14" xfId="49166"/>
    <cellStyle name="Normal 7 9 5 15" xfId="49167"/>
    <cellStyle name="Normal 7 9 5 16" xfId="49168"/>
    <cellStyle name="Normal 7 9 5 17" xfId="49169"/>
    <cellStyle name="Normal 7 9 5 2" xfId="49170"/>
    <cellStyle name="Normal 7 9 5 2 10" xfId="49171"/>
    <cellStyle name="Normal 7 9 5 2 11" xfId="49172"/>
    <cellStyle name="Normal 7 9 5 2 12" xfId="49173"/>
    <cellStyle name="Normal 7 9 5 2 13" xfId="49174"/>
    <cellStyle name="Normal 7 9 5 2 2" xfId="49175"/>
    <cellStyle name="Normal 7 9 5 2 2 2" xfId="49176"/>
    <cellStyle name="Normal 7 9 5 2 2 2 2" xfId="49177"/>
    <cellStyle name="Normal 7 9 5 2 2 3" xfId="49178"/>
    <cellStyle name="Normal 7 9 5 2 2 4" xfId="49179"/>
    <cellStyle name="Normal 7 9 5 2 2 5" xfId="49180"/>
    <cellStyle name="Normal 7 9 5 2 3" xfId="49181"/>
    <cellStyle name="Normal 7 9 5 2 3 2" xfId="49182"/>
    <cellStyle name="Normal 7 9 5 2 4" xfId="49183"/>
    <cellStyle name="Normal 7 9 5 2 4 2" xfId="49184"/>
    <cellStyle name="Normal 7 9 5 2 5" xfId="49185"/>
    <cellStyle name="Normal 7 9 5 2 5 2" xfId="49186"/>
    <cellStyle name="Normal 7 9 5 2 6" xfId="49187"/>
    <cellStyle name="Normal 7 9 5 2 6 2" xfId="49188"/>
    <cellStyle name="Normal 7 9 5 2 7" xfId="49189"/>
    <cellStyle name="Normal 7 9 5 2 8" xfId="49190"/>
    <cellStyle name="Normal 7 9 5 2 9" xfId="49191"/>
    <cellStyle name="Normal 7 9 5 3" xfId="49192"/>
    <cellStyle name="Normal 7 9 5 3 2" xfId="49193"/>
    <cellStyle name="Normal 7 9 5 3 2 2" xfId="49194"/>
    <cellStyle name="Normal 7 9 5 3 3" xfId="49195"/>
    <cellStyle name="Normal 7 9 5 3 4" xfId="49196"/>
    <cellStyle name="Normal 7 9 5 3 5" xfId="49197"/>
    <cellStyle name="Normal 7 9 5 4" xfId="49198"/>
    <cellStyle name="Normal 7 9 5 4 2" xfId="49199"/>
    <cellStyle name="Normal 7 9 5 5" xfId="49200"/>
    <cellStyle name="Normal 7 9 5 5 2" xfId="49201"/>
    <cellStyle name="Normal 7 9 5 6" xfId="49202"/>
    <cellStyle name="Normal 7 9 5 6 2" xfId="49203"/>
    <cellStyle name="Normal 7 9 5 7" xfId="49204"/>
    <cellStyle name="Normal 7 9 5 7 2" xfId="49205"/>
    <cellStyle name="Normal 7 9 5 8" xfId="49206"/>
    <cellStyle name="Normal 7 9 5 9" xfId="49207"/>
    <cellStyle name="Normal 7 9 6" xfId="49208"/>
    <cellStyle name="Normal 7 9 6 10" xfId="49209"/>
    <cellStyle name="Normal 7 9 6 11" xfId="49210"/>
    <cellStyle name="Normal 7 9 6 12" xfId="49211"/>
    <cellStyle name="Normal 7 9 6 13" xfId="49212"/>
    <cellStyle name="Normal 7 9 6 14" xfId="49213"/>
    <cellStyle name="Normal 7 9 6 15" xfId="49214"/>
    <cellStyle name="Normal 7 9 6 16" xfId="49215"/>
    <cellStyle name="Normal 7 9 6 17" xfId="49216"/>
    <cellStyle name="Normal 7 9 6 2" xfId="49217"/>
    <cellStyle name="Normal 7 9 6 2 10" xfId="49218"/>
    <cellStyle name="Normal 7 9 6 2 11" xfId="49219"/>
    <cellStyle name="Normal 7 9 6 2 12" xfId="49220"/>
    <cellStyle name="Normal 7 9 6 2 13" xfId="49221"/>
    <cellStyle name="Normal 7 9 6 2 2" xfId="49222"/>
    <cellStyle name="Normal 7 9 6 2 2 2" xfId="49223"/>
    <cellStyle name="Normal 7 9 6 2 2 2 2" xfId="49224"/>
    <cellStyle name="Normal 7 9 6 2 2 3" xfId="49225"/>
    <cellStyle name="Normal 7 9 6 2 2 4" xfId="49226"/>
    <cellStyle name="Normal 7 9 6 2 2 5" xfId="49227"/>
    <cellStyle name="Normal 7 9 6 2 3" xfId="49228"/>
    <cellStyle name="Normal 7 9 6 2 3 2" xfId="49229"/>
    <cellStyle name="Normal 7 9 6 2 4" xfId="49230"/>
    <cellStyle name="Normal 7 9 6 2 4 2" xfId="49231"/>
    <cellStyle name="Normal 7 9 6 2 5" xfId="49232"/>
    <cellStyle name="Normal 7 9 6 2 5 2" xfId="49233"/>
    <cellStyle name="Normal 7 9 6 2 6" xfId="49234"/>
    <cellStyle name="Normal 7 9 6 2 6 2" xfId="49235"/>
    <cellStyle name="Normal 7 9 6 2 7" xfId="49236"/>
    <cellStyle name="Normal 7 9 6 2 8" xfId="49237"/>
    <cellStyle name="Normal 7 9 6 2 9" xfId="49238"/>
    <cellStyle name="Normal 7 9 6 3" xfId="49239"/>
    <cellStyle name="Normal 7 9 6 3 2" xfId="49240"/>
    <cellStyle name="Normal 7 9 6 3 2 2" xfId="49241"/>
    <cellStyle name="Normal 7 9 6 3 3" xfId="49242"/>
    <cellStyle name="Normal 7 9 6 3 4" xfId="49243"/>
    <cellStyle name="Normal 7 9 6 3 5" xfId="49244"/>
    <cellStyle name="Normal 7 9 6 4" xfId="49245"/>
    <cellStyle name="Normal 7 9 6 4 2" xfId="49246"/>
    <cellStyle name="Normal 7 9 6 5" xfId="49247"/>
    <cellStyle name="Normal 7 9 6 5 2" xfId="49248"/>
    <cellStyle name="Normal 7 9 6 6" xfId="49249"/>
    <cellStyle name="Normal 7 9 6 6 2" xfId="49250"/>
    <cellStyle name="Normal 7 9 6 7" xfId="49251"/>
    <cellStyle name="Normal 7 9 6 7 2" xfId="49252"/>
    <cellStyle name="Normal 7 9 6 8" xfId="49253"/>
    <cellStyle name="Normal 7 9 6 9" xfId="49254"/>
    <cellStyle name="Normal 7 9 7" xfId="49255"/>
    <cellStyle name="Normal 7 9 7 10" xfId="49256"/>
    <cellStyle name="Normal 7 9 7 11" xfId="49257"/>
    <cellStyle name="Normal 7 9 7 12" xfId="49258"/>
    <cellStyle name="Normal 7 9 7 13" xfId="49259"/>
    <cellStyle name="Normal 7 9 7 14" xfId="49260"/>
    <cellStyle name="Normal 7 9 7 15" xfId="49261"/>
    <cellStyle name="Normal 7 9 7 16" xfId="49262"/>
    <cellStyle name="Normal 7 9 7 17" xfId="49263"/>
    <cellStyle name="Normal 7 9 7 2" xfId="49264"/>
    <cellStyle name="Normal 7 9 7 2 10" xfId="49265"/>
    <cellStyle name="Normal 7 9 7 2 11" xfId="49266"/>
    <cellStyle name="Normal 7 9 7 2 12" xfId="49267"/>
    <cellStyle name="Normal 7 9 7 2 13" xfId="49268"/>
    <cellStyle name="Normal 7 9 7 2 2" xfId="49269"/>
    <cellStyle name="Normal 7 9 7 2 2 2" xfId="49270"/>
    <cellStyle name="Normal 7 9 7 2 2 2 2" xfId="49271"/>
    <cellStyle name="Normal 7 9 7 2 2 3" xfId="49272"/>
    <cellStyle name="Normal 7 9 7 2 2 4" xfId="49273"/>
    <cellStyle name="Normal 7 9 7 2 2 5" xfId="49274"/>
    <cellStyle name="Normal 7 9 7 2 3" xfId="49275"/>
    <cellStyle name="Normal 7 9 7 2 3 2" xfId="49276"/>
    <cellStyle name="Normal 7 9 7 2 4" xfId="49277"/>
    <cellStyle name="Normal 7 9 7 2 4 2" xfId="49278"/>
    <cellStyle name="Normal 7 9 7 2 5" xfId="49279"/>
    <cellStyle name="Normal 7 9 7 2 5 2" xfId="49280"/>
    <cellStyle name="Normal 7 9 7 2 6" xfId="49281"/>
    <cellStyle name="Normal 7 9 7 2 6 2" xfId="49282"/>
    <cellStyle name="Normal 7 9 7 2 7" xfId="49283"/>
    <cellStyle name="Normal 7 9 7 2 8" xfId="49284"/>
    <cellStyle name="Normal 7 9 7 2 9" xfId="49285"/>
    <cellStyle name="Normal 7 9 7 3" xfId="49286"/>
    <cellStyle name="Normal 7 9 7 3 2" xfId="49287"/>
    <cellStyle name="Normal 7 9 7 3 2 2" xfId="49288"/>
    <cellStyle name="Normal 7 9 7 3 3" xfId="49289"/>
    <cellStyle name="Normal 7 9 7 3 4" xfId="49290"/>
    <cellStyle name="Normal 7 9 7 3 5" xfId="49291"/>
    <cellStyle name="Normal 7 9 7 4" xfId="49292"/>
    <cellStyle name="Normal 7 9 7 4 2" xfId="49293"/>
    <cellStyle name="Normal 7 9 7 5" xfId="49294"/>
    <cellStyle name="Normal 7 9 7 5 2" xfId="49295"/>
    <cellStyle name="Normal 7 9 7 6" xfId="49296"/>
    <cellStyle name="Normal 7 9 7 6 2" xfId="49297"/>
    <cellStyle name="Normal 7 9 7 7" xfId="49298"/>
    <cellStyle name="Normal 7 9 7 7 2" xfId="49299"/>
    <cellStyle name="Normal 7 9 7 8" xfId="49300"/>
    <cellStyle name="Normal 7 9 7 9" xfId="49301"/>
    <cellStyle name="Normal 7 9 8" xfId="49302"/>
    <cellStyle name="Normal 7 9 8 10" xfId="49303"/>
    <cellStyle name="Normal 7 9 8 11" xfId="49304"/>
    <cellStyle name="Normal 7 9 8 12" xfId="49305"/>
    <cellStyle name="Normal 7 9 8 13" xfId="49306"/>
    <cellStyle name="Normal 7 9 8 14" xfId="49307"/>
    <cellStyle name="Normal 7 9 8 15" xfId="49308"/>
    <cellStyle name="Normal 7 9 8 2" xfId="49309"/>
    <cellStyle name="Normal 7 9 8 2 2" xfId="49310"/>
    <cellStyle name="Normal 7 9 8 2 2 2" xfId="49311"/>
    <cellStyle name="Normal 7 9 8 2 3" xfId="49312"/>
    <cellStyle name="Normal 7 9 8 2 3 2" xfId="49313"/>
    <cellStyle name="Normal 7 9 8 2 4" xfId="49314"/>
    <cellStyle name="Normal 7 9 8 2 4 2" xfId="49315"/>
    <cellStyle name="Normal 7 9 8 2 5" xfId="49316"/>
    <cellStyle name="Normal 7 9 8 2 5 2" xfId="49317"/>
    <cellStyle name="Normal 7 9 8 2 6" xfId="49318"/>
    <cellStyle name="Normal 7 9 8 2 7" xfId="49319"/>
    <cellStyle name="Normal 7 9 8 2 8" xfId="49320"/>
    <cellStyle name="Normal 7 9 8 2 9" xfId="49321"/>
    <cellStyle name="Normal 7 9 8 3" xfId="49322"/>
    <cellStyle name="Normal 7 9 8 3 2" xfId="49323"/>
    <cellStyle name="Normal 7 9 8 3 2 2" xfId="49324"/>
    <cellStyle name="Normal 7 9 8 3 3" xfId="49325"/>
    <cellStyle name="Normal 7 9 8 3 4" xfId="49326"/>
    <cellStyle name="Normal 7 9 8 3 5" xfId="49327"/>
    <cellStyle name="Normal 7 9 8 4" xfId="49328"/>
    <cellStyle name="Normal 7 9 8 4 2" xfId="49329"/>
    <cellStyle name="Normal 7 9 8 5" xfId="49330"/>
    <cellStyle name="Normal 7 9 8 5 2" xfId="49331"/>
    <cellStyle name="Normal 7 9 8 6" xfId="49332"/>
    <cellStyle name="Normal 7 9 8 6 2" xfId="49333"/>
    <cellStyle name="Normal 7 9 8 7" xfId="49334"/>
    <cellStyle name="Normal 7 9 8 7 2" xfId="49335"/>
    <cellStyle name="Normal 7 9 8 8" xfId="49336"/>
    <cellStyle name="Normal 7 9 8 9" xfId="49337"/>
    <cellStyle name="Normal 7 9 9" xfId="49338"/>
    <cellStyle name="Normal 7 9 9 10" xfId="49339"/>
    <cellStyle name="Normal 7 9 9 11" xfId="49340"/>
    <cellStyle name="Normal 7 9 9 12" xfId="49341"/>
    <cellStyle name="Normal 7 9 9 13" xfId="49342"/>
    <cellStyle name="Normal 7 9 9 14" xfId="49343"/>
    <cellStyle name="Normal 7 9 9 15" xfId="49344"/>
    <cellStyle name="Normal 7 9 9 2" xfId="49345"/>
    <cellStyle name="Normal 7 9 9 2 2" xfId="49346"/>
    <cellStyle name="Normal 7 9 9 2 2 2" xfId="49347"/>
    <cellStyle name="Normal 7 9 9 2 3" xfId="49348"/>
    <cellStyle name="Normal 7 9 9 2 3 2" xfId="49349"/>
    <cellStyle name="Normal 7 9 9 2 4" xfId="49350"/>
    <cellStyle name="Normal 7 9 9 2 4 2" xfId="49351"/>
    <cellStyle name="Normal 7 9 9 2 5" xfId="49352"/>
    <cellStyle name="Normal 7 9 9 2 5 2" xfId="49353"/>
    <cellStyle name="Normal 7 9 9 2 6" xfId="49354"/>
    <cellStyle name="Normal 7 9 9 2 7" xfId="49355"/>
    <cellStyle name="Normal 7 9 9 2 8" xfId="49356"/>
    <cellStyle name="Normal 7 9 9 2 9" xfId="49357"/>
    <cellStyle name="Normal 7 9 9 3" xfId="49358"/>
    <cellStyle name="Normal 7 9 9 3 2" xfId="49359"/>
    <cellStyle name="Normal 7 9 9 3 2 2" xfId="49360"/>
    <cellStyle name="Normal 7 9 9 3 3" xfId="49361"/>
    <cellStyle name="Normal 7 9 9 3 4" xfId="49362"/>
    <cellStyle name="Normal 7 9 9 3 5" xfId="49363"/>
    <cellStyle name="Normal 7 9 9 4" xfId="49364"/>
    <cellStyle name="Normal 7 9 9 4 2" xfId="49365"/>
    <cellStyle name="Normal 7 9 9 5" xfId="49366"/>
    <cellStyle name="Normal 7 9 9 5 2" xfId="49367"/>
    <cellStyle name="Normal 7 9 9 6" xfId="49368"/>
    <cellStyle name="Normal 7 9 9 6 2" xfId="49369"/>
    <cellStyle name="Normal 7 9 9 7" xfId="49370"/>
    <cellStyle name="Normal 7 9 9 7 2" xfId="49371"/>
    <cellStyle name="Normal 7 9 9 8" xfId="49372"/>
    <cellStyle name="Normal 7 9 9 9" xfId="49373"/>
    <cellStyle name="Normal 70" xfId="49374"/>
    <cellStyle name="Normal 71" xfId="49375"/>
    <cellStyle name="Normal 72" xfId="56791"/>
    <cellStyle name="Normal 73" xfId="59074"/>
    <cellStyle name="Normal 74" xfId="59075"/>
    <cellStyle name="Normal 75" xfId="59076"/>
    <cellStyle name="Normal 8" xfId="980"/>
    <cellStyle name="Normal 8 10" xfId="49377"/>
    <cellStyle name="Normal 8 10 10" xfId="49378"/>
    <cellStyle name="Normal 8 10 10 10" xfId="49379"/>
    <cellStyle name="Normal 8 10 10 11" xfId="49380"/>
    <cellStyle name="Normal 8 10 10 12" xfId="49381"/>
    <cellStyle name="Normal 8 10 10 13" xfId="49382"/>
    <cellStyle name="Normal 8 10 10 14" xfId="49383"/>
    <cellStyle name="Normal 8 10 10 2" xfId="49384"/>
    <cellStyle name="Normal 8 10 10 2 2" xfId="49385"/>
    <cellStyle name="Normal 8 10 10 2 2 2" xfId="49386"/>
    <cellStyle name="Normal 8 10 10 2 3" xfId="49387"/>
    <cellStyle name="Normal 8 10 10 2 3 2" xfId="49388"/>
    <cellStyle name="Normal 8 10 10 2 4" xfId="49389"/>
    <cellStyle name="Normal 8 10 10 2 4 2" xfId="49390"/>
    <cellStyle name="Normal 8 10 10 2 5" xfId="49391"/>
    <cellStyle name="Normal 8 10 10 2 5 2" xfId="49392"/>
    <cellStyle name="Normal 8 10 10 2 6" xfId="49393"/>
    <cellStyle name="Normal 8 10 10 2 7" xfId="49394"/>
    <cellStyle name="Normal 8 10 10 2 8" xfId="49395"/>
    <cellStyle name="Normal 8 10 10 2 9" xfId="49396"/>
    <cellStyle name="Normal 8 10 10 3" xfId="49397"/>
    <cellStyle name="Normal 8 10 10 3 2" xfId="49398"/>
    <cellStyle name="Normal 8 10 10 3 2 2" xfId="49399"/>
    <cellStyle name="Normal 8 10 10 3 3" xfId="49400"/>
    <cellStyle name="Normal 8 10 10 3 4" xfId="49401"/>
    <cellStyle name="Normal 8 10 10 3 5" xfId="49402"/>
    <cellStyle name="Normal 8 10 10 4" xfId="49403"/>
    <cellStyle name="Normal 8 10 10 4 2" xfId="49404"/>
    <cellStyle name="Normal 8 10 10 5" xfId="49405"/>
    <cellStyle name="Normal 8 10 10 5 2" xfId="49406"/>
    <cellStyle name="Normal 8 10 10 6" xfId="49407"/>
    <cellStyle name="Normal 8 10 10 6 2" xfId="49408"/>
    <cellStyle name="Normal 8 10 10 7" xfId="49409"/>
    <cellStyle name="Normal 8 10 10 7 2" xfId="49410"/>
    <cellStyle name="Normal 8 10 10 8" xfId="49411"/>
    <cellStyle name="Normal 8 10 10 9" xfId="49412"/>
    <cellStyle name="Normal 8 10 11" xfId="49413"/>
    <cellStyle name="Normal 8 10 11 2" xfId="49414"/>
    <cellStyle name="Normal 8 10 11 2 2" xfId="49415"/>
    <cellStyle name="Normal 8 10 11 3" xfId="49416"/>
    <cellStyle name="Normal 8 10 11 3 2" xfId="49417"/>
    <cellStyle name="Normal 8 10 11 4" xfId="49418"/>
    <cellStyle name="Normal 8 10 11 4 2" xfId="49419"/>
    <cellStyle name="Normal 8 10 11 5" xfId="49420"/>
    <cellStyle name="Normal 8 10 11 5 2" xfId="49421"/>
    <cellStyle name="Normal 8 10 11 6" xfId="49422"/>
    <cellStyle name="Normal 8 10 11 7" xfId="49423"/>
    <cellStyle name="Normal 8 10 11 8" xfId="49424"/>
    <cellStyle name="Normal 8 10 11 9" xfId="49425"/>
    <cellStyle name="Normal 8 10 12" xfId="49426"/>
    <cellStyle name="Normal 8 10 12 2" xfId="49427"/>
    <cellStyle name="Normal 8 10 12 2 2" xfId="49428"/>
    <cellStyle name="Normal 8 10 12 3" xfId="49429"/>
    <cellStyle name="Normal 8 10 12 4" xfId="49430"/>
    <cellStyle name="Normal 8 10 12 5" xfId="49431"/>
    <cellStyle name="Normal 8 10 13" xfId="49432"/>
    <cellStyle name="Normal 8 10 13 2" xfId="49433"/>
    <cellStyle name="Normal 8 10 14" xfId="49434"/>
    <cellStyle name="Normal 8 10 14 2" xfId="49435"/>
    <cellStyle name="Normal 8 10 15" xfId="49436"/>
    <cellStyle name="Normal 8 10 15 2" xfId="49437"/>
    <cellStyle name="Normal 8 10 16" xfId="49438"/>
    <cellStyle name="Normal 8 10 16 2" xfId="49439"/>
    <cellStyle name="Normal 8 10 17" xfId="49440"/>
    <cellStyle name="Normal 8 10 18" xfId="49441"/>
    <cellStyle name="Normal 8 10 19" xfId="49442"/>
    <cellStyle name="Normal 8 10 2" xfId="49443"/>
    <cellStyle name="Normal 8 10 2 10" xfId="49444"/>
    <cellStyle name="Normal 8 10 2 11" xfId="49445"/>
    <cellStyle name="Normal 8 10 2 12" xfId="49446"/>
    <cellStyle name="Normal 8 10 2 13" xfId="49447"/>
    <cellStyle name="Normal 8 10 2 14" xfId="49448"/>
    <cellStyle name="Normal 8 10 2 15" xfId="49449"/>
    <cellStyle name="Normal 8 10 2 16" xfId="49450"/>
    <cellStyle name="Normal 8 10 2 17" xfId="49451"/>
    <cellStyle name="Normal 8 10 2 18" xfId="49452"/>
    <cellStyle name="Normal 8 10 2 2" xfId="49453"/>
    <cellStyle name="Normal 8 10 2 2 10" xfId="49454"/>
    <cellStyle name="Normal 8 10 2 2 11" xfId="49455"/>
    <cellStyle name="Normal 8 10 2 2 12" xfId="49456"/>
    <cellStyle name="Normal 8 10 2 2 13" xfId="49457"/>
    <cellStyle name="Normal 8 10 2 2 2" xfId="49458"/>
    <cellStyle name="Normal 8 10 2 2 2 2" xfId="49459"/>
    <cellStyle name="Normal 8 10 2 2 2 2 2" xfId="49460"/>
    <cellStyle name="Normal 8 10 2 2 2 3" xfId="49461"/>
    <cellStyle name="Normal 8 10 2 2 2 4" xfId="49462"/>
    <cellStyle name="Normal 8 10 2 2 2 5" xfId="49463"/>
    <cellStyle name="Normal 8 10 2 2 3" xfId="49464"/>
    <cellStyle name="Normal 8 10 2 2 3 2" xfId="49465"/>
    <cellStyle name="Normal 8 10 2 2 4" xfId="49466"/>
    <cellStyle name="Normal 8 10 2 2 4 2" xfId="49467"/>
    <cellStyle name="Normal 8 10 2 2 5" xfId="49468"/>
    <cellStyle name="Normal 8 10 2 2 5 2" xfId="49469"/>
    <cellStyle name="Normal 8 10 2 2 6" xfId="49470"/>
    <cellStyle name="Normal 8 10 2 2 6 2" xfId="49471"/>
    <cellStyle name="Normal 8 10 2 2 7" xfId="49472"/>
    <cellStyle name="Normal 8 10 2 2 8" xfId="49473"/>
    <cellStyle name="Normal 8 10 2 2 9" xfId="49474"/>
    <cellStyle name="Normal 8 10 2 3" xfId="49475"/>
    <cellStyle name="Normal 8 10 2 3 2" xfId="49476"/>
    <cellStyle name="Normal 8 10 2 3 2 2" xfId="49477"/>
    <cellStyle name="Normal 8 10 2 3 3" xfId="49478"/>
    <cellStyle name="Normal 8 10 2 3 4" xfId="49479"/>
    <cellStyle name="Normal 8 10 2 3 5" xfId="49480"/>
    <cellStyle name="Normal 8 10 2 4" xfId="49481"/>
    <cellStyle name="Normal 8 10 2 4 2" xfId="49482"/>
    <cellStyle name="Normal 8 10 2 5" xfId="49483"/>
    <cellStyle name="Normal 8 10 2 5 2" xfId="49484"/>
    <cellStyle name="Normal 8 10 2 6" xfId="49485"/>
    <cellStyle name="Normal 8 10 2 6 2" xfId="49486"/>
    <cellStyle name="Normal 8 10 2 7" xfId="49487"/>
    <cellStyle name="Normal 8 10 2 7 2" xfId="49488"/>
    <cellStyle name="Normal 8 10 2 8" xfId="49489"/>
    <cellStyle name="Normal 8 10 2 9" xfId="49490"/>
    <cellStyle name="Normal 8 10 20" xfId="49491"/>
    <cellStyle name="Normal 8 10 21" xfId="49492"/>
    <cellStyle name="Normal 8 10 22" xfId="49493"/>
    <cellStyle name="Normal 8 10 23" xfId="49494"/>
    <cellStyle name="Normal 8 10 24" xfId="49495"/>
    <cellStyle name="Normal 8 10 25" xfId="49496"/>
    <cellStyle name="Normal 8 10 3" xfId="49497"/>
    <cellStyle name="Normal 8 10 3 10" xfId="49498"/>
    <cellStyle name="Normal 8 10 3 11" xfId="49499"/>
    <cellStyle name="Normal 8 10 3 12" xfId="49500"/>
    <cellStyle name="Normal 8 10 3 13" xfId="49501"/>
    <cellStyle name="Normal 8 10 3 14" xfId="49502"/>
    <cellStyle name="Normal 8 10 3 15" xfId="49503"/>
    <cellStyle name="Normal 8 10 3 16" xfId="49504"/>
    <cellStyle name="Normal 8 10 3 17" xfId="49505"/>
    <cellStyle name="Normal 8 10 3 18" xfId="49506"/>
    <cellStyle name="Normal 8 10 3 2" xfId="49507"/>
    <cellStyle name="Normal 8 10 3 2 10" xfId="49508"/>
    <cellStyle name="Normal 8 10 3 2 11" xfId="49509"/>
    <cellStyle name="Normal 8 10 3 2 12" xfId="49510"/>
    <cellStyle name="Normal 8 10 3 2 13" xfId="49511"/>
    <cellStyle name="Normal 8 10 3 2 2" xfId="49512"/>
    <cellStyle name="Normal 8 10 3 2 2 2" xfId="49513"/>
    <cellStyle name="Normal 8 10 3 2 2 2 2" xfId="49514"/>
    <cellStyle name="Normal 8 10 3 2 2 3" xfId="49515"/>
    <cellStyle name="Normal 8 10 3 2 2 4" xfId="49516"/>
    <cellStyle name="Normal 8 10 3 2 2 5" xfId="49517"/>
    <cellStyle name="Normal 8 10 3 2 3" xfId="49518"/>
    <cellStyle name="Normal 8 10 3 2 3 2" xfId="49519"/>
    <cellStyle name="Normal 8 10 3 2 4" xfId="49520"/>
    <cellStyle name="Normal 8 10 3 2 4 2" xfId="49521"/>
    <cellStyle name="Normal 8 10 3 2 5" xfId="49522"/>
    <cellStyle name="Normal 8 10 3 2 5 2" xfId="49523"/>
    <cellStyle name="Normal 8 10 3 2 6" xfId="49524"/>
    <cellStyle name="Normal 8 10 3 2 6 2" xfId="49525"/>
    <cellStyle name="Normal 8 10 3 2 7" xfId="49526"/>
    <cellStyle name="Normal 8 10 3 2 8" xfId="49527"/>
    <cellStyle name="Normal 8 10 3 2 9" xfId="49528"/>
    <cellStyle name="Normal 8 10 3 3" xfId="49529"/>
    <cellStyle name="Normal 8 10 3 3 2" xfId="49530"/>
    <cellStyle name="Normal 8 10 3 3 2 2" xfId="49531"/>
    <cellStyle name="Normal 8 10 3 3 3" xfId="49532"/>
    <cellStyle name="Normal 8 10 3 3 4" xfId="49533"/>
    <cellStyle name="Normal 8 10 3 3 5" xfId="49534"/>
    <cellStyle name="Normal 8 10 3 4" xfId="49535"/>
    <cellStyle name="Normal 8 10 3 4 2" xfId="49536"/>
    <cellStyle name="Normal 8 10 3 5" xfId="49537"/>
    <cellStyle name="Normal 8 10 3 5 2" xfId="49538"/>
    <cellStyle name="Normal 8 10 3 6" xfId="49539"/>
    <cellStyle name="Normal 8 10 3 6 2" xfId="49540"/>
    <cellStyle name="Normal 8 10 3 7" xfId="49541"/>
    <cellStyle name="Normal 8 10 3 7 2" xfId="49542"/>
    <cellStyle name="Normal 8 10 3 8" xfId="49543"/>
    <cellStyle name="Normal 8 10 3 9" xfId="49544"/>
    <cellStyle name="Normal 8 10 4" xfId="49545"/>
    <cellStyle name="Normal 8 10 4 10" xfId="49546"/>
    <cellStyle name="Normal 8 10 4 11" xfId="49547"/>
    <cellStyle name="Normal 8 10 4 12" xfId="49548"/>
    <cellStyle name="Normal 8 10 4 13" xfId="49549"/>
    <cellStyle name="Normal 8 10 4 14" xfId="49550"/>
    <cellStyle name="Normal 8 10 4 15" xfId="49551"/>
    <cellStyle name="Normal 8 10 4 16" xfId="49552"/>
    <cellStyle name="Normal 8 10 4 17" xfId="49553"/>
    <cellStyle name="Normal 8 10 4 18" xfId="49554"/>
    <cellStyle name="Normal 8 10 4 2" xfId="49555"/>
    <cellStyle name="Normal 8 10 4 2 10" xfId="49556"/>
    <cellStyle name="Normal 8 10 4 2 11" xfId="49557"/>
    <cellStyle name="Normal 8 10 4 2 12" xfId="49558"/>
    <cellStyle name="Normal 8 10 4 2 13" xfId="49559"/>
    <cellStyle name="Normal 8 10 4 2 2" xfId="49560"/>
    <cellStyle name="Normal 8 10 4 2 2 2" xfId="49561"/>
    <cellStyle name="Normal 8 10 4 2 2 2 2" xfId="49562"/>
    <cellStyle name="Normal 8 10 4 2 2 3" xfId="49563"/>
    <cellStyle name="Normal 8 10 4 2 2 4" xfId="49564"/>
    <cellStyle name="Normal 8 10 4 2 2 5" xfId="49565"/>
    <cellStyle name="Normal 8 10 4 2 3" xfId="49566"/>
    <cellStyle name="Normal 8 10 4 2 3 2" xfId="49567"/>
    <cellStyle name="Normal 8 10 4 2 4" xfId="49568"/>
    <cellStyle name="Normal 8 10 4 2 4 2" xfId="49569"/>
    <cellStyle name="Normal 8 10 4 2 5" xfId="49570"/>
    <cellStyle name="Normal 8 10 4 2 5 2" xfId="49571"/>
    <cellStyle name="Normal 8 10 4 2 6" xfId="49572"/>
    <cellStyle name="Normal 8 10 4 2 6 2" xfId="49573"/>
    <cellStyle name="Normal 8 10 4 2 7" xfId="49574"/>
    <cellStyle name="Normal 8 10 4 2 8" xfId="49575"/>
    <cellStyle name="Normal 8 10 4 2 9" xfId="49576"/>
    <cellStyle name="Normal 8 10 4 3" xfId="49577"/>
    <cellStyle name="Normal 8 10 4 3 2" xfId="49578"/>
    <cellStyle name="Normal 8 10 4 3 2 2" xfId="49579"/>
    <cellStyle name="Normal 8 10 4 3 3" xfId="49580"/>
    <cellStyle name="Normal 8 10 4 3 4" xfId="49581"/>
    <cellStyle name="Normal 8 10 4 3 5" xfId="49582"/>
    <cellStyle name="Normal 8 10 4 4" xfId="49583"/>
    <cellStyle name="Normal 8 10 4 4 2" xfId="49584"/>
    <cellStyle name="Normal 8 10 4 5" xfId="49585"/>
    <cellStyle name="Normal 8 10 4 5 2" xfId="49586"/>
    <cellStyle name="Normal 8 10 4 6" xfId="49587"/>
    <cellStyle name="Normal 8 10 4 6 2" xfId="49588"/>
    <cellStyle name="Normal 8 10 4 7" xfId="49589"/>
    <cellStyle name="Normal 8 10 4 7 2" xfId="49590"/>
    <cellStyle name="Normal 8 10 4 8" xfId="49591"/>
    <cellStyle name="Normal 8 10 4 9" xfId="49592"/>
    <cellStyle name="Normal 8 10 5" xfId="49593"/>
    <cellStyle name="Normal 8 10 5 10" xfId="49594"/>
    <cellStyle name="Normal 8 10 5 11" xfId="49595"/>
    <cellStyle name="Normal 8 10 5 12" xfId="49596"/>
    <cellStyle name="Normal 8 10 5 13" xfId="49597"/>
    <cellStyle name="Normal 8 10 5 14" xfId="49598"/>
    <cellStyle name="Normal 8 10 5 15" xfId="49599"/>
    <cellStyle name="Normal 8 10 5 16" xfId="49600"/>
    <cellStyle name="Normal 8 10 5 17" xfId="49601"/>
    <cellStyle name="Normal 8 10 5 2" xfId="49602"/>
    <cellStyle name="Normal 8 10 5 2 10" xfId="49603"/>
    <cellStyle name="Normal 8 10 5 2 11" xfId="49604"/>
    <cellStyle name="Normal 8 10 5 2 12" xfId="49605"/>
    <cellStyle name="Normal 8 10 5 2 13" xfId="49606"/>
    <cellStyle name="Normal 8 10 5 2 2" xfId="49607"/>
    <cellStyle name="Normal 8 10 5 2 2 2" xfId="49608"/>
    <cellStyle name="Normal 8 10 5 2 2 2 2" xfId="49609"/>
    <cellStyle name="Normal 8 10 5 2 2 3" xfId="49610"/>
    <cellStyle name="Normal 8 10 5 2 2 4" xfId="49611"/>
    <cellStyle name="Normal 8 10 5 2 2 5" xfId="49612"/>
    <cellStyle name="Normal 8 10 5 2 3" xfId="49613"/>
    <cellStyle name="Normal 8 10 5 2 3 2" xfId="49614"/>
    <cellStyle name="Normal 8 10 5 2 4" xfId="49615"/>
    <cellStyle name="Normal 8 10 5 2 4 2" xfId="49616"/>
    <cellStyle name="Normal 8 10 5 2 5" xfId="49617"/>
    <cellStyle name="Normal 8 10 5 2 5 2" xfId="49618"/>
    <cellStyle name="Normal 8 10 5 2 6" xfId="49619"/>
    <cellStyle name="Normal 8 10 5 2 6 2" xfId="49620"/>
    <cellStyle name="Normal 8 10 5 2 7" xfId="49621"/>
    <cellStyle name="Normal 8 10 5 2 8" xfId="49622"/>
    <cellStyle name="Normal 8 10 5 2 9" xfId="49623"/>
    <cellStyle name="Normal 8 10 5 3" xfId="49624"/>
    <cellStyle name="Normal 8 10 5 3 2" xfId="49625"/>
    <cellStyle name="Normal 8 10 5 3 2 2" xfId="49626"/>
    <cellStyle name="Normal 8 10 5 3 3" xfId="49627"/>
    <cellStyle name="Normal 8 10 5 3 4" xfId="49628"/>
    <cellStyle name="Normal 8 10 5 3 5" xfId="49629"/>
    <cellStyle name="Normal 8 10 5 4" xfId="49630"/>
    <cellStyle name="Normal 8 10 5 4 2" xfId="49631"/>
    <cellStyle name="Normal 8 10 5 5" xfId="49632"/>
    <cellStyle name="Normal 8 10 5 5 2" xfId="49633"/>
    <cellStyle name="Normal 8 10 5 6" xfId="49634"/>
    <cellStyle name="Normal 8 10 5 6 2" xfId="49635"/>
    <cellStyle name="Normal 8 10 5 7" xfId="49636"/>
    <cellStyle name="Normal 8 10 5 7 2" xfId="49637"/>
    <cellStyle name="Normal 8 10 5 8" xfId="49638"/>
    <cellStyle name="Normal 8 10 5 9" xfId="49639"/>
    <cellStyle name="Normal 8 10 6" xfId="49640"/>
    <cellStyle name="Normal 8 10 6 10" xfId="49641"/>
    <cellStyle name="Normal 8 10 6 11" xfId="49642"/>
    <cellStyle name="Normal 8 10 6 12" xfId="49643"/>
    <cellStyle name="Normal 8 10 6 13" xfId="49644"/>
    <cellStyle name="Normal 8 10 6 14" xfId="49645"/>
    <cellStyle name="Normal 8 10 6 15" xfId="49646"/>
    <cellStyle name="Normal 8 10 6 16" xfId="49647"/>
    <cellStyle name="Normal 8 10 6 17" xfId="49648"/>
    <cellStyle name="Normal 8 10 6 2" xfId="49649"/>
    <cellStyle name="Normal 8 10 6 2 10" xfId="49650"/>
    <cellStyle name="Normal 8 10 6 2 11" xfId="49651"/>
    <cellStyle name="Normal 8 10 6 2 12" xfId="49652"/>
    <cellStyle name="Normal 8 10 6 2 13" xfId="49653"/>
    <cellStyle name="Normal 8 10 6 2 2" xfId="49654"/>
    <cellStyle name="Normal 8 10 6 2 2 2" xfId="49655"/>
    <cellStyle name="Normal 8 10 6 2 2 2 2" xfId="49656"/>
    <cellStyle name="Normal 8 10 6 2 2 3" xfId="49657"/>
    <cellStyle name="Normal 8 10 6 2 2 4" xfId="49658"/>
    <cellStyle name="Normal 8 10 6 2 2 5" xfId="49659"/>
    <cellStyle name="Normal 8 10 6 2 3" xfId="49660"/>
    <cellStyle name="Normal 8 10 6 2 3 2" xfId="49661"/>
    <cellStyle name="Normal 8 10 6 2 4" xfId="49662"/>
    <cellStyle name="Normal 8 10 6 2 4 2" xfId="49663"/>
    <cellStyle name="Normal 8 10 6 2 5" xfId="49664"/>
    <cellStyle name="Normal 8 10 6 2 5 2" xfId="49665"/>
    <cellStyle name="Normal 8 10 6 2 6" xfId="49666"/>
    <cellStyle name="Normal 8 10 6 2 6 2" xfId="49667"/>
    <cellStyle name="Normal 8 10 6 2 7" xfId="49668"/>
    <cellStyle name="Normal 8 10 6 2 8" xfId="49669"/>
    <cellStyle name="Normal 8 10 6 2 9" xfId="49670"/>
    <cellStyle name="Normal 8 10 6 3" xfId="49671"/>
    <cellStyle name="Normal 8 10 6 3 2" xfId="49672"/>
    <cellStyle name="Normal 8 10 6 3 2 2" xfId="49673"/>
    <cellStyle name="Normal 8 10 6 3 3" xfId="49674"/>
    <cellStyle name="Normal 8 10 6 3 4" xfId="49675"/>
    <cellStyle name="Normal 8 10 6 3 5" xfId="49676"/>
    <cellStyle name="Normal 8 10 6 4" xfId="49677"/>
    <cellStyle name="Normal 8 10 6 4 2" xfId="49678"/>
    <cellStyle name="Normal 8 10 6 5" xfId="49679"/>
    <cellStyle name="Normal 8 10 6 5 2" xfId="49680"/>
    <cellStyle name="Normal 8 10 6 6" xfId="49681"/>
    <cellStyle name="Normal 8 10 6 6 2" xfId="49682"/>
    <cellStyle name="Normal 8 10 6 7" xfId="49683"/>
    <cellStyle name="Normal 8 10 6 7 2" xfId="49684"/>
    <cellStyle name="Normal 8 10 6 8" xfId="49685"/>
    <cellStyle name="Normal 8 10 6 9" xfId="49686"/>
    <cellStyle name="Normal 8 10 7" xfId="49687"/>
    <cellStyle name="Normal 8 10 7 10" xfId="49688"/>
    <cellStyle name="Normal 8 10 7 11" xfId="49689"/>
    <cellStyle name="Normal 8 10 7 12" xfId="49690"/>
    <cellStyle name="Normal 8 10 7 13" xfId="49691"/>
    <cellStyle name="Normal 8 10 7 14" xfId="49692"/>
    <cellStyle name="Normal 8 10 7 15" xfId="49693"/>
    <cellStyle name="Normal 8 10 7 16" xfId="49694"/>
    <cellStyle name="Normal 8 10 7 17" xfId="49695"/>
    <cellStyle name="Normal 8 10 7 2" xfId="49696"/>
    <cellStyle name="Normal 8 10 7 2 10" xfId="49697"/>
    <cellStyle name="Normal 8 10 7 2 11" xfId="49698"/>
    <cellStyle name="Normal 8 10 7 2 12" xfId="49699"/>
    <cellStyle name="Normal 8 10 7 2 13" xfId="49700"/>
    <cellStyle name="Normal 8 10 7 2 2" xfId="49701"/>
    <cellStyle name="Normal 8 10 7 2 2 2" xfId="49702"/>
    <cellStyle name="Normal 8 10 7 2 2 2 2" xfId="49703"/>
    <cellStyle name="Normal 8 10 7 2 2 3" xfId="49704"/>
    <cellStyle name="Normal 8 10 7 2 2 4" xfId="49705"/>
    <cellStyle name="Normal 8 10 7 2 2 5" xfId="49706"/>
    <cellStyle name="Normal 8 10 7 2 3" xfId="49707"/>
    <cellStyle name="Normal 8 10 7 2 3 2" xfId="49708"/>
    <cellStyle name="Normal 8 10 7 2 4" xfId="49709"/>
    <cellStyle name="Normal 8 10 7 2 4 2" xfId="49710"/>
    <cellStyle name="Normal 8 10 7 2 5" xfId="49711"/>
    <cellStyle name="Normal 8 10 7 2 5 2" xfId="49712"/>
    <cellStyle name="Normal 8 10 7 2 6" xfId="49713"/>
    <cellStyle name="Normal 8 10 7 2 6 2" xfId="49714"/>
    <cellStyle name="Normal 8 10 7 2 7" xfId="49715"/>
    <cellStyle name="Normal 8 10 7 2 8" xfId="49716"/>
    <cellStyle name="Normal 8 10 7 2 9" xfId="49717"/>
    <cellStyle name="Normal 8 10 7 3" xfId="49718"/>
    <cellStyle name="Normal 8 10 7 3 2" xfId="49719"/>
    <cellStyle name="Normal 8 10 7 3 2 2" xfId="49720"/>
    <cellStyle name="Normal 8 10 7 3 3" xfId="49721"/>
    <cellStyle name="Normal 8 10 7 3 4" xfId="49722"/>
    <cellStyle name="Normal 8 10 7 3 5" xfId="49723"/>
    <cellStyle name="Normal 8 10 7 4" xfId="49724"/>
    <cellStyle name="Normal 8 10 7 4 2" xfId="49725"/>
    <cellStyle name="Normal 8 10 7 5" xfId="49726"/>
    <cellStyle name="Normal 8 10 7 5 2" xfId="49727"/>
    <cellStyle name="Normal 8 10 7 6" xfId="49728"/>
    <cellStyle name="Normal 8 10 7 6 2" xfId="49729"/>
    <cellStyle name="Normal 8 10 7 7" xfId="49730"/>
    <cellStyle name="Normal 8 10 7 7 2" xfId="49731"/>
    <cellStyle name="Normal 8 10 7 8" xfId="49732"/>
    <cellStyle name="Normal 8 10 7 9" xfId="49733"/>
    <cellStyle name="Normal 8 10 8" xfId="49734"/>
    <cellStyle name="Normal 8 10 8 10" xfId="49735"/>
    <cellStyle name="Normal 8 10 8 11" xfId="49736"/>
    <cellStyle name="Normal 8 10 8 12" xfId="49737"/>
    <cellStyle name="Normal 8 10 8 13" xfId="49738"/>
    <cellStyle name="Normal 8 10 8 14" xfId="49739"/>
    <cellStyle name="Normal 8 10 8 15" xfId="49740"/>
    <cellStyle name="Normal 8 10 8 2" xfId="49741"/>
    <cellStyle name="Normal 8 10 8 2 2" xfId="49742"/>
    <cellStyle name="Normal 8 10 8 2 2 2" xfId="49743"/>
    <cellStyle name="Normal 8 10 8 2 3" xfId="49744"/>
    <cellStyle name="Normal 8 10 8 2 3 2" xfId="49745"/>
    <cellStyle name="Normal 8 10 8 2 4" xfId="49746"/>
    <cellStyle name="Normal 8 10 8 2 4 2" xfId="49747"/>
    <cellStyle name="Normal 8 10 8 2 5" xfId="49748"/>
    <cellStyle name="Normal 8 10 8 2 5 2" xfId="49749"/>
    <cellStyle name="Normal 8 10 8 2 6" xfId="49750"/>
    <cellStyle name="Normal 8 10 8 2 7" xfId="49751"/>
    <cellStyle name="Normal 8 10 8 2 8" xfId="49752"/>
    <cellStyle name="Normal 8 10 8 2 9" xfId="49753"/>
    <cellStyle name="Normal 8 10 8 3" xfId="49754"/>
    <cellStyle name="Normal 8 10 8 3 2" xfId="49755"/>
    <cellStyle name="Normal 8 10 8 3 2 2" xfId="49756"/>
    <cellStyle name="Normal 8 10 8 3 3" xfId="49757"/>
    <cellStyle name="Normal 8 10 8 3 4" xfId="49758"/>
    <cellStyle name="Normal 8 10 8 3 5" xfId="49759"/>
    <cellStyle name="Normal 8 10 8 4" xfId="49760"/>
    <cellStyle name="Normal 8 10 8 4 2" xfId="49761"/>
    <cellStyle name="Normal 8 10 8 5" xfId="49762"/>
    <cellStyle name="Normal 8 10 8 5 2" xfId="49763"/>
    <cellStyle name="Normal 8 10 8 6" xfId="49764"/>
    <cellStyle name="Normal 8 10 8 6 2" xfId="49765"/>
    <cellStyle name="Normal 8 10 8 7" xfId="49766"/>
    <cellStyle name="Normal 8 10 8 7 2" xfId="49767"/>
    <cellStyle name="Normal 8 10 8 8" xfId="49768"/>
    <cellStyle name="Normal 8 10 8 9" xfId="49769"/>
    <cellStyle name="Normal 8 10 9" xfId="49770"/>
    <cellStyle name="Normal 8 10 9 10" xfId="49771"/>
    <cellStyle name="Normal 8 10 9 11" xfId="49772"/>
    <cellStyle name="Normal 8 10 9 12" xfId="49773"/>
    <cellStyle name="Normal 8 10 9 13" xfId="49774"/>
    <cellStyle name="Normal 8 10 9 14" xfId="49775"/>
    <cellStyle name="Normal 8 10 9 15" xfId="49776"/>
    <cellStyle name="Normal 8 10 9 2" xfId="49777"/>
    <cellStyle name="Normal 8 10 9 2 2" xfId="49778"/>
    <cellStyle name="Normal 8 10 9 2 2 2" xfId="49779"/>
    <cellStyle name="Normal 8 10 9 2 3" xfId="49780"/>
    <cellStyle name="Normal 8 10 9 2 3 2" xfId="49781"/>
    <cellStyle name="Normal 8 10 9 2 4" xfId="49782"/>
    <cellStyle name="Normal 8 10 9 2 4 2" xfId="49783"/>
    <cellStyle name="Normal 8 10 9 2 5" xfId="49784"/>
    <cellStyle name="Normal 8 10 9 2 5 2" xfId="49785"/>
    <cellStyle name="Normal 8 10 9 2 6" xfId="49786"/>
    <cellStyle name="Normal 8 10 9 2 7" xfId="49787"/>
    <cellStyle name="Normal 8 10 9 2 8" xfId="49788"/>
    <cellStyle name="Normal 8 10 9 2 9" xfId="49789"/>
    <cellStyle name="Normal 8 10 9 3" xfId="49790"/>
    <cellStyle name="Normal 8 10 9 3 2" xfId="49791"/>
    <cellStyle name="Normal 8 10 9 3 2 2" xfId="49792"/>
    <cellStyle name="Normal 8 10 9 3 3" xfId="49793"/>
    <cellStyle name="Normal 8 10 9 3 4" xfId="49794"/>
    <cellStyle name="Normal 8 10 9 3 5" xfId="49795"/>
    <cellStyle name="Normal 8 10 9 4" xfId="49796"/>
    <cellStyle name="Normal 8 10 9 4 2" xfId="49797"/>
    <cellStyle name="Normal 8 10 9 5" xfId="49798"/>
    <cellStyle name="Normal 8 10 9 5 2" xfId="49799"/>
    <cellStyle name="Normal 8 10 9 6" xfId="49800"/>
    <cellStyle name="Normal 8 10 9 6 2" xfId="49801"/>
    <cellStyle name="Normal 8 10 9 7" xfId="49802"/>
    <cellStyle name="Normal 8 10 9 7 2" xfId="49803"/>
    <cellStyle name="Normal 8 10 9 8" xfId="49804"/>
    <cellStyle name="Normal 8 10 9 9" xfId="49805"/>
    <cellStyle name="Normal 8 11" xfId="49806"/>
    <cellStyle name="Normal 8 11 10" xfId="49807"/>
    <cellStyle name="Normal 8 11 11" xfId="49808"/>
    <cellStyle name="Normal 8 11 12" xfId="49809"/>
    <cellStyle name="Normal 8 11 13" xfId="49810"/>
    <cellStyle name="Normal 8 11 14" xfId="49811"/>
    <cellStyle name="Normal 8 11 15" xfId="49812"/>
    <cellStyle name="Normal 8 11 16" xfId="49813"/>
    <cellStyle name="Normal 8 11 17" xfId="49814"/>
    <cellStyle name="Normal 8 11 18" xfId="49815"/>
    <cellStyle name="Normal 8 11 2" xfId="49816"/>
    <cellStyle name="Normal 8 11 2 10" xfId="49817"/>
    <cellStyle name="Normal 8 11 2 11" xfId="49818"/>
    <cellStyle name="Normal 8 11 2 12" xfId="49819"/>
    <cellStyle name="Normal 8 11 2 13" xfId="49820"/>
    <cellStyle name="Normal 8 11 2 2" xfId="49821"/>
    <cellStyle name="Normal 8 11 2 2 2" xfId="49822"/>
    <cellStyle name="Normal 8 11 2 2 2 2" xfId="49823"/>
    <cellStyle name="Normal 8 11 2 2 3" xfId="49824"/>
    <cellStyle name="Normal 8 11 2 2 4" xfId="49825"/>
    <cellStyle name="Normal 8 11 2 2 5" xfId="49826"/>
    <cellStyle name="Normal 8 11 2 3" xfId="49827"/>
    <cellStyle name="Normal 8 11 2 3 2" xfId="49828"/>
    <cellStyle name="Normal 8 11 2 4" xfId="49829"/>
    <cellStyle name="Normal 8 11 2 4 2" xfId="49830"/>
    <cellStyle name="Normal 8 11 2 5" xfId="49831"/>
    <cellStyle name="Normal 8 11 2 5 2" xfId="49832"/>
    <cellStyle name="Normal 8 11 2 6" xfId="49833"/>
    <cellStyle name="Normal 8 11 2 6 2" xfId="49834"/>
    <cellStyle name="Normal 8 11 2 7" xfId="49835"/>
    <cellStyle name="Normal 8 11 2 8" xfId="49836"/>
    <cellStyle name="Normal 8 11 2 9" xfId="49837"/>
    <cellStyle name="Normal 8 11 3" xfId="49838"/>
    <cellStyle name="Normal 8 11 3 2" xfId="49839"/>
    <cellStyle name="Normal 8 11 3 2 2" xfId="49840"/>
    <cellStyle name="Normal 8 11 3 3" xfId="49841"/>
    <cellStyle name="Normal 8 11 3 4" xfId="49842"/>
    <cellStyle name="Normal 8 11 3 5" xfId="49843"/>
    <cellStyle name="Normal 8 11 4" xfId="49844"/>
    <cellStyle name="Normal 8 11 4 2" xfId="49845"/>
    <cellStyle name="Normal 8 11 5" xfId="49846"/>
    <cellStyle name="Normal 8 11 5 2" xfId="49847"/>
    <cellStyle name="Normal 8 11 6" xfId="49848"/>
    <cellStyle name="Normal 8 11 6 2" xfId="49849"/>
    <cellStyle name="Normal 8 11 7" xfId="49850"/>
    <cellStyle name="Normal 8 11 7 2" xfId="49851"/>
    <cellStyle name="Normal 8 11 8" xfId="49852"/>
    <cellStyle name="Normal 8 11 9" xfId="49853"/>
    <cellStyle name="Normal 8 12" xfId="49854"/>
    <cellStyle name="Normal 8 12 10" xfId="49855"/>
    <cellStyle name="Normal 8 12 11" xfId="49856"/>
    <cellStyle name="Normal 8 12 12" xfId="49857"/>
    <cellStyle name="Normal 8 12 13" xfId="49858"/>
    <cellStyle name="Normal 8 12 14" xfId="49859"/>
    <cellStyle name="Normal 8 12 15" xfId="49860"/>
    <cellStyle name="Normal 8 12 16" xfId="49861"/>
    <cellStyle name="Normal 8 12 17" xfId="49862"/>
    <cellStyle name="Normal 8 12 18" xfId="49863"/>
    <cellStyle name="Normal 8 12 2" xfId="49864"/>
    <cellStyle name="Normal 8 12 2 10" xfId="49865"/>
    <cellStyle name="Normal 8 12 2 11" xfId="49866"/>
    <cellStyle name="Normal 8 12 2 12" xfId="49867"/>
    <cellStyle name="Normal 8 12 2 13" xfId="49868"/>
    <cellStyle name="Normal 8 12 2 2" xfId="49869"/>
    <cellStyle name="Normal 8 12 2 2 2" xfId="49870"/>
    <cellStyle name="Normal 8 12 2 2 2 2" xfId="49871"/>
    <cellStyle name="Normal 8 12 2 2 3" xfId="49872"/>
    <cellStyle name="Normal 8 12 2 2 4" xfId="49873"/>
    <cellStyle name="Normal 8 12 2 2 5" xfId="49874"/>
    <cellStyle name="Normal 8 12 2 3" xfId="49875"/>
    <cellStyle name="Normal 8 12 2 3 2" xfId="49876"/>
    <cellStyle name="Normal 8 12 2 4" xfId="49877"/>
    <cellStyle name="Normal 8 12 2 4 2" xfId="49878"/>
    <cellStyle name="Normal 8 12 2 5" xfId="49879"/>
    <cellStyle name="Normal 8 12 2 5 2" xfId="49880"/>
    <cellStyle name="Normal 8 12 2 6" xfId="49881"/>
    <cellStyle name="Normal 8 12 2 6 2" xfId="49882"/>
    <cellStyle name="Normal 8 12 2 7" xfId="49883"/>
    <cellStyle name="Normal 8 12 2 8" xfId="49884"/>
    <cellStyle name="Normal 8 12 2 9" xfId="49885"/>
    <cellStyle name="Normal 8 12 3" xfId="49886"/>
    <cellStyle name="Normal 8 12 3 2" xfId="49887"/>
    <cellStyle name="Normal 8 12 3 2 2" xfId="49888"/>
    <cellStyle name="Normal 8 12 3 3" xfId="49889"/>
    <cellStyle name="Normal 8 12 3 4" xfId="49890"/>
    <cellStyle name="Normal 8 12 3 5" xfId="49891"/>
    <cellStyle name="Normal 8 12 4" xfId="49892"/>
    <cellStyle name="Normal 8 12 4 2" xfId="49893"/>
    <cellStyle name="Normal 8 12 5" xfId="49894"/>
    <cellStyle name="Normal 8 12 5 2" xfId="49895"/>
    <cellStyle name="Normal 8 12 6" xfId="49896"/>
    <cellStyle name="Normal 8 12 6 2" xfId="49897"/>
    <cellStyle name="Normal 8 12 7" xfId="49898"/>
    <cellStyle name="Normal 8 12 7 2" xfId="49899"/>
    <cellStyle name="Normal 8 12 8" xfId="49900"/>
    <cellStyle name="Normal 8 12 9" xfId="49901"/>
    <cellStyle name="Normal 8 13" xfId="49902"/>
    <cellStyle name="Normal 8 13 10" xfId="49903"/>
    <cellStyle name="Normal 8 13 11" xfId="49904"/>
    <cellStyle name="Normal 8 13 12" xfId="49905"/>
    <cellStyle name="Normal 8 13 13" xfId="49906"/>
    <cellStyle name="Normal 8 13 14" xfId="49907"/>
    <cellStyle name="Normal 8 13 15" xfId="49908"/>
    <cellStyle name="Normal 8 13 16" xfId="49909"/>
    <cellStyle name="Normal 8 13 17" xfId="49910"/>
    <cellStyle name="Normal 8 13 18" xfId="49911"/>
    <cellStyle name="Normal 8 13 2" xfId="49912"/>
    <cellStyle name="Normal 8 13 2 10" xfId="49913"/>
    <cellStyle name="Normal 8 13 2 11" xfId="49914"/>
    <cellStyle name="Normal 8 13 2 12" xfId="49915"/>
    <cellStyle name="Normal 8 13 2 13" xfId="49916"/>
    <cellStyle name="Normal 8 13 2 2" xfId="49917"/>
    <cellStyle name="Normal 8 13 2 2 2" xfId="49918"/>
    <cellStyle name="Normal 8 13 2 2 2 2" xfId="49919"/>
    <cellStyle name="Normal 8 13 2 2 3" xfId="49920"/>
    <cellStyle name="Normal 8 13 2 2 4" xfId="49921"/>
    <cellStyle name="Normal 8 13 2 2 5" xfId="49922"/>
    <cellStyle name="Normal 8 13 2 3" xfId="49923"/>
    <cellStyle name="Normal 8 13 2 3 2" xfId="49924"/>
    <cellStyle name="Normal 8 13 2 4" xfId="49925"/>
    <cellStyle name="Normal 8 13 2 4 2" xfId="49926"/>
    <cellStyle name="Normal 8 13 2 5" xfId="49927"/>
    <cellStyle name="Normal 8 13 2 5 2" xfId="49928"/>
    <cellStyle name="Normal 8 13 2 6" xfId="49929"/>
    <cellStyle name="Normal 8 13 2 6 2" xfId="49930"/>
    <cellStyle name="Normal 8 13 2 7" xfId="49931"/>
    <cellStyle name="Normal 8 13 2 8" xfId="49932"/>
    <cellStyle name="Normal 8 13 2 9" xfId="49933"/>
    <cellStyle name="Normal 8 13 3" xfId="49934"/>
    <cellStyle name="Normal 8 13 3 2" xfId="49935"/>
    <cellStyle name="Normal 8 13 3 2 2" xfId="49936"/>
    <cellStyle name="Normal 8 13 3 3" xfId="49937"/>
    <cellStyle name="Normal 8 13 3 4" xfId="49938"/>
    <cellStyle name="Normal 8 13 3 5" xfId="49939"/>
    <cellStyle name="Normal 8 13 4" xfId="49940"/>
    <cellStyle name="Normal 8 13 4 2" xfId="49941"/>
    <cellStyle name="Normal 8 13 5" xfId="49942"/>
    <cellStyle name="Normal 8 13 5 2" xfId="49943"/>
    <cellStyle name="Normal 8 13 6" xfId="49944"/>
    <cellStyle name="Normal 8 13 6 2" xfId="49945"/>
    <cellStyle name="Normal 8 13 7" xfId="49946"/>
    <cellStyle name="Normal 8 13 7 2" xfId="49947"/>
    <cellStyle name="Normal 8 13 8" xfId="49948"/>
    <cellStyle name="Normal 8 13 9" xfId="49949"/>
    <cellStyle name="Normal 8 14" xfId="49950"/>
    <cellStyle name="Normal 8 14 10" xfId="49951"/>
    <cellStyle name="Normal 8 14 11" xfId="49952"/>
    <cellStyle name="Normal 8 14 12" xfId="49953"/>
    <cellStyle name="Normal 8 14 13" xfId="49954"/>
    <cellStyle name="Normal 8 14 14" xfId="49955"/>
    <cellStyle name="Normal 8 14 15" xfId="49956"/>
    <cellStyle name="Normal 8 14 16" xfId="49957"/>
    <cellStyle name="Normal 8 14 17" xfId="49958"/>
    <cellStyle name="Normal 8 14 18" xfId="49959"/>
    <cellStyle name="Normal 8 14 2" xfId="49960"/>
    <cellStyle name="Normal 8 14 2 10" xfId="49961"/>
    <cellStyle name="Normal 8 14 2 11" xfId="49962"/>
    <cellStyle name="Normal 8 14 2 12" xfId="49963"/>
    <cellStyle name="Normal 8 14 2 13" xfId="49964"/>
    <cellStyle name="Normal 8 14 2 2" xfId="49965"/>
    <cellStyle name="Normal 8 14 2 2 2" xfId="49966"/>
    <cellStyle name="Normal 8 14 2 2 2 2" xfId="49967"/>
    <cellStyle name="Normal 8 14 2 2 3" xfId="49968"/>
    <cellStyle name="Normal 8 14 2 2 4" xfId="49969"/>
    <cellStyle name="Normal 8 14 2 2 5" xfId="49970"/>
    <cellStyle name="Normal 8 14 2 3" xfId="49971"/>
    <cellStyle name="Normal 8 14 2 3 2" xfId="49972"/>
    <cellStyle name="Normal 8 14 2 4" xfId="49973"/>
    <cellStyle name="Normal 8 14 2 4 2" xfId="49974"/>
    <cellStyle name="Normal 8 14 2 5" xfId="49975"/>
    <cellStyle name="Normal 8 14 2 5 2" xfId="49976"/>
    <cellStyle name="Normal 8 14 2 6" xfId="49977"/>
    <cellStyle name="Normal 8 14 2 6 2" xfId="49978"/>
    <cellStyle name="Normal 8 14 2 7" xfId="49979"/>
    <cellStyle name="Normal 8 14 2 8" xfId="49980"/>
    <cellStyle name="Normal 8 14 2 9" xfId="49981"/>
    <cellStyle name="Normal 8 14 3" xfId="49982"/>
    <cellStyle name="Normal 8 14 3 2" xfId="49983"/>
    <cellStyle name="Normal 8 14 3 2 2" xfId="49984"/>
    <cellStyle name="Normal 8 14 3 3" xfId="49985"/>
    <cellStyle name="Normal 8 14 3 4" xfId="49986"/>
    <cellStyle name="Normal 8 14 3 5" xfId="49987"/>
    <cellStyle name="Normal 8 14 4" xfId="49988"/>
    <cellStyle name="Normal 8 14 4 2" xfId="49989"/>
    <cellStyle name="Normal 8 14 5" xfId="49990"/>
    <cellStyle name="Normal 8 14 5 2" xfId="49991"/>
    <cellStyle name="Normal 8 14 6" xfId="49992"/>
    <cellStyle name="Normal 8 14 6 2" xfId="49993"/>
    <cellStyle name="Normal 8 14 7" xfId="49994"/>
    <cellStyle name="Normal 8 14 7 2" xfId="49995"/>
    <cellStyle name="Normal 8 14 8" xfId="49996"/>
    <cellStyle name="Normal 8 14 9" xfId="49997"/>
    <cellStyle name="Normal 8 15" xfId="49998"/>
    <cellStyle name="Normal 8 15 10" xfId="49999"/>
    <cellStyle name="Normal 8 15 11" xfId="50000"/>
    <cellStyle name="Normal 8 15 12" xfId="50001"/>
    <cellStyle name="Normal 8 15 13" xfId="50002"/>
    <cellStyle name="Normal 8 15 14" xfId="50003"/>
    <cellStyle name="Normal 8 15 15" xfId="50004"/>
    <cellStyle name="Normal 8 15 16" xfId="50005"/>
    <cellStyle name="Normal 8 15 17" xfId="50006"/>
    <cellStyle name="Normal 8 15 18" xfId="50007"/>
    <cellStyle name="Normal 8 15 2" xfId="50008"/>
    <cellStyle name="Normal 8 15 2 10" xfId="50009"/>
    <cellStyle name="Normal 8 15 2 11" xfId="50010"/>
    <cellStyle name="Normal 8 15 2 12" xfId="50011"/>
    <cellStyle name="Normal 8 15 2 13" xfId="50012"/>
    <cellStyle name="Normal 8 15 2 2" xfId="50013"/>
    <cellStyle name="Normal 8 15 2 2 2" xfId="50014"/>
    <cellStyle name="Normal 8 15 2 2 2 2" xfId="50015"/>
    <cellStyle name="Normal 8 15 2 2 3" xfId="50016"/>
    <cellStyle name="Normal 8 15 2 2 4" xfId="50017"/>
    <cellStyle name="Normal 8 15 2 2 5" xfId="50018"/>
    <cellStyle name="Normal 8 15 2 3" xfId="50019"/>
    <cellStyle name="Normal 8 15 2 3 2" xfId="50020"/>
    <cellStyle name="Normal 8 15 2 4" xfId="50021"/>
    <cellStyle name="Normal 8 15 2 4 2" xfId="50022"/>
    <cellStyle name="Normal 8 15 2 5" xfId="50023"/>
    <cellStyle name="Normal 8 15 2 5 2" xfId="50024"/>
    <cellStyle name="Normal 8 15 2 6" xfId="50025"/>
    <cellStyle name="Normal 8 15 2 6 2" xfId="50026"/>
    <cellStyle name="Normal 8 15 2 7" xfId="50027"/>
    <cellStyle name="Normal 8 15 2 8" xfId="50028"/>
    <cellStyle name="Normal 8 15 2 9" xfId="50029"/>
    <cellStyle name="Normal 8 15 3" xfId="50030"/>
    <cellStyle name="Normal 8 15 3 2" xfId="50031"/>
    <cellStyle name="Normal 8 15 3 2 2" xfId="50032"/>
    <cellStyle name="Normal 8 15 3 3" xfId="50033"/>
    <cellStyle name="Normal 8 15 3 4" xfId="50034"/>
    <cellStyle name="Normal 8 15 3 5" xfId="50035"/>
    <cellStyle name="Normal 8 15 4" xfId="50036"/>
    <cellStyle name="Normal 8 15 4 2" xfId="50037"/>
    <cellStyle name="Normal 8 15 5" xfId="50038"/>
    <cellStyle name="Normal 8 15 5 2" xfId="50039"/>
    <cellStyle name="Normal 8 15 6" xfId="50040"/>
    <cellStyle name="Normal 8 15 6 2" xfId="50041"/>
    <cellStyle name="Normal 8 15 7" xfId="50042"/>
    <cellStyle name="Normal 8 15 7 2" xfId="50043"/>
    <cellStyle name="Normal 8 15 8" xfId="50044"/>
    <cellStyle name="Normal 8 15 9" xfId="50045"/>
    <cellStyle name="Normal 8 16" xfId="50046"/>
    <cellStyle name="Normal 8 16 10" xfId="50047"/>
    <cellStyle name="Normal 8 16 11" xfId="50048"/>
    <cellStyle name="Normal 8 16 12" xfId="50049"/>
    <cellStyle name="Normal 8 16 13" xfId="50050"/>
    <cellStyle name="Normal 8 16 14" xfId="50051"/>
    <cellStyle name="Normal 8 16 15" xfId="50052"/>
    <cellStyle name="Normal 8 16 16" xfId="50053"/>
    <cellStyle name="Normal 8 16 17" xfId="50054"/>
    <cellStyle name="Normal 8 16 2" xfId="50055"/>
    <cellStyle name="Normal 8 16 2 10" xfId="50056"/>
    <cellStyle name="Normal 8 16 2 11" xfId="50057"/>
    <cellStyle name="Normal 8 16 2 12" xfId="50058"/>
    <cellStyle name="Normal 8 16 2 13" xfId="50059"/>
    <cellStyle name="Normal 8 16 2 2" xfId="50060"/>
    <cellStyle name="Normal 8 16 2 2 2" xfId="50061"/>
    <cellStyle name="Normal 8 16 2 2 2 2" xfId="50062"/>
    <cellStyle name="Normal 8 16 2 2 3" xfId="50063"/>
    <cellStyle name="Normal 8 16 2 2 4" xfId="50064"/>
    <cellStyle name="Normal 8 16 2 2 5" xfId="50065"/>
    <cellStyle name="Normal 8 16 2 3" xfId="50066"/>
    <cellStyle name="Normal 8 16 2 3 2" xfId="50067"/>
    <cellStyle name="Normal 8 16 2 4" xfId="50068"/>
    <cellStyle name="Normal 8 16 2 4 2" xfId="50069"/>
    <cellStyle name="Normal 8 16 2 5" xfId="50070"/>
    <cellStyle name="Normal 8 16 2 5 2" xfId="50071"/>
    <cellStyle name="Normal 8 16 2 6" xfId="50072"/>
    <cellStyle name="Normal 8 16 2 6 2" xfId="50073"/>
    <cellStyle name="Normal 8 16 2 7" xfId="50074"/>
    <cellStyle name="Normal 8 16 2 8" xfId="50075"/>
    <cellStyle name="Normal 8 16 2 9" xfId="50076"/>
    <cellStyle name="Normal 8 16 3" xfId="50077"/>
    <cellStyle name="Normal 8 16 3 2" xfId="50078"/>
    <cellStyle name="Normal 8 16 3 2 2" xfId="50079"/>
    <cellStyle name="Normal 8 16 3 3" xfId="50080"/>
    <cellStyle name="Normal 8 16 3 4" xfId="50081"/>
    <cellStyle name="Normal 8 16 3 5" xfId="50082"/>
    <cellStyle name="Normal 8 16 4" xfId="50083"/>
    <cellStyle name="Normal 8 16 4 2" xfId="50084"/>
    <cellStyle name="Normal 8 16 5" xfId="50085"/>
    <cellStyle name="Normal 8 16 5 2" xfId="50086"/>
    <cellStyle name="Normal 8 16 6" xfId="50087"/>
    <cellStyle name="Normal 8 16 6 2" xfId="50088"/>
    <cellStyle name="Normal 8 16 7" xfId="50089"/>
    <cellStyle name="Normal 8 16 7 2" xfId="50090"/>
    <cellStyle name="Normal 8 16 8" xfId="50091"/>
    <cellStyle name="Normal 8 16 9" xfId="50092"/>
    <cellStyle name="Normal 8 17" xfId="50093"/>
    <cellStyle name="Normal 8 17 10" xfId="50094"/>
    <cellStyle name="Normal 8 17 11" xfId="50095"/>
    <cellStyle name="Normal 8 17 12" xfId="50096"/>
    <cellStyle name="Normal 8 17 13" xfId="50097"/>
    <cellStyle name="Normal 8 17 14" xfId="50098"/>
    <cellStyle name="Normal 8 17 15" xfId="50099"/>
    <cellStyle name="Normal 8 17 2" xfId="50100"/>
    <cellStyle name="Normal 8 17 2 2" xfId="50101"/>
    <cellStyle name="Normal 8 17 2 2 2" xfId="50102"/>
    <cellStyle name="Normal 8 17 2 3" xfId="50103"/>
    <cellStyle name="Normal 8 17 2 3 2" xfId="50104"/>
    <cellStyle name="Normal 8 17 2 4" xfId="50105"/>
    <cellStyle name="Normal 8 17 2 4 2" xfId="50106"/>
    <cellStyle name="Normal 8 17 2 5" xfId="50107"/>
    <cellStyle name="Normal 8 17 2 5 2" xfId="50108"/>
    <cellStyle name="Normal 8 17 2 6" xfId="50109"/>
    <cellStyle name="Normal 8 17 2 7" xfId="50110"/>
    <cellStyle name="Normal 8 17 2 8" xfId="50111"/>
    <cellStyle name="Normal 8 17 2 9" xfId="50112"/>
    <cellStyle name="Normal 8 17 3" xfId="50113"/>
    <cellStyle name="Normal 8 17 3 2" xfId="50114"/>
    <cellStyle name="Normal 8 17 3 2 2" xfId="50115"/>
    <cellStyle name="Normal 8 17 3 3" xfId="50116"/>
    <cellStyle name="Normal 8 17 3 4" xfId="50117"/>
    <cellStyle name="Normal 8 17 3 5" xfId="50118"/>
    <cellStyle name="Normal 8 17 4" xfId="50119"/>
    <cellStyle name="Normal 8 17 4 2" xfId="50120"/>
    <cellStyle name="Normal 8 17 5" xfId="50121"/>
    <cellStyle name="Normal 8 17 5 2" xfId="50122"/>
    <cellStyle name="Normal 8 17 6" xfId="50123"/>
    <cellStyle name="Normal 8 17 6 2" xfId="50124"/>
    <cellStyle name="Normal 8 17 7" xfId="50125"/>
    <cellStyle name="Normal 8 17 7 2" xfId="50126"/>
    <cellStyle name="Normal 8 17 8" xfId="50127"/>
    <cellStyle name="Normal 8 17 9" xfId="50128"/>
    <cellStyle name="Normal 8 18" xfId="50129"/>
    <cellStyle name="Normal 8 18 10" xfId="50130"/>
    <cellStyle name="Normal 8 18 11" xfId="50131"/>
    <cellStyle name="Normal 8 18 12" xfId="50132"/>
    <cellStyle name="Normal 8 18 13" xfId="50133"/>
    <cellStyle name="Normal 8 18 14" xfId="50134"/>
    <cellStyle name="Normal 8 18 15" xfId="50135"/>
    <cellStyle name="Normal 8 18 2" xfId="50136"/>
    <cellStyle name="Normal 8 18 2 2" xfId="50137"/>
    <cellStyle name="Normal 8 18 2 2 2" xfId="50138"/>
    <cellStyle name="Normal 8 18 2 3" xfId="50139"/>
    <cellStyle name="Normal 8 18 2 3 2" xfId="50140"/>
    <cellStyle name="Normal 8 18 2 4" xfId="50141"/>
    <cellStyle name="Normal 8 18 2 4 2" xfId="50142"/>
    <cellStyle name="Normal 8 18 2 5" xfId="50143"/>
    <cellStyle name="Normal 8 18 2 5 2" xfId="50144"/>
    <cellStyle name="Normal 8 18 2 6" xfId="50145"/>
    <cellStyle name="Normal 8 18 2 7" xfId="50146"/>
    <cellStyle name="Normal 8 18 2 8" xfId="50147"/>
    <cellStyle name="Normal 8 18 2 9" xfId="50148"/>
    <cellStyle name="Normal 8 18 3" xfId="50149"/>
    <cellStyle name="Normal 8 18 3 2" xfId="50150"/>
    <cellStyle name="Normal 8 18 3 2 2" xfId="50151"/>
    <cellStyle name="Normal 8 18 3 3" xfId="50152"/>
    <cellStyle name="Normal 8 18 3 4" xfId="50153"/>
    <cellStyle name="Normal 8 18 3 5" xfId="50154"/>
    <cellStyle name="Normal 8 18 4" xfId="50155"/>
    <cellStyle name="Normal 8 18 4 2" xfId="50156"/>
    <cellStyle name="Normal 8 18 5" xfId="50157"/>
    <cellStyle name="Normal 8 18 5 2" xfId="50158"/>
    <cellStyle name="Normal 8 18 6" xfId="50159"/>
    <cellStyle name="Normal 8 18 6 2" xfId="50160"/>
    <cellStyle name="Normal 8 18 7" xfId="50161"/>
    <cellStyle name="Normal 8 18 7 2" xfId="50162"/>
    <cellStyle name="Normal 8 18 8" xfId="50163"/>
    <cellStyle name="Normal 8 18 9" xfId="50164"/>
    <cellStyle name="Normal 8 19" xfId="50165"/>
    <cellStyle name="Normal 8 19 10" xfId="50166"/>
    <cellStyle name="Normal 8 19 11" xfId="50167"/>
    <cellStyle name="Normal 8 19 12" xfId="50168"/>
    <cellStyle name="Normal 8 19 13" xfId="50169"/>
    <cellStyle name="Normal 8 19 14" xfId="50170"/>
    <cellStyle name="Normal 8 19 2" xfId="50171"/>
    <cellStyle name="Normal 8 19 2 2" xfId="50172"/>
    <cellStyle name="Normal 8 19 2 2 2" xfId="50173"/>
    <cellStyle name="Normal 8 19 2 3" xfId="50174"/>
    <cellStyle name="Normal 8 19 2 3 2" xfId="50175"/>
    <cellStyle name="Normal 8 19 2 4" xfId="50176"/>
    <cellStyle name="Normal 8 19 2 4 2" xfId="50177"/>
    <cellStyle name="Normal 8 19 2 5" xfId="50178"/>
    <cellStyle name="Normal 8 19 2 5 2" xfId="50179"/>
    <cellStyle name="Normal 8 19 2 6" xfId="50180"/>
    <cellStyle name="Normal 8 19 2 7" xfId="50181"/>
    <cellStyle name="Normal 8 19 2 8" xfId="50182"/>
    <cellStyle name="Normal 8 19 2 9" xfId="50183"/>
    <cellStyle name="Normal 8 19 3" xfId="50184"/>
    <cellStyle name="Normal 8 19 3 2" xfId="50185"/>
    <cellStyle name="Normal 8 19 3 2 2" xfId="50186"/>
    <cellStyle name="Normal 8 19 3 3" xfId="50187"/>
    <cellStyle name="Normal 8 19 3 4" xfId="50188"/>
    <cellStyle name="Normal 8 19 3 5" xfId="50189"/>
    <cellStyle name="Normal 8 19 4" xfId="50190"/>
    <cellStyle name="Normal 8 19 4 2" xfId="50191"/>
    <cellStyle name="Normal 8 19 5" xfId="50192"/>
    <cellStyle name="Normal 8 19 5 2" xfId="50193"/>
    <cellStyle name="Normal 8 19 6" xfId="50194"/>
    <cellStyle name="Normal 8 19 6 2" xfId="50195"/>
    <cellStyle name="Normal 8 19 7" xfId="50196"/>
    <cellStyle name="Normal 8 19 7 2" xfId="50197"/>
    <cellStyle name="Normal 8 19 8" xfId="50198"/>
    <cellStyle name="Normal 8 19 9" xfId="50199"/>
    <cellStyle name="Normal 8 2" xfId="1006"/>
    <cellStyle name="Normal 8 2 10" xfId="50201"/>
    <cellStyle name="Normal 8 2 10 10" xfId="50202"/>
    <cellStyle name="Normal 8 2 10 11" xfId="50203"/>
    <cellStyle name="Normal 8 2 10 12" xfId="50204"/>
    <cellStyle name="Normal 8 2 10 13" xfId="50205"/>
    <cellStyle name="Normal 8 2 10 14" xfId="50206"/>
    <cellStyle name="Normal 8 2 10 15" xfId="50207"/>
    <cellStyle name="Normal 8 2 10 2" xfId="50208"/>
    <cellStyle name="Normal 8 2 10 2 2" xfId="50209"/>
    <cellStyle name="Normal 8 2 10 2 2 2" xfId="50210"/>
    <cellStyle name="Normal 8 2 10 2 3" xfId="50211"/>
    <cellStyle name="Normal 8 2 10 2 3 2" xfId="50212"/>
    <cellStyle name="Normal 8 2 10 2 4" xfId="50213"/>
    <cellStyle name="Normal 8 2 10 2 4 2" xfId="50214"/>
    <cellStyle name="Normal 8 2 10 2 5" xfId="50215"/>
    <cellStyle name="Normal 8 2 10 2 5 2" xfId="50216"/>
    <cellStyle name="Normal 8 2 10 2 6" xfId="50217"/>
    <cellStyle name="Normal 8 2 10 2 7" xfId="50218"/>
    <cellStyle name="Normal 8 2 10 2 8" xfId="50219"/>
    <cellStyle name="Normal 8 2 10 2 9" xfId="50220"/>
    <cellStyle name="Normal 8 2 10 3" xfId="50221"/>
    <cellStyle name="Normal 8 2 10 3 2" xfId="50222"/>
    <cellStyle name="Normal 8 2 10 3 2 2" xfId="50223"/>
    <cellStyle name="Normal 8 2 10 3 3" xfId="50224"/>
    <cellStyle name="Normal 8 2 10 3 4" xfId="50225"/>
    <cellStyle name="Normal 8 2 10 3 5" xfId="50226"/>
    <cellStyle name="Normal 8 2 10 4" xfId="50227"/>
    <cellStyle name="Normal 8 2 10 4 2" xfId="50228"/>
    <cellStyle name="Normal 8 2 10 5" xfId="50229"/>
    <cellStyle name="Normal 8 2 10 5 2" xfId="50230"/>
    <cellStyle name="Normal 8 2 10 6" xfId="50231"/>
    <cellStyle name="Normal 8 2 10 6 2" xfId="50232"/>
    <cellStyle name="Normal 8 2 10 7" xfId="50233"/>
    <cellStyle name="Normal 8 2 10 7 2" xfId="50234"/>
    <cellStyle name="Normal 8 2 10 8" xfId="50235"/>
    <cellStyle name="Normal 8 2 10 9" xfId="50236"/>
    <cellStyle name="Normal 8 2 11" xfId="50237"/>
    <cellStyle name="Normal 8 2 11 2" xfId="50238"/>
    <cellStyle name="Normal 8 2 11 2 2" xfId="50239"/>
    <cellStyle name="Normal 8 2 11 3" xfId="50240"/>
    <cellStyle name="Normal 8 2 11 3 2" xfId="50241"/>
    <cellStyle name="Normal 8 2 11 4" xfId="50242"/>
    <cellStyle name="Normal 8 2 11 4 2" xfId="50243"/>
    <cellStyle name="Normal 8 2 11 5" xfId="50244"/>
    <cellStyle name="Normal 8 2 11 5 2" xfId="50245"/>
    <cellStyle name="Normal 8 2 11 6" xfId="50246"/>
    <cellStyle name="Normal 8 2 11 7" xfId="50247"/>
    <cellStyle name="Normal 8 2 11 8" xfId="50248"/>
    <cellStyle name="Normal 8 2 11 9" xfId="50249"/>
    <cellStyle name="Normal 8 2 12" xfId="50250"/>
    <cellStyle name="Normal 8 2 12 2" xfId="50251"/>
    <cellStyle name="Normal 8 2 12 2 2" xfId="50252"/>
    <cellStyle name="Normal 8 2 12 3" xfId="50253"/>
    <cellStyle name="Normal 8 2 12 4" xfId="50254"/>
    <cellStyle name="Normal 8 2 12 5" xfId="50255"/>
    <cellStyle name="Normal 8 2 13" xfId="50256"/>
    <cellStyle name="Normal 8 2 13 2" xfId="50257"/>
    <cellStyle name="Normal 8 2 14" xfId="50258"/>
    <cellStyle name="Normal 8 2 14 2" xfId="50259"/>
    <cellStyle name="Normal 8 2 15" xfId="50260"/>
    <cellStyle name="Normal 8 2 15 2" xfId="50261"/>
    <cellStyle name="Normal 8 2 16" xfId="50262"/>
    <cellStyle name="Normal 8 2 16 2" xfId="50263"/>
    <cellStyle name="Normal 8 2 17" xfId="50264"/>
    <cellStyle name="Normal 8 2 18" xfId="50265"/>
    <cellStyle name="Normal 8 2 19" xfId="50266"/>
    <cellStyle name="Normal 8 2 2" xfId="50200"/>
    <cellStyle name="Normal 8 2 2 10" xfId="50268"/>
    <cellStyle name="Normal 8 2 2 10 2" xfId="50269"/>
    <cellStyle name="Normal 8 2 2 11" xfId="50270"/>
    <cellStyle name="Normal 8 2 2 11 2" xfId="50271"/>
    <cellStyle name="Normal 8 2 2 12" xfId="50272"/>
    <cellStyle name="Normal 8 2 2 13" xfId="50273"/>
    <cellStyle name="Normal 8 2 2 14" xfId="50274"/>
    <cellStyle name="Normal 8 2 2 15" xfId="50275"/>
    <cellStyle name="Normal 8 2 2 16" xfId="50276"/>
    <cellStyle name="Normal 8 2 2 17" xfId="50277"/>
    <cellStyle name="Normal 8 2 2 18" xfId="50278"/>
    <cellStyle name="Normal 8 2 2 19" xfId="50279"/>
    <cellStyle name="Normal 8 2 2 2" xfId="50280"/>
    <cellStyle name="Normal 8 2 2 2 10" xfId="50281"/>
    <cellStyle name="Normal 8 2 2 2 11" xfId="50282"/>
    <cellStyle name="Normal 8 2 2 2 12" xfId="50283"/>
    <cellStyle name="Normal 8 2 2 2 13" xfId="50284"/>
    <cellStyle name="Normal 8 2 2 2 14" xfId="50285"/>
    <cellStyle name="Normal 8 2 2 2 15" xfId="50286"/>
    <cellStyle name="Normal 8 2 2 2 16" xfId="50287"/>
    <cellStyle name="Normal 8 2 2 2 2" xfId="50288"/>
    <cellStyle name="Normal 8 2 2 2 2 2" xfId="50289"/>
    <cellStyle name="Normal 8 2 2 2 2 2 2" xfId="50290"/>
    <cellStyle name="Normal 8 2 2 2 2 3" xfId="50291"/>
    <cellStyle name="Normal 8 2 2 2 2 3 2" xfId="50292"/>
    <cellStyle name="Normal 8 2 2 2 2 4" xfId="50293"/>
    <cellStyle name="Normal 8 2 2 2 2 4 2" xfId="50294"/>
    <cellStyle name="Normal 8 2 2 2 2 5" xfId="50295"/>
    <cellStyle name="Normal 8 2 2 2 2 5 2" xfId="50296"/>
    <cellStyle name="Normal 8 2 2 2 2 6" xfId="50297"/>
    <cellStyle name="Normal 8 2 2 2 2 7" xfId="50298"/>
    <cellStyle name="Normal 8 2 2 2 2 8" xfId="50299"/>
    <cellStyle name="Normal 8 2 2 2 2 9" xfId="50300"/>
    <cellStyle name="Normal 8 2 2 2 3" xfId="50301"/>
    <cellStyle name="Normal 8 2 2 2 3 2" xfId="50302"/>
    <cellStyle name="Normal 8 2 2 2 3 2 2" xfId="50303"/>
    <cellStyle name="Normal 8 2 2 2 3 3" xfId="50304"/>
    <cellStyle name="Normal 8 2 2 2 3 4" xfId="50305"/>
    <cellStyle name="Normal 8 2 2 2 3 5" xfId="50306"/>
    <cellStyle name="Normal 8 2 2 2 4" xfId="50307"/>
    <cellStyle name="Normal 8 2 2 2 4 2" xfId="50308"/>
    <cellStyle name="Normal 8 2 2 2 5" xfId="50309"/>
    <cellStyle name="Normal 8 2 2 2 5 2" xfId="50310"/>
    <cellStyle name="Normal 8 2 2 2 6" xfId="50311"/>
    <cellStyle name="Normal 8 2 2 2 6 2" xfId="50312"/>
    <cellStyle name="Normal 8 2 2 2 7" xfId="50313"/>
    <cellStyle name="Normal 8 2 2 2 7 2" xfId="50314"/>
    <cellStyle name="Normal 8 2 2 2 8" xfId="50315"/>
    <cellStyle name="Normal 8 2 2 2 9" xfId="50316"/>
    <cellStyle name="Normal 8 2 2 20" xfId="50317"/>
    <cellStyle name="Normal 8 2 2 3" xfId="50318"/>
    <cellStyle name="Normal 8 2 2 3 10" xfId="50319"/>
    <cellStyle name="Normal 8 2 2 3 11" xfId="50320"/>
    <cellStyle name="Normal 8 2 2 3 12" xfId="50321"/>
    <cellStyle name="Normal 8 2 2 3 13" xfId="50322"/>
    <cellStyle name="Normal 8 2 2 3 14" xfId="50323"/>
    <cellStyle name="Normal 8 2 2 3 15" xfId="50324"/>
    <cellStyle name="Normal 8 2 2 3 16" xfId="50325"/>
    <cellStyle name="Normal 8 2 2 3 2" xfId="50326"/>
    <cellStyle name="Normal 8 2 2 3 2 2" xfId="50327"/>
    <cellStyle name="Normal 8 2 2 3 2 2 2" xfId="50328"/>
    <cellStyle name="Normal 8 2 2 3 2 3" xfId="50329"/>
    <cellStyle name="Normal 8 2 2 3 2 3 2" xfId="50330"/>
    <cellStyle name="Normal 8 2 2 3 2 4" xfId="50331"/>
    <cellStyle name="Normal 8 2 2 3 2 4 2" xfId="50332"/>
    <cellStyle name="Normal 8 2 2 3 2 5" xfId="50333"/>
    <cellStyle name="Normal 8 2 2 3 2 5 2" xfId="50334"/>
    <cellStyle name="Normal 8 2 2 3 2 6" xfId="50335"/>
    <cellStyle name="Normal 8 2 2 3 2 7" xfId="50336"/>
    <cellStyle name="Normal 8 2 2 3 2 8" xfId="50337"/>
    <cellStyle name="Normal 8 2 2 3 2 9" xfId="50338"/>
    <cellStyle name="Normal 8 2 2 3 3" xfId="50339"/>
    <cellStyle name="Normal 8 2 2 3 3 2" xfId="50340"/>
    <cellStyle name="Normal 8 2 2 3 3 2 2" xfId="50341"/>
    <cellStyle name="Normal 8 2 2 3 3 3" xfId="50342"/>
    <cellStyle name="Normal 8 2 2 3 3 4" xfId="50343"/>
    <cellStyle name="Normal 8 2 2 3 3 5" xfId="50344"/>
    <cellStyle name="Normal 8 2 2 3 4" xfId="50345"/>
    <cellStyle name="Normal 8 2 2 3 4 2" xfId="50346"/>
    <cellStyle name="Normal 8 2 2 3 5" xfId="50347"/>
    <cellStyle name="Normal 8 2 2 3 5 2" xfId="50348"/>
    <cellStyle name="Normal 8 2 2 3 6" xfId="50349"/>
    <cellStyle name="Normal 8 2 2 3 6 2" xfId="50350"/>
    <cellStyle name="Normal 8 2 2 3 7" xfId="50351"/>
    <cellStyle name="Normal 8 2 2 3 7 2" xfId="50352"/>
    <cellStyle name="Normal 8 2 2 3 8" xfId="50353"/>
    <cellStyle name="Normal 8 2 2 3 9" xfId="50354"/>
    <cellStyle name="Normal 8 2 2 4" xfId="50355"/>
    <cellStyle name="Normal 8 2 2 4 10" xfId="50356"/>
    <cellStyle name="Normal 8 2 2 4 11" xfId="50357"/>
    <cellStyle name="Normal 8 2 2 4 12" xfId="50358"/>
    <cellStyle name="Normal 8 2 2 4 13" xfId="50359"/>
    <cellStyle name="Normal 8 2 2 4 14" xfId="50360"/>
    <cellStyle name="Normal 8 2 2 4 15" xfId="50361"/>
    <cellStyle name="Normal 8 2 2 4 2" xfId="50362"/>
    <cellStyle name="Normal 8 2 2 4 2 2" xfId="50363"/>
    <cellStyle name="Normal 8 2 2 4 2 2 2" xfId="50364"/>
    <cellStyle name="Normal 8 2 2 4 2 3" xfId="50365"/>
    <cellStyle name="Normal 8 2 2 4 2 3 2" xfId="50366"/>
    <cellStyle name="Normal 8 2 2 4 2 4" xfId="50367"/>
    <cellStyle name="Normal 8 2 2 4 2 4 2" xfId="50368"/>
    <cellStyle name="Normal 8 2 2 4 2 5" xfId="50369"/>
    <cellStyle name="Normal 8 2 2 4 2 5 2" xfId="50370"/>
    <cellStyle name="Normal 8 2 2 4 2 6" xfId="50371"/>
    <cellStyle name="Normal 8 2 2 4 2 7" xfId="50372"/>
    <cellStyle name="Normal 8 2 2 4 2 8" xfId="50373"/>
    <cellStyle name="Normal 8 2 2 4 2 9" xfId="50374"/>
    <cellStyle name="Normal 8 2 2 4 3" xfId="50375"/>
    <cellStyle name="Normal 8 2 2 4 3 2" xfId="50376"/>
    <cellStyle name="Normal 8 2 2 4 3 2 2" xfId="50377"/>
    <cellStyle name="Normal 8 2 2 4 3 3" xfId="50378"/>
    <cellStyle name="Normal 8 2 2 4 3 4" xfId="50379"/>
    <cellStyle name="Normal 8 2 2 4 3 5" xfId="50380"/>
    <cellStyle name="Normal 8 2 2 4 4" xfId="50381"/>
    <cellStyle name="Normal 8 2 2 4 4 2" xfId="50382"/>
    <cellStyle name="Normal 8 2 2 4 5" xfId="50383"/>
    <cellStyle name="Normal 8 2 2 4 5 2" xfId="50384"/>
    <cellStyle name="Normal 8 2 2 4 6" xfId="50385"/>
    <cellStyle name="Normal 8 2 2 4 6 2" xfId="50386"/>
    <cellStyle name="Normal 8 2 2 4 7" xfId="50387"/>
    <cellStyle name="Normal 8 2 2 4 7 2" xfId="50388"/>
    <cellStyle name="Normal 8 2 2 4 8" xfId="50389"/>
    <cellStyle name="Normal 8 2 2 4 9" xfId="50390"/>
    <cellStyle name="Normal 8 2 2 5" xfId="50391"/>
    <cellStyle name="Normal 8 2 2 5 10" xfId="50392"/>
    <cellStyle name="Normal 8 2 2 5 11" xfId="50393"/>
    <cellStyle name="Normal 8 2 2 5 12" xfId="50394"/>
    <cellStyle name="Normal 8 2 2 5 13" xfId="50395"/>
    <cellStyle name="Normal 8 2 2 5 14" xfId="50396"/>
    <cellStyle name="Normal 8 2 2 5 2" xfId="50397"/>
    <cellStyle name="Normal 8 2 2 5 2 2" xfId="50398"/>
    <cellStyle name="Normal 8 2 2 5 2 2 2" xfId="50399"/>
    <cellStyle name="Normal 8 2 2 5 2 3" xfId="50400"/>
    <cellStyle name="Normal 8 2 2 5 2 3 2" xfId="50401"/>
    <cellStyle name="Normal 8 2 2 5 2 4" xfId="50402"/>
    <cellStyle name="Normal 8 2 2 5 2 4 2" xfId="50403"/>
    <cellStyle name="Normal 8 2 2 5 2 5" xfId="50404"/>
    <cellStyle name="Normal 8 2 2 5 2 5 2" xfId="50405"/>
    <cellStyle name="Normal 8 2 2 5 2 6" xfId="50406"/>
    <cellStyle name="Normal 8 2 2 5 2 7" xfId="50407"/>
    <cellStyle name="Normal 8 2 2 5 2 8" xfId="50408"/>
    <cellStyle name="Normal 8 2 2 5 2 9" xfId="50409"/>
    <cellStyle name="Normal 8 2 2 5 3" xfId="50410"/>
    <cellStyle name="Normal 8 2 2 5 3 2" xfId="50411"/>
    <cellStyle name="Normal 8 2 2 5 3 2 2" xfId="50412"/>
    <cellStyle name="Normal 8 2 2 5 3 3" xfId="50413"/>
    <cellStyle name="Normal 8 2 2 5 3 4" xfId="50414"/>
    <cellStyle name="Normal 8 2 2 5 3 5" xfId="50415"/>
    <cellStyle name="Normal 8 2 2 5 4" xfId="50416"/>
    <cellStyle name="Normal 8 2 2 5 4 2" xfId="50417"/>
    <cellStyle name="Normal 8 2 2 5 5" xfId="50418"/>
    <cellStyle name="Normal 8 2 2 5 5 2" xfId="50419"/>
    <cellStyle name="Normal 8 2 2 5 6" xfId="50420"/>
    <cellStyle name="Normal 8 2 2 5 6 2" xfId="50421"/>
    <cellStyle name="Normal 8 2 2 5 7" xfId="50422"/>
    <cellStyle name="Normal 8 2 2 5 7 2" xfId="50423"/>
    <cellStyle name="Normal 8 2 2 5 8" xfId="50424"/>
    <cellStyle name="Normal 8 2 2 5 9" xfId="50425"/>
    <cellStyle name="Normal 8 2 2 6" xfId="50426"/>
    <cellStyle name="Normal 8 2 2 6 2" xfId="50427"/>
    <cellStyle name="Normal 8 2 2 6 2 2" xfId="50428"/>
    <cellStyle name="Normal 8 2 2 6 3" xfId="50429"/>
    <cellStyle name="Normal 8 2 2 6 3 2" xfId="50430"/>
    <cellStyle name="Normal 8 2 2 6 4" xfId="50431"/>
    <cellStyle name="Normal 8 2 2 6 4 2" xfId="50432"/>
    <cellStyle name="Normal 8 2 2 6 5" xfId="50433"/>
    <cellStyle name="Normal 8 2 2 6 5 2" xfId="50434"/>
    <cellStyle name="Normal 8 2 2 6 6" xfId="50435"/>
    <cellStyle name="Normal 8 2 2 6 7" xfId="50436"/>
    <cellStyle name="Normal 8 2 2 6 8" xfId="50437"/>
    <cellStyle name="Normal 8 2 2 6 9" xfId="50438"/>
    <cellStyle name="Normal 8 2 2 7" xfId="50439"/>
    <cellStyle name="Normal 8 2 2 7 2" xfId="50440"/>
    <cellStyle name="Normal 8 2 2 7 2 2" xfId="50441"/>
    <cellStyle name="Normal 8 2 2 7 3" xfId="50442"/>
    <cellStyle name="Normal 8 2 2 7 4" xfId="50443"/>
    <cellStyle name="Normal 8 2 2 7 5" xfId="50444"/>
    <cellStyle name="Normal 8 2 2 8" xfId="50445"/>
    <cellStyle name="Normal 8 2 2 8 2" xfId="50446"/>
    <cellStyle name="Normal 8 2 2 9" xfId="50447"/>
    <cellStyle name="Normal 8 2 2 9 2" xfId="50448"/>
    <cellStyle name="Normal 8 2 20" xfId="50449"/>
    <cellStyle name="Normal 8 2 21" xfId="50450"/>
    <cellStyle name="Normal 8 2 22" xfId="50451"/>
    <cellStyle name="Normal 8 2 23" xfId="50452"/>
    <cellStyle name="Normal 8 2 24" xfId="50453"/>
    <cellStyle name="Normal 8 2 25" xfId="50454"/>
    <cellStyle name="Normal 8 2 26" xfId="50455"/>
    <cellStyle name="Normal 8 2 3" xfId="50456"/>
    <cellStyle name="Normal 8 2 3 10" xfId="50457"/>
    <cellStyle name="Normal 8 2 3 11" xfId="50458"/>
    <cellStyle name="Normal 8 2 3 12" xfId="50459"/>
    <cellStyle name="Normal 8 2 3 13" xfId="50460"/>
    <cellStyle name="Normal 8 2 3 14" xfId="50461"/>
    <cellStyle name="Normal 8 2 3 15" xfId="50462"/>
    <cellStyle name="Normal 8 2 3 16" xfId="50463"/>
    <cellStyle name="Normal 8 2 3 17" xfId="50464"/>
    <cellStyle name="Normal 8 2 3 18" xfId="50465"/>
    <cellStyle name="Normal 8 2 3 2" xfId="50466"/>
    <cellStyle name="Normal 8 2 3 2 10" xfId="50467"/>
    <cellStyle name="Normal 8 2 3 2 11" xfId="50468"/>
    <cellStyle name="Normal 8 2 3 2 12" xfId="50469"/>
    <cellStyle name="Normal 8 2 3 2 13" xfId="50470"/>
    <cellStyle name="Normal 8 2 3 2 2" xfId="50471"/>
    <cellStyle name="Normal 8 2 3 2 2 2" xfId="50472"/>
    <cellStyle name="Normal 8 2 3 2 2 2 2" xfId="50473"/>
    <cellStyle name="Normal 8 2 3 2 2 3" xfId="50474"/>
    <cellStyle name="Normal 8 2 3 2 2 4" xfId="50475"/>
    <cellStyle name="Normal 8 2 3 2 2 5" xfId="50476"/>
    <cellStyle name="Normal 8 2 3 2 3" xfId="50477"/>
    <cellStyle name="Normal 8 2 3 2 3 2" xfId="50478"/>
    <cellStyle name="Normal 8 2 3 2 4" xfId="50479"/>
    <cellStyle name="Normal 8 2 3 2 4 2" xfId="50480"/>
    <cellStyle name="Normal 8 2 3 2 5" xfId="50481"/>
    <cellStyle name="Normal 8 2 3 2 5 2" xfId="50482"/>
    <cellStyle name="Normal 8 2 3 2 6" xfId="50483"/>
    <cellStyle name="Normal 8 2 3 2 6 2" xfId="50484"/>
    <cellStyle name="Normal 8 2 3 2 7" xfId="50485"/>
    <cellStyle name="Normal 8 2 3 2 8" xfId="50486"/>
    <cellStyle name="Normal 8 2 3 2 9" xfId="50487"/>
    <cellStyle name="Normal 8 2 3 3" xfId="50488"/>
    <cellStyle name="Normal 8 2 3 3 2" xfId="50489"/>
    <cellStyle name="Normal 8 2 3 3 2 2" xfId="50490"/>
    <cellStyle name="Normal 8 2 3 3 3" xfId="50491"/>
    <cellStyle name="Normal 8 2 3 3 4" xfId="50492"/>
    <cellStyle name="Normal 8 2 3 3 5" xfId="50493"/>
    <cellStyle name="Normal 8 2 3 4" xfId="50494"/>
    <cellStyle name="Normal 8 2 3 4 2" xfId="50495"/>
    <cellStyle name="Normal 8 2 3 5" xfId="50496"/>
    <cellStyle name="Normal 8 2 3 5 2" xfId="50497"/>
    <cellStyle name="Normal 8 2 3 6" xfId="50498"/>
    <cellStyle name="Normal 8 2 3 6 2" xfId="50499"/>
    <cellStyle name="Normal 8 2 3 7" xfId="50500"/>
    <cellStyle name="Normal 8 2 3 7 2" xfId="50501"/>
    <cellStyle name="Normal 8 2 3 8" xfId="50502"/>
    <cellStyle name="Normal 8 2 3 9" xfId="50503"/>
    <cellStyle name="Normal 8 2 4" xfId="50504"/>
    <cellStyle name="Normal 8 2 4 10" xfId="50505"/>
    <cellStyle name="Normal 8 2 4 11" xfId="50506"/>
    <cellStyle name="Normal 8 2 4 12" xfId="50507"/>
    <cellStyle name="Normal 8 2 4 13" xfId="50508"/>
    <cellStyle name="Normal 8 2 4 14" xfId="50509"/>
    <cellStyle name="Normal 8 2 4 15" xfId="50510"/>
    <cellStyle name="Normal 8 2 4 16" xfId="50511"/>
    <cellStyle name="Normal 8 2 4 17" xfId="50512"/>
    <cellStyle name="Normal 8 2 4 18" xfId="50513"/>
    <cellStyle name="Normal 8 2 4 2" xfId="50514"/>
    <cellStyle name="Normal 8 2 4 2 10" xfId="50515"/>
    <cellStyle name="Normal 8 2 4 2 11" xfId="50516"/>
    <cellStyle name="Normal 8 2 4 2 12" xfId="50517"/>
    <cellStyle name="Normal 8 2 4 2 13" xfId="50518"/>
    <cellStyle name="Normal 8 2 4 2 2" xfId="50519"/>
    <cellStyle name="Normal 8 2 4 2 2 2" xfId="50520"/>
    <cellStyle name="Normal 8 2 4 2 2 2 2" xfId="50521"/>
    <cellStyle name="Normal 8 2 4 2 2 3" xfId="50522"/>
    <cellStyle name="Normal 8 2 4 2 2 4" xfId="50523"/>
    <cellStyle name="Normal 8 2 4 2 2 5" xfId="50524"/>
    <cellStyle name="Normal 8 2 4 2 3" xfId="50525"/>
    <cellStyle name="Normal 8 2 4 2 3 2" xfId="50526"/>
    <cellStyle name="Normal 8 2 4 2 4" xfId="50527"/>
    <cellStyle name="Normal 8 2 4 2 4 2" xfId="50528"/>
    <cellStyle name="Normal 8 2 4 2 5" xfId="50529"/>
    <cellStyle name="Normal 8 2 4 2 5 2" xfId="50530"/>
    <cellStyle name="Normal 8 2 4 2 6" xfId="50531"/>
    <cellStyle name="Normal 8 2 4 2 6 2" xfId="50532"/>
    <cellStyle name="Normal 8 2 4 2 7" xfId="50533"/>
    <cellStyle name="Normal 8 2 4 2 8" xfId="50534"/>
    <cellStyle name="Normal 8 2 4 2 9" xfId="50535"/>
    <cellStyle name="Normal 8 2 4 3" xfId="50536"/>
    <cellStyle name="Normal 8 2 4 3 2" xfId="50537"/>
    <cellStyle name="Normal 8 2 4 3 2 2" xfId="50538"/>
    <cellStyle name="Normal 8 2 4 3 3" xfId="50539"/>
    <cellStyle name="Normal 8 2 4 3 4" xfId="50540"/>
    <cellStyle name="Normal 8 2 4 3 5" xfId="50541"/>
    <cellStyle name="Normal 8 2 4 4" xfId="50542"/>
    <cellStyle name="Normal 8 2 4 4 2" xfId="50543"/>
    <cellStyle name="Normal 8 2 4 5" xfId="50544"/>
    <cellStyle name="Normal 8 2 4 5 2" xfId="50545"/>
    <cellStyle name="Normal 8 2 4 6" xfId="50546"/>
    <cellStyle name="Normal 8 2 4 6 2" xfId="50547"/>
    <cellStyle name="Normal 8 2 4 7" xfId="50548"/>
    <cellStyle name="Normal 8 2 4 7 2" xfId="50549"/>
    <cellStyle name="Normal 8 2 4 8" xfId="50550"/>
    <cellStyle name="Normal 8 2 4 9" xfId="50551"/>
    <cellStyle name="Normal 8 2 5" xfId="50552"/>
    <cellStyle name="Normal 8 2 5 10" xfId="50553"/>
    <cellStyle name="Normal 8 2 5 11" xfId="50554"/>
    <cellStyle name="Normal 8 2 5 12" xfId="50555"/>
    <cellStyle name="Normal 8 2 5 13" xfId="50556"/>
    <cellStyle name="Normal 8 2 5 14" xfId="50557"/>
    <cellStyle name="Normal 8 2 5 15" xfId="50558"/>
    <cellStyle name="Normal 8 2 5 16" xfId="50559"/>
    <cellStyle name="Normal 8 2 5 17" xfId="50560"/>
    <cellStyle name="Normal 8 2 5 18" xfId="50561"/>
    <cellStyle name="Normal 8 2 5 2" xfId="50562"/>
    <cellStyle name="Normal 8 2 5 2 10" xfId="50563"/>
    <cellStyle name="Normal 8 2 5 2 11" xfId="50564"/>
    <cellStyle name="Normal 8 2 5 2 12" xfId="50565"/>
    <cellStyle name="Normal 8 2 5 2 13" xfId="50566"/>
    <cellStyle name="Normal 8 2 5 2 2" xfId="50567"/>
    <cellStyle name="Normal 8 2 5 2 2 2" xfId="50568"/>
    <cellStyle name="Normal 8 2 5 2 2 2 2" xfId="50569"/>
    <cellStyle name="Normal 8 2 5 2 2 3" xfId="50570"/>
    <cellStyle name="Normal 8 2 5 2 2 4" xfId="50571"/>
    <cellStyle name="Normal 8 2 5 2 2 5" xfId="50572"/>
    <cellStyle name="Normal 8 2 5 2 3" xfId="50573"/>
    <cellStyle name="Normal 8 2 5 2 3 2" xfId="50574"/>
    <cellStyle name="Normal 8 2 5 2 4" xfId="50575"/>
    <cellStyle name="Normal 8 2 5 2 4 2" xfId="50576"/>
    <cellStyle name="Normal 8 2 5 2 5" xfId="50577"/>
    <cellStyle name="Normal 8 2 5 2 5 2" xfId="50578"/>
    <cellStyle name="Normal 8 2 5 2 6" xfId="50579"/>
    <cellStyle name="Normal 8 2 5 2 6 2" xfId="50580"/>
    <cellStyle name="Normal 8 2 5 2 7" xfId="50581"/>
    <cellStyle name="Normal 8 2 5 2 8" xfId="50582"/>
    <cellStyle name="Normal 8 2 5 2 9" xfId="50583"/>
    <cellStyle name="Normal 8 2 5 3" xfId="50584"/>
    <cellStyle name="Normal 8 2 5 3 2" xfId="50585"/>
    <cellStyle name="Normal 8 2 5 3 2 2" xfId="50586"/>
    <cellStyle name="Normal 8 2 5 3 3" xfId="50587"/>
    <cellStyle name="Normal 8 2 5 3 4" xfId="50588"/>
    <cellStyle name="Normal 8 2 5 3 5" xfId="50589"/>
    <cellStyle name="Normal 8 2 5 4" xfId="50590"/>
    <cellStyle name="Normal 8 2 5 4 2" xfId="50591"/>
    <cellStyle name="Normal 8 2 5 5" xfId="50592"/>
    <cellStyle name="Normal 8 2 5 5 2" xfId="50593"/>
    <cellStyle name="Normal 8 2 5 6" xfId="50594"/>
    <cellStyle name="Normal 8 2 5 6 2" xfId="50595"/>
    <cellStyle name="Normal 8 2 5 7" xfId="50596"/>
    <cellStyle name="Normal 8 2 5 7 2" xfId="50597"/>
    <cellStyle name="Normal 8 2 5 8" xfId="50598"/>
    <cellStyle name="Normal 8 2 5 9" xfId="50599"/>
    <cellStyle name="Normal 8 2 6" xfId="50600"/>
    <cellStyle name="Normal 8 2 6 10" xfId="50601"/>
    <cellStyle name="Normal 8 2 6 11" xfId="50602"/>
    <cellStyle name="Normal 8 2 6 12" xfId="50603"/>
    <cellStyle name="Normal 8 2 6 13" xfId="50604"/>
    <cellStyle name="Normal 8 2 6 14" xfId="50605"/>
    <cellStyle name="Normal 8 2 6 15" xfId="50606"/>
    <cellStyle name="Normal 8 2 6 16" xfId="50607"/>
    <cellStyle name="Normal 8 2 6 17" xfId="50608"/>
    <cellStyle name="Normal 8 2 6 18" xfId="50609"/>
    <cellStyle name="Normal 8 2 6 2" xfId="50610"/>
    <cellStyle name="Normal 8 2 6 2 10" xfId="50611"/>
    <cellStyle name="Normal 8 2 6 2 11" xfId="50612"/>
    <cellStyle name="Normal 8 2 6 2 12" xfId="50613"/>
    <cellStyle name="Normal 8 2 6 2 13" xfId="50614"/>
    <cellStyle name="Normal 8 2 6 2 2" xfId="50615"/>
    <cellStyle name="Normal 8 2 6 2 2 2" xfId="50616"/>
    <cellStyle name="Normal 8 2 6 2 2 2 2" xfId="50617"/>
    <cellStyle name="Normal 8 2 6 2 2 3" xfId="50618"/>
    <cellStyle name="Normal 8 2 6 2 2 4" xfId="50619"/>
    <cellStyle name="Normal 8 2 6 2 2 5" xfId="50620"/>
    <cellStyle name="Normal 8 2 6 2 3" xfId="50621"/>
    <cellStyle name="Normal 8 2 6 2 3 2" xfId="50622"/>
    <cellStyle name="Normal 8 2 6 2 4" xfId="50623"/>
    <cellStyle name="Normal 8 2 6 2 4 2" xfId="50624"/>
    <cellStyle name="Normal 8 2 6 2 5" xfId="50625"/>
    <cellStyle name="Normal 8 2 6 2 5 2" xfId="50626"/>
    <cellStyle name="Normal 8 2 6 2 6" xfId="50627"/>
    <cellStyle name="Normal 8 2 6 2 6 2" xfId="50628"/>
    <cellStyle name="Normal 8 2 6 2 7" xfId="50629"/>
    <cellStyle name="Normal 8 2 6 2 8" xfId="50630"/>
    <cellStyle name="Normal 8 2 6 2 9" xfId="50631"/>
    <cellStyle name="Normal 8 2 6 3" xfId="50632"/>
    <cellStyle name="Normal 8 2 6 3 2" xfId="50633"/>
    <cellStyle name="Normal 8 2 6 3 2 2" xfId="50634"/>
    <cellStyle name="Normal 8 2 6 3 3" xfId="50635"/>
    <cellStyle name="Normal 8 2 6 3 4" xfId="50636"/>
    <cellStyle name="Normal 8 2 6 3 5" xfId="50637"/>
    <cellStyle name="Normal 8 2 6 4" xfId="50638"/>
    <cellStyle name="Normal 8 2 6 4 2" xfId="50639"/>
    <cellStyle name="Normal 8 2 6 5" xfId="50640"/>
    <cellStyle name="Normal 8 2 6 5 2" xfId="50641"/>
    <cellStyle name="Normal 8 2 6 6" xfId="50642"/>
    <cellStyle name="Normal 8 2 6 6 2" xfId="50643"/>
    <cellStyle name="Normal 8 2 6 7" xfId="50644"/>
    <cellStyle name="Normal 8 2 6 7 2" xfId="50645"/>
    <cellStyle name="Normal 8 2 6 8" xfId="50646"/>
    <cellStyle name="Normal 8 2 6 9" xfId="50647"/>
    <cellStyle name="Normal 8 2 7" xfId="50648"/>
    <cellStyle name="Normal 8 2 7 10" xfId="50649"/>
    <cellStyle name="Normal 8 2 7 11" xfId="50650"/>
    <cellStyle name="Normal 8 2 7 12" xfId="50651"/>
    <cellStyle name="Normal 8 2 7 13" xfId="50652"/>
    <cellStyle name="Normal 8 2 7 14" xfId="50653"/>
    <cellStyle name="Normal 8 2 7 15" xfId="50654"/>
    <cellStyle name="Normal 8 2 7 16" xfId="50655"/>
    <cellStyle name="Normal 8 2 7 17" xfId="50656"/>
    <cellStyle name="Normal 8 2 7 18" xfId="50657"/>
    <cellStyle name="Normal 8 2 7 2" xfId="50658"/>
    <cellStyle name="Normal 8 2 7 2 10" xfId="50659"/>
    <cellStyle name="Normal 8 2 7 2 11" xfId="50660"/>
    <cellStyle name="Normal 8 2 7 2 12" xfId="50661"/>
    <cellStyle name="Normal 8 2 7 2 13" xfId="50662"/>
    <cellStyle name="Normal 8 2 7 2 2" xfId="50663"/>
    <cellStyle name="Normal 8 2 7 2 2 2" xfId="50664"/>
    <cellStyle name="Normal 8 2 7 2 2 2 2" xfId="50665"/>
    <cellStyle name="Normal 8 2 7 2 2 3" xfId="50666"/>
    <cellStyle name="Normal 8 2 7 2 2 4" xfId="50667"/>
    <cellStyle name="Normal 8 2 7 2 2 5" xfId="50668"/>
    <cellStyle name="Normal 8 2 7 2 3" xfId="50669"/>
    <cellStyle name="Normal 8 2 7 2 3 2" xfId="50670"/>
    <cellStyle name="Normal 8 2 7 2 4" xfId="50671"/>
    <cellStyle name="Normal 8 2 7 2 4 2" xfId="50672"/>
    <cellStyle name="Normal 8 2 7 2 5" xfId="50673"/>
    <cellStyle name="Normal 8 2 7 2 5 2" xfId="50674"/>
    <cellStyle name="Normal 8 2 7 2 6" xfId="50675"/>
    <cellStyle name="Normal 8 2 7 2 6 2" xfId="50676"/>
    <cellStyle name="Normal 8 2 7 2 7" xfId="50677"/>
    <cellStyle name="Normal 8 2 7 2 8" xfId="50678"/>
    <cellStyle name="Normal 8 2 7 2 9" xfId="50679"/>
    <cellStyle name="Normal 8 2 7 3" xfId="50680"/>
    <cellStyle name="Normal 8 2 7 3 2" xfId="50681"/>
    <cellStyle name="Normal 8 2 7 3 2 2" xfId="50682"/>
    <cellStyle name="Normal 8 2 7 3 3" xfId="50683"/>
    <cellStyle name="Normal 8 2 7 3 4" xfId="50684"/>
    <cellStyle name="Normal 8 2 7 3 5" xfId="50685"/>
    <cellStyle name="Normal 8 2 7 4" xfId="50686"/>
    <cellStyle name="Normal 8 2 7 4 2" xfId="50687"/>
    <cellStyle name="Normal 8 2 7 5" xfId="50688"/>
    <cellStyle name="Normal 8 2 7 5 2" xfId="50689"/>
    <cellStyle name="Normal 8 2 7 6" xfId="50690"/>
    <cellStyle name="Normal 8 2 7 6 2" xfId="50691"/>
    <cellStyle name="Normal 8 2 7 7" xfId="50692"/>
    <cellStyle name="Normal 8 2 7 7 2" xfId="50693"/>
    <cellStyle name="Normal 8 2 7 8" xfId="50694"/>
    <cellStyle name="Normal 8 2 7 9" xfId="50695"/>
    <cellStyle name="Normal 8 2 8" xfId="50696"/>
    <cellStyle name="Normal 8 2 8 10" xfId="50697"/>
    <cellStyle name="Normal 8 2 8 11" xfId="50698"/>
    <cellStyle name="Normal 8 2 8 12" xfId="50699"/>
    <cellStyle name="Normal 8 2 8 13" xfId="50700"/>
    <cellStyle name="Normal 8 2 8 14" xfId="50701"/>
    <cellStyle name="Normal 8 2 8 15" xfId="50702"/>
    <cellStyle name="Normal 8 2 8 16" xfId="50703"/>
    <cellStyle name="Normal 8 2 8 2" xfId="50704"/>
    <cellStyle name="Normal 8 2 8 2 2" xfId="50705"/>
    <cellStyle name="Normal 8 2 8 2 2 2" xfId="50706"/>
    <cellStyle name="Normal 8 2 8 2 3" xfId="50707"/>
    <cellStyle name="Normal 8 2 8 2 3 2" xfId="50708"/>
    <cellStyle name="Normal 8 2 8 2 4" xfId="50709"/>
    <cellStyle name="Normal 8 2 8 2 4 2" xfId="50710"/>
    <cellStyle name="Normal 8 2 8 2 5" xfId="50711"/>
    <cellStyle name="Normal 8 2 8 2 5 2" xfId="50712"/>
    <cellStyle name="Normal 8 2 8 2 6" xfId="50713"/>
    <cellStyle name="Normal 8 2 8 2 7" xfId="50714"/>
    <cellStyle name="Normal 8 2 8 2 8" xfId="50715"/>
    <cellStyle name="Normal 8 2 8 2 9" xfId="50716"/>
    <cellStyle name="Normal 8 2 8 3" xfId="50717"/>
    <cellStyle name="Normal 8 2 8 3 2" xfId="50718"/>
    <cellStyle name="Normal 8 2 8 3 2 2" xfId="50719"/>
    <cellStyle name="Normal 8 2 8 3 3" xfId="50720"/>
    <cellStyle name="Normal 8 2 8 3 4" xfId="50721"/>
    <cellStyle name="Normal 8 2 8 3 5" xfId="50722"/>
    <cellStyle name="Normal 8 2 8 4" xfId="50723"/>
    <cellStyle name="Normal 8 2 8 4 2" xfId="50724"/>
    <cellStyle name="Normal 8 2 8 5" xfId="50725"/>
    <cellStyle name="Normal 8 2 8 5 2" xfId="50726"/>
    <cellStyle name="Normal 8 2 8 6" xfId="50727"/>
    <cellStyle name="Normal 8 2 8 6 2" xfId="50728"/>
    <cellStyle name="Normal 8 2 8 7" xfId="50729"/>
    <cellStyle name="Normal 8 2 8 7 2" xfId="50730"/>
    <cellStyle name="Normal 8 2 8 8" xfId="50731"/>
    <cellStyle name="Normal 8 2 8 9" xfId="50732"/>
    <cellStyle name="Normal 8 2 9" xfId="50733"/>
    <cellStyle name="Normal 8 2 9 10" xfId="50734"/>
    <cellStyle name="Normal 8 2 9 11" xfId="50735"/>
    <cellStyle name="Normal 8 2 9 12" xfId="50736"/>
    <cellStyle name="Normal 8 2 9 13" xfId="50737"/>
    <cellStyle name="Normal 8 2 9 14" xfId="50738"/>
    <cellStyle name="Normal 8 2 9 15" xfId="50739"/>
    <cellStyle name="Normal 8 2 9 16" xfId="50740"/>
    <cellStyle name="Normal 8 2 9 2" xfId="50741"/>
    <cellStyle name="Normal 8 2 9 2 2" xfId="50742"/>
    <cellStyle name="Normal 8 2 9 2 2 2" xfId="50743"/>
    <cellStyle name="Normal 8 2 9 2 3" xfId="50744"/>
    <cellStyle name="Normal 8 2 9 2 3 2" xfId="50745"/>
    <cellStyle name="Normal 8 2 9 2 4" xfId="50746"/>
    <cellStyle name="Normal 8 2 9 2 4 2" xfId="50747"/>
    <cellStyle name="Normal 8 2 9 2 5" xfId="50748"/>
    <cellStyle name="Normal 8 2 9 2 5 2" xfId="50749"/>
    <cellStyle name="Normal 8 2 9 2 6" xfId="50750"/>
    <cellStyle name="Normal 8 2 9 2 7" xfId="50751"/>
    <cellStyle name="Normal 8 2 9 2 8" xfId="50752"/>
    <cellStyle name="Normal 8 2 9 2 9" xfId="50753"/>
    <cellStyle name="Normal 8 2 9 3" xfId="50754"/>
    <cellStyle name="Normal 8 2 9 3 2" xfId="50755"/>
    <cellStyle name="Normal 8 2 9 3 2 2" xfId="50756"/>
    <cellStyle name="Normal 8 2 9 3 3" xfId="50757"/>
    <cellStyle name="Normal 8 2 9 3 4" xfId="50758"/>
    <cellStyle name="Normal 8 2 9 3 5" xfId="50759"/>
    <cellStyle name="Normal 8 2 9 4" xfId="50760"/>
    <cellStyle name="Normal 8 2 9 4 2" xfId="50761"/>
    <cellStyle name="Normal 8 2 9 5" xfId="50762"/>
    <cellStyle name="Normal 8 2 9 5 2" xfId="50763"/>
    <cellStyle name="Normal 8 2 9 6" xfId="50764"/>
    <cellStyle name="Normal 8 2 9 6 2" xfId="50765"/>
    <cellStyle name="Normal 8 2 9 7" xfId="50766"/>
    <cellStyle name="Normal 8 2 9 7 2" xfId="50767"/>
    <cellStyle name="Normal 8 2 9 8" xfId="50768"/>
    <cellStyle name="Normal 8 2 9 9" xfId="50769"/>
    <cellStyle name="Normal 8 20" xfId="50770"/>
    <cellStyle name="Normal 8 20 2" xfId="50771"/>
    <cellStyle name="Normal 8 20 2 2" xfId="50772"/>
    <cellStyle name="Normal 8 20 3" xfId="50773"/>
    <cellStyle name="Normal 8 20 3 2" xfId="50774"/>
    <cellStyle name="Normal 8 20 4" xfId="50775"/>
    <cellStyle name="Normal 8 20 4 2" xfId="50776"/>
    <cellStyle name="Normal 8 20 5" xfId="50777"/>
    <cellStyle name="Normal 8 20 5 2" xfId="50778"/>
    <cellStyle name="Normal 8 20 6" xfId="50779"/>
    <cellStyle name="Normal 8 20 7" xfId="50780"/>
    <cellStyle name="Normal 8 20 8" xfId="50781"/>
    <cellStyle name="Normal 8 20 9" xfId="50782"/>
    <cellStyle name="Normal 8 21" xfId="50783"/>
    <cellStyle name="Normal 8 21 2" xfId="50784"/>
    <cellStyle name="Normal 8 21 2 2" xfId="50785"/>
    <cellStyle name="Normal 8 21 3" xfId="50786"/>
    <cellStyle name="Normal 8 21 4" xfId="50787"/>
    <cellStyle name="Normal 8 21 5" xfId="50788"/>
    <cellStyle name="Normal 8 22" xfId="50789"/>
    <cellStyle name="Normal 8 22 2" xfId="50790"/>
    <cellStyle name="Normal 8 23" xfId="50791"/>
    <cellStyle name="Normal 8 23 2" xfId="50792"/>
    <cellStyle name="Normal 8 24" xfId="50793"/>
    <cellStyle name="Normal 8 24 2" xfId="50794"/>
    <cellStyle name="Normal 8 25" xfId="50795"/>
    <cellStyle name="Normal 8 25 2" xfId="50796"/>
    <cellStyle name="Normal 8 26" xfId="50797"/>
    <cellStyle name="Normal 8 27" xfId="50798"/>
    <cellStyle name="Normal 8 28" xfId="50799"/>
    <cellStyle name="Normal 8 29" xfId="50800"/>
    <cellStyle name="Normal 8 3" xfId="1017"/>
    <cellStyle name="Normal 8 3 10" xfId="50802"/>
    <cellStyle name="Normal 8 3 10 10" xfId="50803"/>
    <cellStyle name="Normal 8 3 10 11" xfId="50804"/>
    <cellStyle name="Normal 8 3 10 12" xfId="50805"/>
    <cellStyle name="Normal 8 3 10 13" xfId="50806"/>
    <cellStyle name="Normal 8 3 10 14" xfId="50807"/>
    <cellStyle name="Normal 8 3 10 2" xfId="50808"/>
    <cellStyle name="Normal 8 3 10 2 2" xfId="50809"/>
    <cellStyle name="Normal 8 3 10 2 2 2" xfId="50810"/>
    <cellStyle name="Normal 8 3 10 2 3" xfId="50811"/>
    <cellStyle name="Normal 8 3 10 2 3 2" xfId="50812"/>
    <cellStyle name="Normal 8 3 10 2 4" xfId="50813"/>
    <cellStyle name="Normal 8 3 10 2 4 2" xfId="50814"/>
    <cellStyle name="Normal 8 3 10 2 5" xfId="50815"/>
    <cellStyle name="Normal 8 3 10 2 5 2" xfId="50816"/>
    <cellStyle name="Normal 8 3 10 2 6" xfId="50817"/>
    <cellStyle name="Normal 8 3 10 2 7" xfId="50818"/>
    <cellStyle name="Normal 8 3 10 2 8" xfId="50819"/>
    <cellStyle name="Normal 8 3 10 2 9" xfId="50820"/>
    <cellStyle name="Normal 8 3 10 3" xfId="50821"/>
    <cellStyle name="Normal 8 3 10 3 2" xfId="50822"/>
    <cellStyle name="Normal 8 3 10 3 2 2" xfId="50823"/>
    <cellStyle name="Normal 8 3 10 3 3" xfId="50824"/>
    <cellStyle name="Normal 8 3 10 3 4" xfId="50825"/>
    <cellStyle name="Normal 8 3 10 3 5" xfId="50826"/>
    <cellStyle name="Normal 8 3 10 4" xfId="50827"/>
    <cellStyle name="Normal 8 3 10 4 2" xfId="50828"/>
    <cellStyle name="Normal 8 3 10 5" xfId="50829"/>
    <cellStyle name="Normal 8 3 10 5 2" xfId="50830"/>
    <cellStyle name="Normal 8 3 10 6" xfId="50831"/>
    <cellStyle name="Normal 8 3 10 6 2" xfId="50832"/>
    <cellStyle name="Normal 8 3 10 7" xfId="50833"/>
    <cellStyle name="Normal 8 3 10 7 2" xfId="50834"/>
    <cellStyle name="Normal 8 3 10 8" xfId="50835"/>
    <cellStyle name="Normal 8 3 10 9" xfId="50836"/>
    <cellStyle name="Normal 8 3 11" xfId="50837"/>
    <cellStyle name="Normal 8 3 11 2" xfId="50838"/>
    <cellStyle name="Normal 8 3 11 2 2" xfId="50839"/>
    <cellStyle name="Normal 8 3 11 3" xfId="50840"/>
    <cellStyle name="Normal 8 3 11 3 2" xfId="50841"/>
    <cellStyle name="Normal 8 3 11 4" xfId="50842"/>
    <cellStyle name="Normal 8 3 11 4 2" xfId="50843"/>
    <cellStyle name="Normal 8 3 11 5" xfId="50844"/>
    <cellStyle name="Normal 8 3 11 5 2" xfId="50845"/>
    <cellStyle name="Normal 8 3 11 6" xfId="50846"/>
    <cellStyle name="Normal 8 3 11 7" xfId="50847"/>
    <cellStyle name="Normal 8 3 11 8" xfId="50848"/>
    <cellStyle name="Normal 8 3 11 9" xfId="50849"/>
    <cellStyle name="Normal 8 3 12" xfId="50850"/>
    <cellStyle name="Normal 8 3 12 2" xfId="50851"/>
    <cellStyle name="Normal 8 3 12 2 2" xfId="50852"/>
    <cellStyle name="Normal 8 3 12 3" xfId="50853"/>
    <cellStyle name="Normal 8 3 12 4" xfId="50854"/>
    <cellStyle name="Normal 8 3 12 5" xfId="50855"/>
    <cellStyle name="Normal 8 3 13" xfId="50856"/>
    <cellStyle name="Normal 8 3 13 2" xfId="50857"/>
    <cellStyle name="Normal 8 3 14" xfId="50858"/>
    <cellStyle name="Normal 8 3 14 2" xfId="50859"/>
    <cellStyle name="Normal 8 3 15" xfId="50860"/>
    <cellStyle name="Normal 8 3 15 2" xfId="50861"/>
    <cellStyle name="Normal 8 3 16" xfId="50862"/>
    <cellStyle name="Normal 8 3 16 2" xfId="50863"/>
    <cellStyle name="Normal 8 3 17" xfId="50864"/>
    <cellStyle name="Normal 8 3 18" xfId="50865"/>
    <cellStyle name="Normal 8 3 19" xfId="50866"/>
    <cellStyle name="Normal 8 3 2" xfId="50801"/>
    <cellStyle name="Normal 8 3 2 10" xfId="50868"/>
    <cellStyle name="Normal 8 3 2 10 2" xfId="50869"/>
    <cellStyle name="Normal 8 3 2 11" xfId="50870"/>
    <cellStyle name="Normal 8 3 2 11 2" xfId="50871"/>
    <cellStyle name="Normal 8 3 2 12" xfId="50872"/>
    <cellStyle name="Normal 8 3 2 13" xfId="50873"/>
    <cellStyle name="Normal 8 3 2 14" xfId="50874"/>
    <cellStyle name="Normal 8 3 2 15" xfId="50875"/>
    <cellStyle name="Normal 8 3 2 16" xfId="50876"/>
    <cellStyle name="Normal 8 3 2 17" xfId="50877"/>
    <cellStyle name="Normal 8 3 2 18" xfId="50878"/>
    <cellStyle name="Normal 8 3 2 19" xfId="50879"/>
    <cellStyle name="Normal 8 3 2 2" xfId="50880"/>
    <cellStyle name="Normal 8 3 2 2 10" xfId="50881"/>
    <cellStyle name="Normal 8 3 2 2 11" xfId="50882"/>
    <cellStyle name="Normal 8 3 2 2 12" xfId="50883"/>
    <cellStyle name="Normal 8 3 2 2 13" xfId="50884"/>
    <cellStyle name="Normal 8 3 2 2 14" xfId="50885"/>
    <cellStyle name="Normal 8 3 2 2 15" xfId="50886"/>
    <cellStyle name="Normal 8 3 2 2 16" xfId="50887"/>
    <cellStyle name="Normal 8 3 2 2 2" xfId="50888"/>
    <cellStyle name="Normal 8 3 2 2 2 2" xfId="50889"/>
    <cellStyle name="Normal 8 3 2 2 2 2 2" xfId="50890"/>
    <cellStyle name="Normal 8 3 2 2 2 3" xfId="50891"/>
    <cellStyle name="Normal 8 3 2 2 2 3 2" xfId="50892"/>
    <cellStyle name="Normal 8 3 2 2 2 4" xfId="50893"/>
    <cellStyle name="Normal 8 3 2 2 2 4 2" xfId="50894"/>
    <cellStyle name="Normal 8 3 2 2 2 5" xfId="50895"/>
    <cellStyle name="Normal 8 3 2 2 2 5 2" xfId="50896"/>
    <cellStyle name="Normal 8 3 2 2 2 6" xfId="50897"/>
    <cellStyle name="Normal 8 3 2 2 2 7" xfId="50898"/>
    <cellStyle name="Normal 8 3 2 2 2 8" xfId="50899"/>
    <cellStyle name="Normal 8 3 2 2 2 9" xfId="50900"/>
    <cellStyle name="Normal 8 3 2 2 3" xfId="50901"/>
    <cellStyle name="Normal 8 3 2 2 3 2" xfId="50902"/>
    <cellStyle name="Normal 8 3 2 2 3 2 2" xfId="50903"/>
    <cellStyle name="Normal 8 3 2 2 3 3" xfId="50904"/>
    <cellStyle name="Normal 8 3 2 2 3 4" xfId="50905"/>
    <cellStyle name="Normal 8 3 2 2 3 5" xfId="50906"/>
    <cellStyle name="Normal 8 3 2 2 4" xfId="50907"/>
    <cellStyle name="Normal 8 3 2 2 4 2" xfId="50908"/>
    <cellStyle name="Normal 8 3 2 2 5" xfId="50909"/>
    <cellStyle name="Normal 8 3 2 2 5 2" xfId="50910"/>
    <cellStyle name="Normal 8 3 2 2 6" xfId="50911"/>
    <cellStyle name="Normal 8 3 2 2 6 2" xfId="50912"/>
    <cellStyle name="Normal 8 3 2 2 7" xfId="50913"/>
    <cellStyle name="Normal 8 3 2 2 7 2" xfId="50914"/>
    <cellStyle name="Normal 8 3 2 2 8" xfId="50915"/>
    <cellStyle name="Normal 8 3 2 2 9" xfId="50916"/>
    <cellStyle name="Normal 8 3 2 20" xfId="50917"/>
    <cellStyle name="Normal 8 3 2 3" xfId="50918"/>
    <cellStyle name="Normal 8 3 2 3 10" xfId="50919"/>
    <cellStyle name="Normal 8 3 2 3 11" xfId="50920"/>
    <cellStyle name="Normal 8 3 2 3 12" xfId="50921"/>
    <cellStyle name="Normal 8 3 2 3 13" xfId="50922"/>
    <cellStyle name="Normal 8 3 2 3 14" xfId="50923"/>
    <cellStyle name="Normal 8 3 2 3 15" xfId="50924"/>
    <cellStyle name="Normal 8 3 2 3 16" xfId="50925"/>
    <cellStyle name="Normal 8 3 2 3 2" xfId="50926"/>
    <cellStyle name="Normal 8 3 2 3 2 2" xfId="50927"/>
    <cellStyle name="Normal 8 3 2 3 2 2 2" xfId="50928"/>
    <cellStyle name="Normal 8 3 2 3 2 3" xfId="50929"/>
    <cellStyle name="Normal 8 3 2 3 2 3 2" xfId="50930"/>
    <cellStyle name="Normal 8 3 2 3 2 4" xfId="50931"/>
    <cellStyle name="Normal 8 3 2 3 2 4 2" xfId="50932"/>
    <cellStyle name="Normal 8 3 2 3 2 5" xfId="50933"/>
    <cellStyle name="Normal 8 3 2 3 2 5 2" xfId="50934"/>
    <cellStyle name="Normal 8 3 2 3 2 6" xfId="50935"/>
    <cellStyle name="Normal 8 3 2 3 2 7" xfId="50936"/>
    <cellStyle name="Normal 8 3 2 3 2 8" xfId="50937"/>
    <cellStyle name="Normal 8 3 2 3 2 9" xfId="50938"/>
    <cellStyle name="Normal 8 3 2 3 3" xfId="50939"/>
    <cellStyle name="Normal 8 3 2 3 3 2" xfId="50940"/>
    <cellStyle name="Normal 8 3 2 3 3 2 2" xfId="50941"/>
    <cellStyle name="Normal 8 3 2 3 3 3" xfId="50942"/>
    <cellStyle name="Normal 8 3 2 3 3 4" xfId="50943"/>
    <cellStyle name="Normal 8 3 2 3 3 5" xfId="50944"/>
    <cellStyle name="Normal 8 3 2 3 4" xfId="50945"/>
    <cellStyle name="Normal 8 3 2 3 4 2" xfId="50946"/>
    <cellStyle name="Normal 8 3 2 3 5" xfId="50947"/>
    <cellStyle name="Normal 8 3 2 3 5 2" xfId="50948"/>
    <cellStyle name="Normal 8 3 2 3 6" xfId="50949"/>
    <cellStyle name="Normal 8 3 2 3 6 2" xfId="50950"/>
    <cellStyle name="Normal 8 3 2 3 7" xfId="50951"/>
    <cellStyle name="Normal 8 3 2 3 7 2" xfId="50952"/>
    <cellStyle name="Normal 8 3 2 3 8" xfId="50953"/>
    <cellStyle name="Normal 8 3 2 3 9" xfId="50954"/>
    <cellStyle name="Normal 8 3 2 4" xfId="50955"/>
    <cellStyle name="Normal 8 3 2 4 10" xfId="50956"/>
    <cellStyle name="Normal 8 3 2 4 11" xfId="50957"/>
    <cellStyle name="Normal 8 3 2 4 12" xfId="50958"/>
    <cellStyle name="Normal 8 3 2 4 13" xfId="50959"/>
    <cellStyle name="Normal 8 3 2 4 14" xfId="50960"/>
    <cellStyle name="Normal 8 3 2 4 15" xfId="50961"/>
    <cellStyle name="Normal 8 3 2 4 2" xfId="50962"/>
    <cellStyle name="Normal 8 3 2 4 2 2" xfId="50963"/>
    <cellStyle name="Normal 8 3 2 4 2 2 2" xfId="50964"/>
    <cellStyle name="Normal 8 3 2 4 2 3" xfId="50965"/>
    <cellStyle name="Normal 8 3 2 4 2 3 2" xfId="50966"/>
    <cellStyle name="Normal 8 3 2 4 2 4" xfId="50967"/>
    <cellStyle name="Normal 8 3 2 4 2 4 2" xfId="50968"/>
    <cellStyle name="Normal 8 3 2 4 2 5" xfId="50969"/>
    <cellStyle name="Normal 8 3 2 4 2 5 2" xfId="50970"/>
    <cellStyle name="Normal 8 3 2 4 2 6" xfId="50971"/>
    <cellStyle name="Normal 8 3 2 4 2 7" xfId="50972"/>
    <cellStyle name="Normal 8 3 2 4 2 8" xfId="50973"/>
    <cellStyle name="Normal 8 3 2 4 2 9" xfId="50974"/>
    <cellStyle name="Normal 8 3 2 4 3" xfId="50975"/>
    <cellStyle name="Normal 8 3 2 4 3 2" xfId="50976"/>
    <cellStyle name="Normal 8 3 2 4 3 2 2" xfId="50977"/>
    <cellStyle name="Normal 8 3 2 4 3 3" xfId="50978"/>
    <cellStyle name="Normal 8 3 2 4 3 4" xfId="50979"/>
    <cellStyle name="Normal 8 3 2 4 3 5" xfId="50980"/>
    <cellStyle name="Normal 8 3 2 4 4" xfId="50981"/>
    <cellStyle name="Normal 8 3 2 4 4 2" xfId="50982"/>
    <cellStyle name="Normal 8 3 2 4 5" xfId="50983"/>
    <cellStyle name="Normal 8 3 2 4 5 2" xfId="50984"/>
    <cellStyle name="Normal 8 3 2 4 6" xfId="50985"/>
    <cellStyle name="Normal 8 3 2 4 6 2" xfId="50986"/>
    <cellStyle name="Normal 8 3 2 4 7" xfId="50987"/>
    <cellStyle name="Normal 8 3 2 4 7 2" xfId="50988"/>
    <cellStyle name="Normal 8 3 2 4 8" xfId="50989"/>
    <cellStyle name="Normal 8 3 2 4 9" xfId="50990"/>
    <cellStyle name="Normal 8 3 2 5" xfId="50991"/>
    <cellStyle name="Normal 8 3 2 5 10" xfId="50992"/>
    <cellStyle name="Normal 8 3 2 5 11" xfId="50993"/>
    <cellStyle name="Normal 8 3 2 5 12" xfId="50994"/>
    <cellStyle name="Normal 8 3 2 5 13" xfId="50995"/>
    <cellStyle name="Normal 8 3 2 5 14" xfId="50996"/>
    <cellStyle name="Normal 8 3 2 5 2" xfId="50997"/>
    <cellStyle name="Normal 8 3 2 5 2 2" xfId="50998"/>
    <cellStyle name="Normal 8 3 2 5 2 2 2" xfId="50999"/>
    <cellStyle name="Normal 8 3 2 5 2 3" xfId="51000"/>
    <cellStyle name="Normal 8 3 2 5 2 3 2" xfId="51001"/>
    <cellStyle name="Normal 8 3 2 5 2 4" xfId="51002"/>
    <cellStyle name="Normal 8 3 2 5 2 4 2" xfId="51003"/>
    <cellStyle name="Normal 8 3 2 5 2 5" xfId="51004"/>
    <cellStyle name="Normal 8 3 2 5 2 5 2" xfId="51005"/>
    <cellStyle name="Normal 8 3 2 5 2 6" xfId="51006"/>
    <cellStyle name="Normal 8 3 2 5 2 7" xfId="51007"/>
    <cellStyle name="Normal 8 3 2 5 2 8" xfId="51008"/>
    <cellStyle name="Normal 8 3 2 5 2 9" xfId="51009"/>
    <cellStyle name="Normal 8 3 2 5 3" xfId="51010"/>
    <cellStyle name="Normal 8 3 2 5 3 2" xfId="51011"/>
    <cellStyle name="Normal 8 3 2 5 3 2 2" xfId="51012"/>
    <cellStyle name="Normal 8 3 2 5 3 3" xfId="51013"/>
    <cellStyle name="Normal 8 3 2 5 3 4" xfId="51014"/>
    <cellStyle name="Normal 8 3 2 5 3 5" xfId="51015"/>
    <cellStyle name="Normal 8 3 2 5 4" xfId="51016"/>
    <cellStyle name="Normal 8 3 2 5 4 2" xfId="51017"/>
    <cellStyle name="Normal 8 3 2 5 5" xfId="51018"/>
    <cellStyle name="Normal 8 3 2 5 5 2" xfId="51019"/>
    <cellStyle name="Normal 8 3 2 5 6" xfId="51020"/>
    <cellStyle name="Normal 8 3 2 5 6 2" xfId="51021"/>
    <cellStyle name="Normal 8 3 2 5 7" xfId="51022"/>
    <cellStyle name="Normal 8 3 2 5 7 2" xfId="51023"/>
    <cellStyle name="Normal 8 3 2 5 8" xfId="51024"/>
    <cellStyle name="Normal 8 3 2 5 9" xfId="51025"/>
    <cellStyle name="Normal 8 3 2 6" xfId="51026"/>
    <cellStyle name="Normal 8 3 2 6 2" xfId="51027"/>
    <cellStyle name="Normal 8 3 2 6 2 2" xfId="51028"/>
    <cellStyle name="Normal 8 3 2 6 3" xfId="51029"/>
    <cellStyle name="Normal 8 3 2 6 3 2" xfId="51030"/>
    <cellStyle name="Normal 8 3 2 6 4" xfId="51031"/>
    <cellStyle name="Normal 8 3 2 6 4 2" xfId="51032"/>
    <cellStyle name="Normal 8 3 2 6 5" xfId="51033"/>
    <cellStyle name="Normal 8 3 2 6 5 2" xfId="51034"/>
    <cellStyle name="Normal 8 3 2 6 6" xfId="51035"/>
    <cellStyle name="Normal 8 3 2 6 7" xfId="51036"/>
    <cellStyle name="Normal 8 3 2 6 8" xfId="51037"/>
    <cellStyle name="Normal 8 3 2 6 9" xfId="51038"/>
    <cellStyle name="Normal 8 3 2 7" xfId="51039"/>
    <cellStyle name="Normal 8 3 2 7 2" xfId="51040"/>
    <cellStyle name="Normal 8 3 2 7 2 2" xfId="51041"/>
    <cellStyle name="Normal 8 3 2 7 3" xfId="51042"/>
    <cellStyle name="Normal 8 3 2 7 4" xfId="51043"/>
    <cellStyle name="Normal 8 3 2 7 5" xfId="51044"/>
    <cellStyle name="Normal 8 3 2 8" xfId="51045"/>
    <cellStyle name="Normal 8 3 2 8 2" xfId="51046"/>
    <cellStyle name="Normal 8 3 2 9" xfId="51047"/>
    <cellStyle name="Normal 8 3 2 9 2" xfId="51048"/>
    <cellStyle name="Normal 8 3 20" xfId="51049"/>
    <cellStyle name="Normal 8 3 21" xfId="51050"/>
    <cellStyle name="Normal 8 3 22" xfId="51051"/>
    <cellStyle name="Normal 8 3 23" xfId="51052"/>
    <cellStyle name="Normal 8 3 24" xfId="51053"/>
    <cellStyle name="Normal 8 3 25" xfId="51054"/>
    <cellStyle name="Normal 8 3 3" xfId="51055"/>
    <cellStyle name="Normal 8 3 3 10" xfId="51056"/>
    <cellStyle name="Normal 8 3 3 11" xfId="51057"/>
    <cellStyle name="Normal 8 3 3 12" xfId="51058"/>
    <cellStyle name="Normal 8 3 3 13" xfId="51059"/>
    <cellStyle name="Normal 8 3 3 14" xfId="51060"/>
    <cellStyle name="Normal 8 3 3 15" xfId="51061"/>
    <cellStyle name="Normal 8 3 3 16" xfId="51062"/>
    <cellStyle name="Normal 8 3 3 17" xfId="51063"/>
    <cellStyle name="Normal 8 3 3 18" xfId="51064"/>
    <cellStyle name="Normal 8 3 3 2" xfId="51065"/>
    <cellStyle name="Normal 8 3 3 2 10" xfId="51066"/>
    <cellStyle name="Normal 8 3 3 2 11" xfId="51067"/>
    <cellStyle name="Normal 8 3 3 2 12" xfId="51068"/>
    <cellStyle name="Normal 8 3 3 2 13" xfId="51069"/>
    <cellStyle name="Normal 8 3 3 2 2" xfId="51070"/>
    <cellStyle name="Normal 8 3 3 2 2 2" xfId="51071"/>
    <cellStyle name="Normal 8 3 3 2 2 2 2" xfId="51072"/>
    <cellStyle name="Normal 8 3 3 2 2 3" xfId="51073"/>
    <cellStyle name="Normal 8 3 3 2 2 4" xfId="51074"/>
    <cellStyle name="Normal 8 3 3 2 2 5" xfId="51075"/>
    <cellStyle name="Normal 8 3 3 2 3" xfId="51076"/>
    <cellStyle name="Normal 8 3 3 2 3 2" xfId="51077"/>
    <cellStyle name="Normal 8 3 3 2 4" xfId="51078"/>
    <cellStyle name="Normal 8 3 3 2 4 2" xfId="51079"/>
    <cellStyle name="Normal 8 3 3 2 5" xfId="51080"/>
    <cellStyle name="Normal 8 3 3 2 5 2" xfId="51081"/>
    <cellStyle name="Normal 8 3 3 2 6" xfId="51082"/>
    <cellStyle name="Normal 8 3 3 2 6 2" xfId="51083"/>
    <cellStyle name="Normal 8 3 3 2 7" xfId="51084"/>
    <cellStyle name="Normal 8 3 3 2 8" xfId="51085"/>
    <cellStyle name="Normal 8 3 3 2 9" xfId="51086"/>
    <cellStyle name="Normal 8 3 3 3" xfId="51087"/>
    <cellStyle name="Normal 8 3 3 3 2" xfId="51088"/>
    <cellStyle name="Normal 8 3 3 3 2 2" xfId="51089"/>
    <cellStyle name="Normal 8 3 3 3 3" xfId="51090"/>
    <cellStyle name="Normal 8 3 3 3 4" xfId="51091"/>
    <cellStyle name="Normal 8 3 3 3 5" xfId="51092"/>
    <cellStyle name="Normal 8 3 3 4" xfId="51093"/>
    <cellStyle name="Normal 8 3 3 4 2" xfId="51094"/>
    <cellStyle name="Normal 8 3 3 5" xfId="51095"/>
    <cellStyle name="Normal 8 3 3 5 2" xfId="51096"/>
    <cellStyle name="Normal 8 3 3 6" xfId="51097"/>
    <cellStyle name="Normal 8 3 3 6 2" xfId="51098"/>
    <cellStyle name="Normal 8 3 3 7" xfId="51099"/>
    <cellStyle name="Normal 8 3 3 7 2" xfId="51100"/>
    <cellStyle name="Normal 8 3 3 8" xfId="51101"/>
    <cellStyle name="Normal 8 3 3 9" xfId="51102"/>
    <cellStyle name="Normal 8 3 4" xfId="51103"/>
    <cellStyle name="Normal 8 3 4 10" xfId="51104"/>
    <cellStyle name="Normal 8 3 4 11" xfId="51105"/>
    <cellStyle name="Normal 8 3 4 12" xfId="51106"/>
    <cellStyle name="Normal 8 3 4 13" xfId="51107"/>
    <cellStyle name="Normal 8 3 4 14" xfId="51108"/>
    <cellStyle name="Normal 8 3 4 15" xfId="51109"/>
    <cellStyle name="Normal 8 3 4 16" xfId="51110"/>
    <cellStyle name="Normal 8 3 4 17" xfId="51111"/>
    <cellStyle name="Normal 8 3 4 18" xfId="51112"/>
    <cellStyle name="Normal 8 3 4 2" xfId="51113"/>
    <cellStyle name="Normal 8 3 4 2 10" xfId="51114"/>
    <cellStyle name="Normal 8 3 4 2 11" xfId="51115"/>
    <cellStyle name="Normal 8 3 4 2 12" xfId="51116"/>
    <cellStyle name="Normal 8 3 4 2 13" xfId="51117"/>
    <cellStyle name="Normal 8 3 4 2 2" xfId="51118"/>
    <cellStyle name="Normal 8 3 4 2 2 2" xfId="51119"/>
    <cellStyle name="Normal 8 3 4 2 2 2 2" xfId="51120"/>
    <cellStyle name="Normal 8 3 4 2 2 3" xfId="51121"/>
    <cellStyle name="Normal 8 3 4 2 2 4" xfId="51122"/>
    <cellStyle name="Normal 8 3 4 2 2 5" xfId="51123"/>
    <cellStyle name="Normal 8 3 4 2 3" xfId="51124"/>
    <cellStyle name="Normal 8 3 4 2 3 2" xfId="51125"/>
    <cellStyle name="Normal 8 3 4 2 4" xfId="51126"/>
    <cellStyle name="Normal 8 3 4 2 4 2" xfId="51127"/>
    <cellStyle name="Normal 8 3 4 2 5" xfId="51128"/>
    <cellStyle name="Normal 8 3 4 2 5 2" xfId="51129"/>
    <cellStyle name="Normal 8 3 4 2 6" xfId="51130"/>
    <cellStyle name="Normal 8 3 4 2 6 2" xfId="51131"/>
    <cellStyle name="Normal 8 3 4 2 7" xfId="51132"/>
    <cellStyle name="Normal 8 3 4 2 8" xfId="51133"/>
    <cellStyle name="Normal 8 3 4 2 9" xfId="51134"/>
    <cellStyle name="Normal 8 3 4 3" xfId="51135"/>
    <cellStyle name="Normal 8 3 4 3 2" xfId="51136"/>
    <cellStyle name="Normal 8 3 4 3 2 2" xfId="51137"/>
    <cellStyle name="Normal 8 3 4 3 3" xfId="51138"/>
    <cellStyle name="Normal 8 3 4 3 4" xfId="51139"/>
    <cellStyle name="Normal 8 3 4 3 5" xfId="51140"/>
    <cellStyle name="Normal 8 3 4 4" xfId="51141"/>
    <cellStyle name="Normal 8 3 4 4 2" xfId="51142"/>
    <cellStyle name="Normal 8 3 4 5" xfId="51143"/>
    <cellStyle name="Normal 8 3 4 5 2" xfId="51144"/>
    <cellStyle name="Normal 8 3 4 6" xfId="51145"/>
    <cellStyle name="Normal 8 3 4 6 2" xfId="51146"/>
    <cellStyle name="Normal 8 3 4 7" xfId="51147"/>
    <cellStyle name="Normal 8 3 4 7 2" xfId="51148"/>
    <cellStyle name="Normal 8 3 4 8" xfId="51149"/>
    <cellStyle name="Normal 8 3 4 9" xfId="51150"/>
    <cellStyle name="Normal 8 3 5" xfId="51151"/>
    <cellStyle name="Normal 8 3 5 10" xfId="51152"/>
    <cellStyle name="Normal 8 3 5 11" xfId="51153"/>
    <cellStyle name="Normal 8 3 5 12" xfId="51154"/>
    <cellStyle name="Normal 8 3 5 13" xfId="51155"/>
    <cellStyle name="Normal 8 3 5 14" xfId="51156"/>
    <cellStyle name="Normal 8 3 5 15" xfId="51157"/>
    <cellStyle name="Normal 8 3 5 16" xfId="51158"/>
    <cellStyle name="Normal 8 3 5 17" xfId="51159"/>
    <cellStyle name="Normal 8 3 5 18" xfId="51160"/>
    <cellStyle name="Normal 8 3 5 2" xfId="51161"/>
    <cellStyle name="Normal 8 3 5 2 10" xfId="51162"/>
    <cellStyle name="Normal 8 3 5 2 11" xfId="51163"/>
    <cellStyle name="Normal 8 3 5 2 12" xfId="51164"/>
    <cellStyle name="Normal 8 3 5 2 13" xfId="51165"/>
    <cellStyle name="Normal 8 3 5 2 2" xfId="51166"/>
    <cellStyle name="Normal 8 3 5 2 2 2" xfId="51167"/>
    <cellStyle name="Normal 8 3 5 2 2 2 2" xfId="51168"/>
    <cellStyle name="Normal 8 3 5 2 2 3" xfId="51169"/>
    <cellStyle name="Normal 8 3 5 2 2 4" xfId="51170"/>
    <cellStyle name="Normal 8 3 5 2 2 5" xfId="51171"/>
    <cellStyle name="Normal 8 3 5 2 3" xfId="51172"/>
    <cellStyle name="Normal 8 3 5 2 3 2" xfId="51173"/>
    <cellStyle name="Normal 8 3 5 2 4" xfId="51174"/>
    <cellStyle name="Normal 8 3 5 2 4 2" xfId="51175"/>
    <cellStyle name="Normal 8 3 5 2 5" xfId="51176"/>
    <cellStyle name="Normal 8 3 5 2 5 2" xfId="51177"/>
    <cellStyle name="Normal 8 3 5 2 6" xfId="51178"/>
    <cellStyle name="Normal 8 3 5 2 6 2" xfId="51179"/>
    <cellStyle name="Normal 8 3 5 2 7" xfId="51180"/>
    <cellStyle name="Normal 8 3 5 2 8" xfId="51181"/>
    <cellStyle name="Normal 8 3 5 2 9" xfId="51182"/>
    <cellStyle name="Normal 8 3 5 3" xfId="51183"/>
    <cellStyle name="Normal 8 3 5 3 2" xfId="51184"/>
    <cellStyle name="Normal 8 3 5 3 2 2" xfId="51185"/>
    <cellStyle name="Normal 8 3 5 3 3" xfId="51186"/>
    <cellStyle name="Normal 8 3 5 3 4" xfId="51187"/>
    <cellStyle name="Normal 8 3 5 3 5" xfId="51188"/>
    <cellStyle name="Normal 8 3 5 4" xfId="51189"/>
    <cellStyle name="Normal 8 3 5 4 2" xfId="51190"/>
    <cellStyle name="Normal 8 3 5 5" xfId="51191"/>
    <cellStyle name="Normal 8 3 5 5 2" xfId="51192"/>
    <cellStyle name="Normal 8 3 5 6" xfId="51193"/>
    <cellStyle name="Normal 8 3 5 6 2" xfId="51194"/>
    <cellStyle name="Normal 8 3 5 7" xfId="51195"/>
    <cellStyle name="Normal 8 3 5 7 2" xfId="51196"/>
    <cellStyle name="Normal 8 3 5 8" xfId="51197"/>
    <cellStyle name="Normal 8 3 5 9" xfId="51198"/>
    <cellStyle name="Normal 8 3 6" xfId="51199"/>
    <cellStyle name="Normal 8 3 6 10" xfId="51200"/>
    <cellStyle name="Normal 8 3 6 11" xfId="51201"/>
    <cellStyle name="Normal 8 3 6 12" xfId="51202"/>
    <cellStyle name="Normal 8 3 6 13" xfId="51203"/>
    <cellStyle name="Normal 8 3 6 14" xfId="51204"/>
    <cellStyle name="Normal 8 3 6 15" xfId="51205"/>
    <cellStyle name="Normal 8 3 6 16" xfId="51206"/>
    <cellStyle name="Normal 8 3 6 17" xfId="51207"/>
    <cellStyle name="Normal 8 3 6 18" xfId="51208"/>
    <cellStyle name="Normal 8 3 6 2" xfId="51209"/>
    <cellStyle name="Normal 8 3 6 2 10" xfId="51210"/>
    <cellStyle name="Normal 8 3 6 2 11" xfId="51211"/>
    <cellStyle name="Normal 8 3 6 2 12" xfId="51212"/>
    <cellStyle name="Normal 8 3 6 2 13" xfId="51213"/>
    <cellStyle name="Normal 8 3 6 2 2" xfId="51214"/>
    <cellStyle name="Normal 8 3 6 2 2 2" xfId="51215"/>
    <cellStyle name="Normal 8 3 6 2 2 2 2" xfId="51216"/>
    <cellStyle name="Normal 8 3 6 2 2 3" xfId="51217"/>
    <cellStyle name="Normal 8 3 6 2 2 4" xfId="51218"/>
    <cellStyle name="Normal 8 3 6 2 2 5" xfId="51219"/>
    <cellStyle name="Normal 8 3 6 2 3" xfId="51220"/>
    <cellStyle name="Normal 8 3 6 2 3 2" xfId="51221"/>
    <cellStyle name="Normal 8 3 6 2 4" xfId="51222"/>
    <cellStyle name="Normal 8 3 6 2 4 2" xfId="51223"/>
    <cellStyle name="Normal 8 3 6 2 5" xfId="51224"/>
    <cellStyle name="Normal 8 3 6 2 5 2" xfId="51225"/>
    <cellStyle name="Normal 8 3 6 2 6" xfId="51226"/>
    <cellStyle name="Normal 8 3 6 2 6 2" xfId="51227"/>
    <cellStyle name="Normal 8 3 6 2 7" xfId="51228"/>
    <cellStyle name="Normal 8 3 6 2 8" xfId="51229"/>
    <cellStyle name="Normal 8 3 6 2 9" xfId="51230"/>
    <cellStyle name="Normal 8 3 6 3" xfId="51231"/>
    <cellStyle name="Normal 8 3 6 3 2" xfId="51232"/>
    <cellStyle name="Normal 8 3 6 3 2 2" xfId="51233"/>
    <cellStyle name="Normal 8 3 6 3 3" xfId="51234"/>
    <cellStyle name="Normal 8 3 6 3 4" xfId="51235"/>
    <cellStyle name="Normal 8 3 6 3 5" xfId="51236"/>
    <cellStyle name="Normal 8 3 6 4" xfId="51237"/>
    <cellStyle name="Normal 8 3 6 4 2" xfId="51238"/>
    <cellStyle name="Normal 8 3 6 5" xfId="51239"/>
    <cellStyle name="Normal 8 3 6 5 2" xfId="51240"/>
    <cellStyle name="Normal 8 3 6 6" xfId="51241"/>
    <cellStyle name="Normal 8 3 6 6 2" xfId="51242"/>
    <cellStyle name="Normal 8 3 6 7" xfId="51243"/>
    <cellStyle name="Normal 8 3 6 7 2" xfId="51244"/>
    <cellStyle name="Normal 8 3 6 8" xfId="51245"/>
    <cellStyle name="Normal 8 3 6 9" xfId="51246"/>
    <cellStyle name="Normal 8 3 7" xfId="51247"/>
    <cellStyle name="Normal 8 3 7 10" xfId="51248"/>
    <cellStyle name="Normal 8 3 7 11" xfId="51249"/>
    <cellStyle name="Normal 8 3 7 12" xfId="51250"/>
    <cellStyle name="Normal 8 3 7 13" xfId="51251"/>
    <cellStyle name="Normal 8 3 7 14" xfId="51252"/>
    <cellStyle name="Normal 8 3 7 15" xfId="51253"/>
    <cellStyle name="Normal 8 3 7 16" xfId="51254"/>
    <cellStyle name="Normal 8 3 7 17" xfId="51255"/>
    <cellStyle name="Normal 8 3 7 18" xfId="51256"/>
    <cellStyle name="Normal 8 3 7 2" xfId="51257"/>
    <cellStyle name="Normal 8 3 7 2 10" xfId="51258"/>
    <cellStyle name="Normal 8 3 7 2 11" xfId="51259"/>
    <cellStyle name="Normal 8 3 7 2 12" xfId="51260"/>
    <cellStyle name="Normal 8 3 7 2 13" xfId="51261"/>
    <cellStyle name="Normal 8 3 7 2 2" xfId="51262"/>
    <cellStyle name="Normal 8 3 7 2 2 2" xfId="51263"/>
    <cellStyle name="Normal 8 3 7 2 2 2 2" xfId="51264"/>
    <cellStyle name="Normal 8 3 7 2 2 3" xfId="51265"/>
    <cellStyle name="Normal 8 3 7 2 2 4" xfId="51266"/>
    <cellStyle name="Normal 8 3 7 2 2 5" xfId="51267"/>
    <cellStyle name="Normal 8 3 7 2 3" xfId="51268"/>
    <cellStyle name="Normal 8 3 7 2 3 2" xfId="51269"/>
    <cellStyle name="Normal 8 3 7 2 4" xfId="51270"/>
    <cellStyle name="Normal 8 3 7 2 4 2" xfId="51271"/>
    <cellStyle name="Normal 8 3 7 2 5" xfId="51272"/>
    <cellStyle name="Normal 8 3 7 2 5 2" xfId="51273"/>
    <cellStyle name="Normal 8 3 7 2 6" xfId="51274"/>
    <cellStyle name="Normal 8 3 7 2 6 2" xfId="51275"/>
    <cellStyle name="Normal 8 3 7 2 7" xfId="51276"/>
    <cellStyle name="Normal 8 3 7 2 8" xfId="51277"/>
    <cellStyle name="Normal 8 3 7 2 9" xfId="51278"/>
    <cellStyle name="Normal 8 3 7 3" xfId="51279"/>
    <cellStyle name="Normal 8 3 7 3 2" xfId="51280"/>
    <cellStyle name="Normal 8 3 7 3 2 2" xfId="51281"/>
    <cellStyle name="Normal 8 3 7 3 3" xfId="51282"/>
    <cellStyle name="Normal 8 3 7 3 4" xfId="51283"/>
    <cellStyle name="Normal 8 3 7 3 5" xfId="51284"/>
    <cellStyle name="Normal 8 3 7 4" xfId="51285"/>
    <cellStyle name="Normal 8 3 7 4 2" xfId="51286"/>
    <cellStyle name="Normal 8 3 7 5" xfId="51287"/>
    <cellStyle name="Normal 8 3 7 5 2" xfId="51288"/>
    <cellStyle name="Normal 8 3 7 6" xfId="51289"/>
    <cellStyle name="Normal 8 3 7 6 2" xfId="51290"/>
    <cellStyle name="Normal 8 3 7 7" xfId="51291"/>
    <cellStyle name="Normal 8 3 7 7 2" xfId="51292"/>
    <cellStyle name="Normal 8 3 7 8" xfId="51293"/>
    <cellStyle name="Normal 8 3 7 9" xfId="51294"/>
    <cellStyle name="Normal 8 3 8" xfId="51295"/>
    <cellStyle name="Normal 8 3 8 10" xfId="51296"/>
    <cellStyle name="Normal 8 3 8 11" xfId="51297"/>
    <cellStyle name="Normal 8 3 8 12" xfId="51298"/>
    <cellStyle name="Normal 8 3 8 13" xfId="51299"/>
    <cellStyle name="Normal 8 3 8 14" xfId="51300"/>
    <cellStyle name="Normal 8 3 8 15" xfId="51301"/>
    <cellStyle name="Normal 8 3 8 16" xfId="51302"/>
    <cellStyle name="Normal 8 3 8 2" xfId="51303"/>
    <cellStyle name="Normal 8 3 8 2 2" xfId="51304"/>
    <cellStyle name="Normal 8 3 8 2 2 2" xfId="51305"/>
    <cellStyle name="Normal 8 3 8 2 3" xfId="51306"/>
    <cellStyle name="Normal 8 3 8 2 3 2" xfId="51307"/>
    <cellStyle name="Normal 8 3 8 2 4" xfId="51308"/>
    <cellStyle name="Normal 8 3 8 2 4 2" xfId="51309"/>
    <cellStyle name="Normal 8 3 8 2 5" xfId="51310"/>
    <cellStyle name="Normal 8 3 8 2 5 2" xfId="51311"/>
    <cellStyle name="Normal 8 3 8 2 6" xfId="51312"/>
    <cellStyle name="Normal 8 3 8 2 7" xfId="51313"/>
    <cellStyle name="Normal 8 3 8 2 8" xfId="51314"/>
    <cellStyle name="Normal 8 3 8 2 9" xfId="51315"/>
    <cellStyle name="Normal 8 3 8 3" xfId="51316"/>
    <cellStyle name="Normal 8 3 8 3 2" xfId="51317"/>
    <cellStyle name="Normal 8 3 8 3 2 2" xfId="51318"/>
    <cellStyle name="Normal 8 3 8 3 3" xfId="51319"/>
    <cellStyle name="Normal 8 3 8 3 4" xfId="51320"/>
    <cellStyle name="Normal 8 3 8 3 5" xfId="51321"/>
    <cellStyle name="Normal 8 3 8 4" xfId="51322"/>
    <cellStyle name="Normal 8 3 8 4 2" xfId="51323"/>
    <cellStyle name="Normal 8 3 8 5" xfId="51324"/>
    <cellStyle name="Normal 8 3 8 5 2" xfId="51325"/>
    <cellStyle name="Normal 8 3 8 6" xfId="51326"/>
    <cellStyle name="Normal 8 3 8 6 2" xfId="51327"/>
    <cellStyle name="Normal 8 3 8 7" xfId="51328"/>
    <cellStyle name="Normal 8 3 8 7 2" xfId="51329"/>
    <cellStyle name="Normal 8 3 8 8" xfId="51330"/>
    <cellStyle name="Normal 8 3 8 9" xfId="51331"/>
    <cellStyle name="Normal 8 3 9" xfId="51332"/>
    <cellStyle name="Normal 8 3 9 10" xfId="51333"/>
    <cellStyle name="Normal 8 3 9 11" xfId="51334"/>
    <cellStyle name="Normal 8 3 9 12" xfId="51335"/>
    <cellStyle name="Normal 8 3 9 13" xfId="51336"/>
    <cellStyle name="Normal 8 3 9 14" xfId="51337"/>
    <cellStyle name="Normal 8 3 9 15" xfId="51338"/>
    <cellStyle name="Normal 8 3 9 2" xfId="51339"/>
    <cellStyle name="Normal 8 3 9 2 2" xfId="51340"/>
    <cellStyle name="Normal 8 3 9 2 2 2" xfId="51341"/>
    <cellStyle name="Normal 8 3 9 2 3" xfId="51342"/>
    <cellStyle name="Normal 8 3 9 2 3 2" xfId="51343"/>
    <cellStyle name="Normal 8 3 9 2 4" xfId="51344"/>
    <cellStyle name="Normal 8 3 9 2 4 2" xfId="51345"/>
    <cellStyle name="Normal 8 3 9 2 5" xfId="51346"/>
    <cellStyle name="Normal 8 3 9 2 5 2" xfId="51347"/>
    <cellStyle name="Normal 8 3 9 2 6" xfId="51348"/>
    <cellStyle name="Normal 8 3 9 2 7" xfId="51349"/>
    <cellStyle name="Normal 8 3 9 2 8" xfId="51350"/>
    <cellStyle name="Normal 8 3 9 2 9" xfId="51351"/>
    <cellStyle name="Normal 8 3 9 3" xfId="51352"/>
    <cellStyle name="Normal 8 3 9 3 2" xfId="51353"/>
    <cellStyle name="Normal 8 3 9 3 2 2" xfId="51354"/>
    <cellStyle name="Normal 8 3 9 3 3" xfId="51355"/>
    <cellStyle name="Normal 8 3 9 3 4" xfId="51356"/>
    <cellStyle name="Normal 8 3 9 3 5" xfId="51357"/>
    <cellStyle name="Normal 8 3 9 4" xfId="51358"/>
    <cellStyle name="Normal 8 3 9 4 2" xfId="51359"/>
    <cellStyle name="Normal 8 3 9 5" xfId="51360"/>
    <cellStyle name="Normal 8 3 9 5 2" xfId="51361"/>
    <cellStyle name="Normal 8 3 9 6" xfId="51362"/>
    <cellStyle name="Normal 8 3 9 6 2" xfId="51363"/>
    <cellStyle name="Normal 8 3 9 7" xfId="51364"/>
    <cellStyle name="Normal 8 3 9 7 2" xfId="51365"/>
    <cellStyle name="Normal 8 3 9 8" xfId="51366"/>
    <cellStyle name="Normal 8 3 9 9" xfId="51367"/>
    <cellStyle name="Normal 8 30" xfId="51368"/>
    <cellStyle name="Normal 8 31" xfId="51369"/>
    <cellStyle name="Normal 8 32" xfId="51370"/>
    <cellStyle name="Normal 8 33" xfId="51371"/>
    <cellStyle name="Normal 8 34" xfId="51372"/>
    <cellStyle name="Normal 8 35" xfId="51373"/>
    <cellStyle name="Normal 8 36" xfId="51374"/>
    <cellStyle name="Normal 8 37" xfId="51375"/>
    <cellStyle name="Normal 8 38" xfId="51376"/>
    <cellStyle name="Normal 8 39" xfId="51377"/>
    <cellStyle name="Normal 8 4" xfId="1031"/>
    <cellStyle name="Normal 8 4 10" xfId="51379"/>
    <cellStyle name="Normal 8 4 10 10" xfId="51380"/>
    <cellStyle name="Normal 8 4 10 11" xfId="51381"/>
    <cellStyle name="Normal 8 4 10 12" xfId="51382"/>
    <cellStyle name="Normal 8 4 10 13" xfId="51383"/>
    <cellStyle name="Normal 8 4 10 14" xfId="51384"/>
    <cellStyle name="Normal 8 4 10 2" xfId="51385"/>
    <cellStyle name="Normal 8 4 10 2 2" xfId="51386"/>
    <cellStyle name="Normal 8 4 10 2 2 2" xfId="51387"/>
    <cellStyle name="Normal 8 4 10 2 3" xfId="51388"/>
    <cellStyle name="Normal 8 4 10 2 3 2" xfId="51389"/>
    <cellStyle name="Normal 8 4 10 2 4" xfId="51390"/>
    <cellStyle name="Normal 8 4 10 2 4 2" xfId="51391"/>
    <cellStyle name="Normal 8 4 10 2 5" xfId="51392"/>
    <cellStyle name="Normal 8 4 10 2 5 2" xfId="51393"/>
    <cellStyle name="Normal 8 4 10 2 6" xfId="51394"/>
    <cellStyle name="Normal 8 4 10 2 7" xfId="51395"/>
    <cellStyle name="Normal 8 4 10 2 8" xfId="51396"/>
    <cellStyle name="Normal 8 4 10 2 9" xfId="51397"/>
    <cellStyle name="Normal 8 4 10 3" xfId="51398"/>
    <cellStyle name="Normal 8 4 10 3 2" xfId="51399"/>
    <cellStyle name="Normal 8 4 10 3 2 2" xfId="51400"/>
    <cellStyle name="Normal 8 4 10 3 3" xfId="51401"/>
    <cellStyle name="Normal 8 4 10 3 4" xfId="51402"/>
    <cellStyle name="Normal 8 4 10 3 5" xfId="51403"/>
    <cellStyle name="Normal 8 4 10 4" xfId="51404"/>
    <cellStyle name="Normal 8 4 10 4 2" xfId="51405"/>
    <cellStyle name="Normal 8 4 10 5" xfId="51406"/>
    <cellStyle name="Normal 8 4 10 5 2" xfId="51407"/>
    <cellStyle name="Normal 8 4 10 6" xfId="51408"/>
    <cellStyle name="Normal 8 4 10 6 2" xfId="51409"/>
    <cellStyle name="Normal 8 4 10 7" xfId="51410"/>
    <cellStyle name="Normal 8 4 10 7 2" xfId="51411"/>
    <cellStyle name="Normal 8 4 10 8" xfId="51412"/>
    <cellStyle name="Normal 8 4 10 9" xfId="51413"/>
    <cellStyle name="Normal 8 4 11" xfId="51414"/>
    <cellStyle name="Normal 8 4 11 2" xfId="51415"/>
    <cellStyle name="Normal 8 4 11 2 2" xfId="51416"/>
    <cellStyle name="Normal 8 4 11 3" xfId="51417"/>
    <cellStyle name="Normal 8 4 11 3 2" xfId="51418"/>
    <cellStyle name="Normal 8 4 11 4" xfId="51419"/>
    <cellStyle name="Normal 8 4 11 4 2" xfId="51420"/>
    <cellStyle name="Normal 8 4 11 5" xfId="51421"/>
    <cellStyle name="Normal 8 4 11 5 2" xfId="51422"/>
    <cellStyle name="Normal 8 4 11 6" xfId="51423"/>
    <cellStyle name="Normal 8 4 11 7" xfId="51424"/>
    <cellStyle name="Normal 8 4 11 8" xfId="51425"/>
    <cellStyle name="Normal 8 4 11 9" xfId="51426"/>
    <cellStyle name="Normal 8 4 12" xfId="51427"/>
    <cellStyle name="Normal 8 4 12 2" xfId="51428"/>
    <cellStyle name="Normal 8 4 12 2 2" xfId="51429"/>
    <cellStyle name="Normal 8 4 12 3" xfId="51430"/>
    <cellStyle name="Normal 8 4 12 4" xfId="51431"/>
    <cellStyle name="Normal 8 4 12 5" xfId="51432"/>
    <cellStyle name="Normal 8 4 13" xfId="51433"/>
    <cellStyle name="Normal 8 4 13 2" xfId="51434"/>
    <cellStyle name="Normal 8 4 14" xfId="51435"/>
    <cellStyle name="Normal 8 4 14 2" xfId="51436"/>
    <cellStyle name="Normal 8 4 15" xfId="51437"/>
    <cellStyle name="Normal 8 4 15 2" xfId="51438"/>
    <cellStyle name="Normal 8 4 16" xfId="51439"/>
    <cellStyle name="Normal 8 4 16 2" xfId="51440"/>
    <cellStyle name="Normal 8 4 17" xfId="51441"/>
    <cellStyle name="Normal 8 4 18" xfId="51442"/>
    <cellStyle name="Normal 8 4 19" xfId="51443"/>
    <cellStyle name="Normal 8 4 2" xfId="51444"/>
    <cellStyle name="Normal 8 4 2 10" xfId="51445"/>
    <cellStyle name="Normal 8 4 2 10 2" xfId="51446"/>
    <cellStyle name="Normal 8 4 2 11" xfId="51447"/>
    <cellStyle name="Normal 8 4 2 11 2" xfId="51448"/>
    <cellStyle name="Normal 8 4 2 12" xfId="51449"/>
    <cellStyle name="Normal 8 4 2 13" xfId="51450"/>
    <cellStyle name="Normal 8 4 2 14" xfId="51451"/>
    <cellStyle name="Normal 8 4 2 15" xfId="51452"/>
    <cellStyle name="Normal 8 4 2 16" xfId="51453"/>
    <cellStyle name="Normal 8 4 2 17" xfId="51454"/>
    <cellStyle name="Normal 8 4 2 18" xfId="51455"/>
    <cellStyle name="Normal 8 4 2 19" xfId="51456"/>
    <cellStyle name="Normal 8 4 2 2" xfId="51457"/>
    <cellStyle name="Normal 8 4 2 2 10" xfId="51458"/>
    <cellStyle name="Normal 8 4 2 2 11" xfId="51459"/>
    <cellStyle name="Normal 8 4 2 2 12" xfId="51460"/>
    <cellStyle name="Normal 8 4 2 2 13" xfId="51461"/>
    <cellStyle name="Normal 8 4 2 2 14" xfId="51462"/>
    <cellStyle name="Normal 8 4 2 2 15" xfId="51463"/>
    <cellStyle name="Normal 8 4 2 2 16" xfId="51464"/>
    <cellStyle name="Normal 8 4 2 2 2" xfId="51465"/>
    <cellStyle name="Normal 8 4 2 2 2 2" xfId="51466"/>
    <cellStyle name="Normal 8 4 2 2 2 2 2" xfId="51467"/>
    <cellStyle name="Normal 8 4 2 2 2 3" xfId="51468"/>
    <cellStyle name="Normal 8 4 2 2 2 3 2" xfId="51469"/>
    <cellStyle name="Normal 8 4 2 2 2 4" xfId="51470"/>
    <cellStyle name="Normal 8 4 2 2 2 4 2" xfId="51471"/>
    <cellStyle name="Normal 8 4 2 2 2 5" xfId="51472"/>
    <cellStyle name="Normal 8 4 2 2 2 5 2" xfId="51473"/>
    <cellStyle name="Normal 8 4 2 2 2 6" xfId="51474"/>
    <cellStyle name="Normal 8 4 2 2 2 7" xfId="51475"/>
    <cellStyle name="Normal 8 4 2 2 2 8" xfId="51476"/>
    <cellStyle name="Normal 8 4 2 2 2 9" xfId="51477"/>
    <cellStyle name="Normal 8 4 2 2 3" xfId="51478"/>
    <cellStyle name="Normal 8 4 2 2 3 2" xfId="51479"/>
    <cellStyle name="Normal 8 4 2 2 3 2 2" xfId="51480"/>
    <cellStyle name="Normal 8 4 2 2 3 3" xfId="51481"/>
    <cellStyle name="Normal 8 4 2 2 3 4" xfId="51482"/>
    <cellStyle name="Normal 8 4 2 2 3 5" xfId="51483"/>
    <cellStyle name="Normal 8 4 2 2 4" xfId="51484"/>
    <cellStyle name="Normal 8 4 2 2 4 2" xfId="51485"/>
    <cellStyle name="Normal 8 4 2 2 5" xfId="51486"/>
    <cellStyle name="Normal 8 4 2 2 5 2" xfId="51487"/>
    <cellStyle name="Normal 8 4 2 2 6" xfId="51488"/>
    <cellStyle name="Normal 8 4 2 2 6 2" xfId="51489"/>
    <cellStyle name="Normal 8 4 2 2 7" xfId="51490"/>
    <cellStyle name="Normal 8 4 2 2 7 2" xfId="51491"/>
    <cellStyle name="Normal 8 4 2 2 8" xfId="51492"/>
    <cellStyle name="Normal 8 4 2 2 9" xfId="51493"/>
    <cellStyle name="Normal 8 4 2 20" xfId="51494"/>
    <cellStyle name="Normal 8 4 2 3" xfId="51495"/>
    <cellStyle name="Normal 8 4 2 3 10" xfId="51496"/>
    <cellStyle name="Normal 8 4 2 3 11" xfId="51497"/>
    <cellStyle name="Normal 8 4 2 3 12" xfId="51498"/>
    <cellStyle name="Normal 8 4 2 3 13" xfId="51499"/>
    <cellStyle name="Normal 8 4 2 3 14" xfId="51500"/>
    <cellStyle name="Normal 8 4 2 3 15" xfId="51501"/>
    <cellStyle name="Normal 8 4 2 3 16" xfId="51502"/>
    <cellStyle name="Normal 8 4 2 3 2" xfId="51503"/>
    <cellStyle name="Normal 8 4 2 3 2 2" xfId="51504"/>
    <cellStyle name="Normal 8 4 2 3 2 2 2" xfId="51505"/>
    <cellStyle name="Normal 8 4 2 3 2 3" xfId="51506"/>
    <cellStyle name="Normal 8 4 2 3 2 3 2" xfId="51507"/>
    <cellStyle name="Normal 8 4 2 3 2 4" xfId="51508"/>
    <cellStyle name="Normal 8 4 2 3 2 4 2" xfId="51509"/>
    <cellStyle name="Normal 8 4 2 3 2 5" xfId="51510"/>
    <cellStyle name="Normal 8 4 2 3 2 5 2" xfId="51511"/>
    <cellStyle name="Normal 8 4 2 3 2 6" xfId="51512"/>
    <cellStyle name="Normal 8 4 2 3 2 7" xfId="51513"/>
    <cellStyle name="Normal 8 4 2 3 2 8" xfId="51514"/>
    <cellStyle name="Normal 8 4 2 3 2 9" xfId="51515"/>
    <cellStyle name="Normal 8 4 2 3 3" xfId="51516"/>
    <cellStyle name="Normal 8 4 2 3 3 2" xfId="51517"/>
    <cellStyle name="Normal 8 4 2 3 3 2 2" xfId="51518"/>
    <cellStyle name="Normal 8 4 2 3 3 3" xfId="51519"/>
    <cellStyle name="Normal 8 4 2 3 3 4" xfId="51520"/>
    <cellStyle name="Normal 8 4 2 3 3 5" xfId="51521"/>
    <cellStyle name="Normal 8 4 2 3 4" xfId="51522"/>
    <cellStyle name="Normal 8 4 2 3 4 2" xfId="51523"/>
    <cellStyle name="Normal 8 4 2 3 5" xfId="51524"/>
    <cellStyle name="Normal 8 4 2 3 5 2" xfId="51525"/>
    <cellStyle name="Normal 8 4 2 3 6" xfId="51526"/>
    <cellStyle name="Normal 8 4 2 3 6 2" xfId="51527"/>
    <cellStyle name="Normal 8 4 2 3 7" xfId="51528"/>
    <cellStyle name="Normal 8 4 2 3 7 2" xfId="51529"/>
    <cellStyle name="Normal 8 4 2 3 8" xfId="51530"/>
    <cellStyle name="Normal 8 4 2 3 9" xfId="51531"/>
    <cellStyle name="Normal 8 4 2 4" xfId="51532"/>
    <cellStyle name="Normal 8 4 2 4 10" xfId="51533"/>
    <cellStyle name="Normal 8 4 2 4 11" xfId="51534"/>
    <cellStyle name="Normal 8 4 2 4 12" xfId="51535"/>
    <cellStyle name="Normal 8 4 2 4 13" xfId="51536"/>
    <cellStyle name="Normal 8 4 2 4 14" xfId="51537"/>
    <cellStyle name="Normal 8 4 2 4 15" xfId="51538"/>
    <cellStyle name="Normal 8 4 2 4 2" xfId="51539"/>
    <cellStyle name="Normal 8 4 2 4 2 2" xfId="51540"/>
    <cellStyle name="Normal 8 4 2 4 2 2 2" xfId="51541"/>
    <cellStyle name="Normal 8 4 2 4 2 3" xfId="51542"/>
    <cellStyle name="Normal 8 4 2 4 2 3 2" xfId="51543"/>
    <cellStyle name="Normal 8 4 2 4 2 4" xfId="51544"/>
    <cellStyle name="Normal 8 4 2 4 2 4 2" xfId="51545"/>
    <cellStyle name="Normal 8 4 2 4 2 5" xfId="51546"/>
    <cellStyle name="Normal 8 4 2 4 2 5 2" xfId="51547"/>
    <cellStyle name="Normal 8 4 2 4 2 6" xfId="51548"/>
    <cellStyle name="Normal 8 4 2 4 2 7" xfId="51549"/>
    <cellStyle name="Normal 8 4 2 4 2 8" xfId="51550"/>
    <cellStyle name="Normal 8 4 2 4 2 9" xfId="51551"/>
    <cellStyle name="Normal 8 4 2 4 3" xfId="51552"/>
    <cellStyle name="Normal 8 4 2 4 3 2" xfId="51553"/>
    <cellStyle name="Normal 8 4 2 4 3 2 2" xfId="51554"/>
    <cellStyle name="Normal 8 4 2 4 3 3" xfId="51555"/>
    <cellStyle name="Normal 8 4 2 4 3 4" xfId="51556"/>
    <cellStyle name="Normal 8 4 2 4 3 5" xfId="51557"/>
    <cellStyle name="Normal 8 4 2 4 4" xfId="51558"/>
    <cellStyle name="Normal 8 4 2 4 4 2" xfId="51559"/>
    <cellStyle name="Normal 8 4 2 4 5" xfId="51560"/>
    <cellStyle name="Normal 8 4 2 4 5 2" xfId="51561"/>
    <cellStyle name="Normal 8 4 2 4 6" xfId="51562"/>
    <cellStyle name="Normal 8 4 2 4 6 2" xfId="51563"/>
    <cellStyle name="Normal 8 4 2 4 7" xfId="51564"/>
    <cellStyle name="Normal 8 4 2 4 7 2" xfId="51565"/>
    <cellStyle name="Normal 8 4 2 4 8" xfId="51566"/>
    <cellStyle name="Normal 8 4 2 4 9" xfId="51567"/>
    <cellStyle name="Normal 8 4 2 5" xfId="51568"/>
    <cellStyle name="Normal 8 4 2 5 10" xfId="51569"/>
    <cellStyle name="Normal 8 4 2 5 11" xfId="51570"/>
    <cellStyle name="Normal 8 4 2 5 12" xfId="51571"/>
    <cellStyle name="Normal 8 4 2 5 13" xfId="51572"/>
    <cellStyle name="Normal 8 4 2 5 14" xfId="51573"/>
    <cellStyle name="Normal 8 4 2 5 2" xfId="51574"/>
    <cellStyle name="Normal 8 4 2 5 2 2" xfId="51575"/>
    <cellStyle name="Normal 8 4 2 5 2 2 2" xfId="51576"/>
    <cellStyle name="Normal 8 4 2 5 2 3" xfId="51577"/>
    <cellStyle name="Normal 8 4 2 5 2 3 2" xfId="51578"/>
    <cellStyle name="Normal 8 4 2 5 2 4" xfId="51579"/>
    <cellStyle name="Normal 8 4 2 5 2 4 2" xfId="51580"/>
    <cellStyle name="Normal 8 4 2 5 2 5" xfId="51581"/>
    <cellStyle name="Normal 8 4 2 5 2 5 2" xfId="51582"/>
    <cellStyle name="Normal 8 4 2 5 2 6" xfId="51583"/>
    <cellStyle name="Normal 8 4 2 5 2 7" xfId="51584"/>
    <cellStyle name="Normal 8 4 2 5 2 8" xfId="51585"/>
    <cellStyle name="Normal 8 4 2 5 2 9" xfId="51586"/>
    <cellStyle name="Normal 8 4 2 5 3" xfId="51587"/>
    <cellStyle name="Normal 8 4 2 5 3 2" xfId="51588"/>
    <cellStyle name="Normal 8 4 2 5 3 2 2" xfId="51589"/>
    <cellStyle name="Normal 8 4 2 5 3 3" xfId="51590"/>
    <cellStyle name="Normal 8 4 2 5 3 4" xfId="51591"/>
    <cellStyle name="Normal 8 4 2 5 3 5" xfId="51592"/>
    <cellStyle name="Normal 8 4 2 5 4" xfId="51593"/>
    <cellStyle name="Normal 8 4 2 5 4 2" xfId="51594"/>
    <cellStyle name="Normal 8 4 2 5 5" xfId="51595"/>
    <cellStyle name="Normal 8 4 2 5 5 2" xfId="51596"/>
    <cellStyle name="Normal 8 4 2 5 6" xfId="51597"/>
    <cellStyle name="Normal 8 4 2 5 6 2" xfId="51598"/>
    <cellStyle name="Normal 8 4 2 5 7" xfId="51599"/>
    <cellStyle name="Normal 8 4 2 5 7 2" xfId="51600"/>
    <cellStyle name="Normal 8 4 2 5 8" xfId="51601"/>
    <cellStyle name="Normal 8 4 2 5 9" xfId="51602"/>
    <cellStyle name="Normal 8 4 2 6" xfId="51603"/>
    <cellStyle name="Normal 8 4 2 6 2" xfId="51604"/>
    <cellStyle name="Normal 8 4 2 6 2 2" xfId="51605"/>
    <cellStyle name="Normal 8 4 2 6 3" xfId="51606"/>
    <cellStyle name="Normal 8 4 2 6 3 2" xfId="51607"/>
    <cellStyle name="Normal 8 4 2 6 4" xfId="51608"/>
    <cellStyle name="Normal 8 4 2 6 4 2" xfId="51609"/>
    <cellStyle name="Normal 8 4 2 6 5" xfId="51610"/>
    <cellStyle name="Normal 8 4 2 6 5 2" xfId="51611"/>
    <cellStyle name="Normal 8 4 2 6 6" xfId="51612"/>
    <cellStyle name="Normal 8 4 2 6 7" xfId="51613"/>
    <cellStyle name="Normal 8 4 2 6 8" xfId="51614"/>
    <cellStyle name="Normal 8 4 2 6 9" xfId="51615"/>
    <cellStyle name="Normal 8 4 2 7" xfId="51616"/>
    <cellStyle name="Normal 8 4 2 7 2" xfId="51617"/>
    <cellStyle name="Normal 8 4 2 7 2 2" xfId="51618"/>
    <cellStyle name="Normal 8 4 2 7 3" xfId="51619"/>
    <cellStyle name="Normal 8 4 2 7 4" xfId="51620"/>
    <cellStyle name="Normal 8 4 2 7 5" xfId="51621"/>
    <cellStyle name="Normal 8 4 2 8" xfId="51622"/>
    <cellStyle name="Normal 8 4 2 8 2" xfId="51623"/>
    <cellStyle name="Normal 8 4 2 9" xfId="51624"/>
    <cellStyle name="Normal 8 4 2 9 2" xfId="51625"/>
    <cellStyle name="Normal 8 4 20" xfId="51626"/>
    <cellStyle name="Normal 8 4 21" xfId="51627"/>
    <cellStyle name="Normal 8 4 22" xfId="51628"/>
    <cellStyle name="Normal 8 4 23" xfId="51629"/>
    <cellStyle name="Normal 8 4 24" xfId="51630"/>
    <cellStyle name="Normal 8 4 25" xfId="51631"/>
    <cellStyle name="Normal 8 4 3" xfId="51632"/>
    <cellStyle name="Normal 8 4 3 10" xfId="51633"/>
    <cellStyle name="Normal 8 4 3 11" xfId="51634"/>
    <cellStyle name="Normal 8 4 3 12" xfId="51635"/>
    <cellStyle name="Normal 8 4 3 13" xfId="51636"/>
    <cellStyle name="Normal 8 4 3 14" xfId="51637"/>
    <cellStyle name="Normal 8 4 3 15" xfId="51638"/>
    <cellStyle name="Normal 8 4 3 16" xfId="51639"/>
    <cellStyle name="Normal 8 4 3 17" xfId="51640"/>
    <cellStyle name="Normal 8 4 3 18" xfId="51641"/>
    <cellStyle name="Normal 8 4 3 2" xfId="51642"/>
    <cellStyle name="Normal 8 4 3 2 10" xfId="51643"/>
    <cellStyle name="Normal 8 4 3 2 11" xfId="51644"/>
    <cellStyle name="Normal 8 4 3 2 12" xfId="51645"/>
    <cellStyle name="Normal 8 4 3 2 13" xfId="51646"/>
    <cellStyle name="Normal 8 4 3 2 2" xfId="51647"/>
    <cellStyle name="Normal 8 4 3 2 2 2" xfId="51648"/>
    <cellStyle name="Normal 8 4 3 2 2 2 2" xfId="51649"/>
    <cellStyle name="Normal 8 4 3 2 2 3" xfId="51650"/>
    <cellStyle name="Normal 8 4 3 2 2 4" xfId="51651"/>
    <cellStyle name="Normal 8 4 3 2 2 5" xfId="51652"/>
    <cellStyle name="Normal 8 4 3 2 3" xfId="51653"/>
    <cellStyle name="Normal 8 4 3 2 3 2" xfId="51654"/>
    <cellStyle name="Normal 8 4 3 2 4" xfId="51655"/>
    <cellStyle name="Normal 8 4 3 2 4 2" xfId="51656"/>
    <cellStyle name="Normal 8 4 3 2 5" xfId="51657"/>
    <cellStyle name="Normal 8 4 3 2 5 2" xfId="51658"/>
    <cellStyle name="Normal 8 4 3 2 6" xfId="51659"/>
    <cellStyle name="Normal 8 4 3 2 6 2" xfId="51660"/>
    <cellStyle name="Normal 8 4 3 2 7" xfId="51661"/>
    <cellStyle name="Normal 8 4 3 2 8" xfId="51662"/>
    <cellStyle name="Normal 8 4 3 2 9" xfId="51663"/>
    <cellStyle name="Normal 8 4 3 3" xfId="51664"/>
    <cellStyle name="Normal 8 4 3 3 2" xfId="51665"/>
    <cellStyle name="Normal 8 4 3 3 2 2" xfId="51666"/>
    <cellStyle name="Normal 8 4 3 3 3" xfId="51667"/>
    <cellStyle name="Normal 8 4 3 3 4" xfId="51668"/>
    <cellStyle name="Normal 8 4 3 3 5" xfId="51669"/>
    <cellStyle name="Normal 8 4 3 4" xfId="51670"/>
    <cellStyle name="Normal 8 4 3 4 2" xfId="51671"/>
    <cellStyle name="Normal 8 4 3 5" xfId="51672"/>
    <cellStyle name="Normal 8 4 3 5 2" xfId="51673"/>
    <cellStyle name="Normal 8 4 3 6" xfId="51674"/>
    <cellStyle name="Normal 8 4 3 6 2" xfId="51675"/>
    <cellStyle name="Normal 8 4 3 7" xfId="51676"/>
    <cellStyle name="Normal 8 4 3 7 2" xfId="51677"/>
    <cellStyle name="Normal 8 4 3 8" xfId="51678"/>
    <cellStyle name="Normal 8 4 3 9" xfId="51679"/>
    <cellStyle name="Normal 8 4 4" xfId="51680"/>
    <cellStyle name="Normal 8 4 4 10" xfId="51681"/>
    <cellStyle name="Normal 8 4 4 11" xfId="51682"/>
    <cellStyle name="Normal 8 4 4 12" xfId="51683"/>
    <cellStyle name="Normal 8 4 4 13" xfId="51684"/>
    <cellStyle name="Normal 8 4 4 14" xfId="51685"/>
    <cellStyle name="Normal 8 4 4 15" xfId="51686"/>
    <cellStyle name="Normal 8 4 4 16" xfId="51687"/>
    <cellStyle name="Normal 8 4 4 17" xfId="51688"/>
    <cellStyle name="Normal 8 4 4 18" xfId="51689"/>
    <cellStyle name="Normal 8 4 4 2" xfId="51690"/>
    <cellStyle name="Normal 8 4 4 2 10" xfId="51691"/>
    <cellStyle name="Normal 8 4 4 2 11" xfId="51692"/>
    <cellStyle name="Normal 8 4 4 2 12" xfId="51693"/>
    <cellStyle name="Normal 8 4 4 2 13" xfId="51694"/>
    <cellStyle name="Normal 8 4 4 2 2" xfId="51695"/>
    <cellStyle name="Normal 8 4 4 2 2 2" xfId="51696"/>
    <cellStyle name="Normal 8 4 4 2 2 2 2" xfId="51697"/>
    <cellStyle name="Normal 8 4 4 2 2 3" xfId="51698"/>
    <cellStyle name="Normal 8 4 4 2 2 4" xfId="51699"/>
    <cellStyle name="Normal 8 4 4 2 2 5" xfId="51700"/>
    <cellStyle name="Normal 8 4 4 2 3" xfId="51701"/>
    <cellStyle name="Normal 8 4 4 2 3 2" xfId="51702"/>
    <cellStyle name="Normal 8 4 4 2 4" xfId="51703"/>
    <cellStyle name="Normal 8 4 4 2 4 2" xfId="51704"/>
    <cellStyle name="Normal 8 4 4 2 5" xfId="51705"/>
    <cellStyle name="Normal 8 4 4 2 5 2" xfId="51706"/>
    <cellStyle name="Normal 8 4 4 2 6" xfId="51707"/>
    <cellStyle name="Normal 8 4 4 2 6 2" xfId="51708"/>
    <cellStyle name="Normal 8 4 4 2 7" xfId="51709"/>
    <cellStyle name="Normal 8 4 4 2 8" xfId="51710"/>
    <cellStyle name="Normal 8 4 4 2 9" xfId="51711"/>
    <cellStyle name="Normal 8 4 4 3" xfId="51712"/>
    <cellStyle name="Normal 8 4 4 3 2" xfId="51713"/>
    <cellStyle name="Normal 8 4 4 3 2 2" xfId="51714"/>
    <cellStyle name="Normal 8 4 4 3 3" xfId="51715"/>
    <cellStyle name="Normal 8 4 4 3 4" xfId="51716"/>
    <cellStyle name="Normal 8 4 4 3 5" xfId="51717"/>
    <cellStyle name="Normal 8 4 4 4" xfId="51718"/>
    <cellStyle name="Normal 8 4 4 4 2" xfId="51719"/>
    <cellStyle name="Normal 8 4 4 5" xfId="51720"/>
    <cellStyle name="Normal 8 4 4 5 2" xfId="51721"/>
    <cellStyle name="Normal 8 4 4 6" xfId="51722"/>
    <cellStyle name="Normal 8 4 4 6 2" xfId="51723"/>
    <cellStyle name="Normal 8 4 4 7" xfId="51724"/>
    <cellStyle name="Normal 8 4 4 7 2" xfId="51725"/>
    <cellStyle name="Normal 8 4 4 8" xfId="51726"/>
    <cellStyle name="Normal 8 4 4 9" xfId="51727"/>
    <cellStyle name="Normal 8 4 5" xfId="51728"/>
    <cellStyle name="Normal 8 4 5 10" xfId="51729"/>
    <cellStyle name="Normal 8 4 5 11" xfId="51730"/>
    <cellStyle name="Normal 8 4 5 12" xfId="51731"/>
    <cellStyle name="Normal 8 4 5 13" xfId="51732"/>
    <cellStyle name="Normal 8 4 5 14" xfId="51733"/>
    <cellStyle name="Normal 8 4 5 15" xfId="51734"/>
    <cellStyle name="Normal 8 4 5 16" xfId="51735"/>
    <cellStyle name="Normal 8 4 5 17" xfId="51736"/>
    <cellStyle name="Normal 8 4 5 18" xfId="51737"/>
    <cellStyle name="Normal 8 4 5 2" xfId="51738"/>
    <cellStyle name="Normal 8 4 5 2 10" xfId="51739"/>
    <cellStyle name="Normal 8 4 5 2 11" xfId="51740"/>
    <cellStyle name="Normal 8 4 5 2 12" xfId="51741"/>
    <cellStyle name="Normal 8 4 5 2 13" xfId="51742"/>
    <cellStyle name="Normal 8 4 5 2 2" xfId="51743"/>
    <cellStyle name="Normal 8 4 5 2 2 2" xfId="51744"/>
    <cellStyle name="Normal 8 4 5 2 2 2 2" xfId="51745"/>
    <cellStyle name="Normal 8 4 5 2 2 3" xfId="51746"/>
    <cellStyle name="Normal 8 4 5 2 2 4" xfId="51747"/>
    <cellStyle name="Normal 8 4 5 2 2 5" xfId="51748"/>
    <cellStyle name="Normal 8 4 5 2 3" xfId="51749"/>
    <cellStyle name="Normal 8 4 5 2 3 2" xfId="51750"/>
    <cellStyle name="Normal 8 4 5 2 4" xfId="51751"/>
    <cellStyle name="Normal 8 4 5 2 4 2" xfId="51752"/>
    <cellStyle name="Normal 8 4 5 2 5" xfId="51753"/>
    <cellStyle name="Normal 8 4 5 2 5 2" xfId="51754"/>
    <cellStyle name="Normal 8 4 5 2 6" xfId="51755"/>
    <cellStyle name="Normal 8 4 5 2 6 2" xfId="51756"/>
    <cellStyle name="Normal 8 4 5 2 7" xfId="51757"/>
    <cellStyle name="Normal 8 4 5 2 8" xfId="51758"/>
    <cellStyle name="Normal 8 4 5 2 9" xfId="51759"/>
    <cellStyle name="Normal 8 4 5 3" xfId="51760"/>
    <cellStyle name="Normal 8 4 5 3 2" xfId="51761"/>
    <cellStyle name="Normal 8 4 5 3 2 2" xfId="51762"/>
    <cellStyle name="Normal 8 4 5 3 3" xfId="51763"/>
    <cellStyle name="Normal 8 4 5 3 4" xfId="51764"/>
    <cellStyle name="Normal 8 4 5 3 5" xfId="51765"/>
    <cellStyle name="Normal 8 4 5 4" xfId="51766"/>
    <cellStyle name="Normal 8 4 5 4 2" xfId="51767"/>
    <cellStyle name="Normal 8 4 5 5" xfId="51768"/>
    <cellStyle name="Normal 8 4 5 5 2" xfId="51769"/>
    <cellStyle name="Normal 8 4 5 6" xfId="51770"/>
    <cellStyle name="Normal 8 4 5 6 2" xfId="51771"/>
    <cellStyle name="Normal 8 4 5 7" xfId="51772"/>
    <cellStyle name="Normal 8 4 5 7 2" xfId="51773"/>
    <cellStyle name="Normal 8 4 5 8" xfId="51774"/>
    <cellStyle name="Normal 8 4 5 9" xfId="51775"/>
    <cellStyle name="Normal 8 4 6" xfId="51776"/>
    <cellStyle name="Normal 8 4 6 10" xfId="51777"/>
    <cellStyle name="Normal 8 4 6 11" xfId="51778"/>
    <cellStyle name="Normal 8 4 6 12" xfId="51779"/>
    <cellStyle name="Normal 8 4 6 13" xfId="51780"/>
    <cellStyle name="Normal 8 4 6 14" xfId="51781"/>
    <cellStyle name="Normal 8 4 6 15" xfId="51782"/>
    <cellStyle name="Normal 8 4 6 16" xfId="51783"/>
    <cellStyle name="Normal 8 4 6 17" xfId="51784"/>
    <cellStyle name="Normal 8 4 6 18" xfId="51785"/>
    <cellStyle name="Normal 8 4 6 2" xfId="51786"/>
    <cellStyle name="Normal 8 4 6 2 10" xfId="51787"/>
    <cellStyle name="Normal 8 4 6 2 11" xfId="51788"/>
    <cellStyle name="Normal 8 4 6 2 12" xfId="51789"/>
    <cellStyle name="Normal 8 4 6 2 13" xfId="51790"/>
    <cellStyle name="Normal 8 4 6 2 2" xfId="51791"/>
    <cellStyle name="Normal 8 4 6 2 2 2" xfId="51792"/>
    <cellStyle name="Normal 8 4 6 2 2 2 2" xfId="51793"/>
    <cellStyle name="Normal 8 4 6 2 2 3" xfId="51794"/>
    <cellStyle name="Normal 8 4 6 2 2 4" xfId="51795"/>
    <cellStyle name="Normal 8 4 6 2 2 5" xfId="51796"/>
    <cellStyle name="Normal 8 4 6 2 3" xfId="51797"/>
    <cellStyle name="Normal 8 4 6 2 3 2" xfId="51798"/>
    <cellStyle name="Normal 8 4 6 2 4" xfId="51799"/>
    <cellStyle name="Normal 8 4 6 2 4 2" xfId="51800"/>
    <cellStyle name="Normal 8 4 6 2 5" xfId="51801"/>
    <cellStyle name="Normal 8 4 6 2 5 2" xfId="51802"/>
    <cellStyle name="Normal 8 4 6 2 6" xfId="51803"/>
    <cellStyle name="Normal 8 4 6 2 6 2" xfId="51804"/>
    <cellStyle name="Normal 8 4 6 2 7" xfId="51805"/>
    <cellStyle name="Normal 8 4 6 2 8" xfId="51806"/>
    <cellStyle name="Normal 8 4 6 2 9" xfId="51807"/>
    <cellStyle name="Normal 8 4 6 3" xfId="51808"/>
    <cellStyle name="Normal 8 4 6 3 2" xfId="51809"/>
    <cellStyle name="Normal 8 4 6 3 2 2" xfId="51810"/>
    <cellStyle name="Normal 8 4 6 3 3" xfId="51811"/>
    <cellStyle name="Normal 8 4 6 3 4" xfId="51812"/>
    <cellStyle name="Normal 8 4 6 3 5" xfId="51813"/>
    <cellStyle name="Normal 8 4 6 4" xfId="51814"/>
    <cellStyle name="Normal 8 4 6 4 2" xfId="51815"/>
    <cellStyle name="Normal 8 4 6 5" xfId="51816"/>
    <cellStyle name="Normal 8 4 6 5 2" xfId="51817"/>
    <cellStyle name="Normal 8 4 6 6" xfId="51818"/>
    <cellStyle name="Normal 8 4 6 6 2" xfId="51819"/>
    <cellStyle name="Normal 8 4 6 7" xfId="51820"/>
    <cellStyle name="Normal 8 4 6 7 2" xfId="51821"/>
    <cellStyle name="Normal 8 4 6 8" xfId="51822"/>
    <cellStyle name="Normal 8 4 6 9" xfId="51823"/>
    <cellStyle name="Normal 8 4 7" xfId="51824"/>
    <cellStyle name="Normal 8 4 7 10" xfId="51825"/>
    <cellStyle name="Normal 8 4 7 11" xfId="51826"/>
    <cellStyle name="Normal 8 4 7 12" xfId="51827"/>
    <cellStyle name="Normal 8 4 7 13" xfId="51828"/>
    <cellStyle name="Normal 8 4 7 14" xfId="51829"/>
    <cellStyle name="Normal 8 4 7 15" xfId="51830"/>
    <cellStyle name="Normal 8 4 7 16" xfId="51831"/>
    <cellStyle name="Normal 8 4 7 17" xfId="51832"/>
    <cellStyle name="Normal 8 4 7 18" xfId="51833"/>
    <cellStyle name="Normal 8 4 7 2" xfId="51834"/>
    <cellStyle name="Normal 8 4 7 2 10" xfId="51835"/>
    <cellStyle name="Normal 8 4 7 2 11" xfId="51836"/>
    <cellStyle name="Normal 8 4 7 2 12" xfId="51837"/>
    <cellStyle name="Normal 8 4 7 2 13" xfId="51838"/>
    <cellStyle name="Normal 8 4 7 2 2" xfId="51839"/>
    <cellStyle name="Normal 8 4 7 2 2 2" xfId="51840"/>
    <cellStyle name="Normal 8 4 7 2 2 2 2" xfId="51841"/>
    <cellStyle name="Normal 8 4 7 2 2 3" xfId="51842"/>
    <cellStyle name="Normal 8 4 7 2 2 4" xfId="51843"/>
    <cellStyle name="Normal 8 4 7 2 2 5" xfId="51844"/>
    <cellStyle name="Normal 8 4 7 2 3" xfId="51845"/>
    <cellStyle name="Normal 8 4 7 2 3 2" xfId="51846"/>
    <cellStyle name="Normal 8 4 7 2 4" xfId="51847"/>
    <cellStyle name="Normal 8 4 7 2 4 2" xfId="51848"/>
    <cellStyle name="Normal 8 4 7 2 5" xfId="51849"/>
    <cellStyle name="Normal 8 4 7 2 5 2" xfId="51850"/>
    <cellStyle name="Normal 8 4 7 2 6" xfId="51851"/>
    <cellStyle name="Normal 8 4 7 2 6 2" xfId="51852"/>
    <cellStyle name="Normal 8 4 7 2 7" xfId="51853"/>
    <cellStyle name="Normal 8 4 7 2 8" xfId="51854"/>
    <cellStyle name="Normal 8 4 7 2 9" xfId="51855"/>
    <cellStyle name="Normal 8 4 7 3" xfId="51856"/>
    <cellStyle name="Normal 8 4 7 3 2" xfId="51857"/>
    <cellStyle name="Normal 8 4 7 3 2 2" xfId="51858"/>
    <cellStyle name="Normal 8 4 7 3 3" xfId="51859"/>
    <cellStyle name="Normal 8 4 7 3 4" xfId="51860"/>
    <cellStyle name="Normal 8 4 7 3 5" xfId="51861"/>
    <cellStyle name="Normal 8 4 7 4" xfId="51862"/>
    <cellStyle name="Normal 8 4 7 4 2" xfId="51863"/>
    <cellStyle name="Normal 8 4 7 5" xfId="51864"/>
    <cellStyle name="Normal 8 4 7 5 2" xfId="51865"/>
    <cellStyle name="Normal 8 4 7 6" xfId="51866"/>
    <cellStyle name="Normal 8 4 7 6 2" xfId="51867"/>
    <cellStyle name="Normal 8 4 7 7" xfId="51868"/>
    <cellStyle name="Normal 8 4 7 7 2" xfId="51869"/>
    <cellStyle name="Normal 8 4 7 8" xfId="51870"/>
    <cellStyle name="Normal 8 4 7 9" xfId="51871"/>
    <cellStyle name="Normal 8 4 8" xfId="51872"/>
    <cellStyle name="Normal 8 4 8 10" xfId="51873"/>
    <cellStyle name="Normal 8 4 8 11" xfId="51874"/>
    <cellStyle name="Normal 8 4 8 12" xfId="51875"/>
    <cellStyle name="Normal 8 4 8 13" xfId="51876"/>
    <cellStyle name="Normal 8 4 8 14" xfId="51877"/>
    <cellStyle name="Normal 8 4 8 15" xfId="51878"/>
    <cellStyle name="Normal 8 4 8 16" xfId="51879"/>
    <cellStyle name="Normal 8 4 8 2" xfId="51880"/>
    <cellStyle name="Normal 8 4 8 2 2" xfId="51881"/>
    <cellStyle name="Normal 8 4 8 2 2 2" xfId="51882"/>
    <cellStyle name="Normal 8 4 8 2 3" xfId="51883"/>
    <cellStyle name="Normal 8 4 8 2 3 2" xfId="51884"/>
    <cellStyle name="Normal 8 4 8 2 4" xfId="51885"/>
    <cellStyle name="Normal 8 4 8 2 4 2" xfId="51886"/>
    <cellStyle name="Normal 8 4 8 2 5" xfId="51887"/>
    <cellStyle name="Normal 8 4 8 2 5 2" xfId="51888"/>
    <cellStyle name="Normal 8 4 8 2 6" xfId="51889"/>
    <cellStyle name="Normal 8 4 8 2 7" xfId="51890"/>
    <cellStyle name="Normal 8 4 8 2 8" xfId="51891"/>
    <cellStyle name="Normal 8 4 8 2 9" xfId="51892"/>
    <cellStyle name="Normal 8 4 8 3" xfId="51893"/>
    <cellStyle name="Normal 8 4 8 3 2" xfId="51894"/>
    <cellStyle name="Normal 8 4 8 3 2 2" xfId="51895"/>
    <cellStyle name="Normal 8 4 8 3 3" xfId="51896"/>
    <cellStyle name="Normal 8 4 8 3 4" xfId="51897"/>
    <cellStyle name="Normal 8 4 8 3 5" xfId="51898"/>
    <cellStyle name="Normal 8 4 8 4" xfId="51899"/>
    <cellStyle name="Normal 8 4 8 4 2" xfId="51900"/>
    <cellStyle name="Normal 8 4 8 5" xfId="51901"/>
    <cellStyle name="Normal 8 4 8 5 2" xfId="51902"/>
    <cellStyle name="Normal 8 4 8 6" xfId="51903"/>
    <cellStyle name="Normal 8 4 8 6 2" xfId="51904"/>
    <cellStyle name="Normal 8 4 8 7" xfId="51905"/>
    <cellStyle name="Normal 8 4 8 7 2" xfId="51906"/>
    <cellStyle name="Normal 8 4 8 8" xfId="51907"/>
    <cellStyle name="Normal 8 4 8 9" xfId="51908"/>
    <cellStyle name="Normal 8 4 9" xfId="51909"/>
    <cellStyle name="Normal 8 4 9 10" xfId="51910"/>
    <cellStyle name="Normal 8 4 9 11" xfId="51911"/>
    <cellStyle name="Normal 8 4 9 12" xfId="51912"/>
    <cellStyle name="Normal 8 4 9 13" xfId="51913"/>
    <cellStyle name="Normal 8 4 9 14" xfId="51914"/>
    <cellStyle name="Normal 8 4 9 15" xfId="51915"/>
    <cellStyle name="Normal 8 4 9 2" xfId="51916"/>
    <cellStyle name="Normal 8 4 9 2 2" xfId="51917"/>
    <cellStyle name="Normal 8 4 9 2 2 2" xfId="51918"/>
    <cellStyle name="Normal 8 4 9 2 3" xfId="51919"/>
    <cellStyle name="Normal 8 4 9 2 3 2" xfId="51920"/>
    <cellStyle name="Normal 8 4 9 2 4" xfId="51921"/>
    <cellStyle name="Normal 8 4 9 2 4 2" xfId="51922"/>
    <cellStyle name="Normal 8 4 9 2 5" xfId="51923"/>
    <cellStyle name="Normal 8 4 9 2 5 2" xfId="51924"/>
    <cellStyle name="Normal 8 4 9 2 6" xfId="51925"/>
    <cellStyle name="Normal 8 4 9 2 7" xfId="51926"/>
    <cellStyle name="Normal 8 4 9 2 8" xfId="51927"/>
    <cellStyle name="Normal 8 4 9 2 9" xfId="51928"/>
    <cellStyle name="Normal 8 4 9 3" xfId="51929"/>
    <cellStyle name="Normal 8 4 9 3 2" xfId="51930"/>
    <cellStyle name="Normal 8 4 9 3 2 2" xfId="51931"/>
    <cellStyle name="Normal 8 4 9 3 3" xfId="51932"/>
    <cellStyle name="Normal 8 4 9 3 4" xfId="51933"/>
    <cellStyle name="Normal 8 4 9 3 5" xfId="51934"/>
    <cellStyle name="Normal 8 4 9 4" xfId="51935"/>
    <cellStyle name="Normal 8 4 9 4 2" xfId="51936"/>
    <cellStyle name="Normal 8 4 9 5" xfId="51937"/>
    <cellStyle name="Normal 8 4 9 5 2" xfId="51938"/>
    <cellStyle name="Normal 8 4 9 6" xfId="51939"/>
    <cellStyle name="Normal 8 4 9 6 2" xfId="51940"/>
    <cellStyle name="Normal 8 4 9 7" xfId="51941"/>
    <cellStyle name="Normal 8 4 9 7 2" xfId="51942"/>
    <cellStyle name="Normal 8 4 9 8" xfId="51943"/>
    <cellStyle name="Normal 8 4 9 9" xfId="51944"/>
    <cellStyle name="Normal 8 5" xfId="49376"/>
    <cellStyle name="Normal 8 5 10" xfId="51945"/>
    <cellStyle name="Normal 8 5 10 10" xfId="51946"/>
    <cellStyle name="Normal 8 5 10 11" xfId="51947"/>
    <cellStyle name="Normal 8 5 10 12" xfId="51948"/>
    <cellStyle name="Normal 8 5 10 13" xfId="51949"/>
    <cellStyle name="Normal 8 5 10 14" xfId="51950"/>
    <cellStyle name="Normal 8 5 10 2" xfId="51951"/>
    <cellStyle name="Normal 8 5 10 2 2" xfId="51952"/>
    <cellStyle name="Normal 8 5 10 2 2 2" xfId="51953"/>
    <cellStyle name="Normal 8 5 10 2 3" xfId="51954"/>
    <cellStyle name="Normal 8 5 10 2 3 2" xfId="51955"/>
    <cellStyle name="Normal 8 5 10 2 4" xfId="51956"/>
    <cellStyle name="Normal 8 5 10 2 4 2" xfId="51957"/>
    <cellStyle name="Normal 8 5 10 2 5" xfId="51958"/>
    <cellStyle name="Normal 8 5 10 2 5 2" xfId="51959"/>
    <cellStyle name="Normal 8 5 10 2 6" xfId="51960"/>
    <cellStyle name="Normal 8 5 10 2 7" xfId="51961"/>
    <cellStyle name="Normal 8 5 10 2 8" xfId="51962"/>
    <cellStyle name="Normal 8 5 10 2 9" xfId="51963"/>
    <cellStyle name="Normal 8 5 10 3" xfId="51964"/>
    <cellStyle name="Normal 8 5 10 3 2" xfId="51965"/>
    <cellStyle name="Normal 8 5 10 3 2 2" xfId="51966"/>
    <cellStyle name="Normal 8 5 10 3 3" xfId="51967"/>
    <cellStyle name="Normal 8 5 10 3 4" xfId="51968"/>
    <cellStyle name="Normal 8 5 10 3 5" xfId="51969"/>
    <cellStyle name="Normal 8 5 10 4" xfId="51970"/>
    <cellStyle name="Normal 8 5 10 4 2" xfId="51971"/>
    <cellStyle name="Normal 8 5 10 5" xfId="51972"/>
    <cellStyle name="Normal 8 5 10 5 2" xfId="51973"/>
    <cellStyle name="Normal 8 5 10 6" xfId="51974"/>
    <cellStyle name="Normal 8 5 10 6 2" xfId="51975"/>
    <cellStyle name="Normal 8 5 10 7" xfId="51976"/>
    <cellStyle name="Normal 8 5 10 7 2" xfId="51977"/>
    <cellStyle name="Normal 8 5 10 8" xfId="51978"/>
    <cellStyle name="Normal 8 5 10 9" xfId="51979"/>
    <cellStyle name="Normal 8 5 11" xfId="51980"/>
    <cellStyle name="Normal 8 5 11 2" xfId="51981"/>
    <cellStyle name="Normal 8 5 11 2 2" xfId="51982"/>
    <cellStyle name="Normal 8 5 11 3" xfId="51983"/>
    <cellStyle name="Normal 8 5 11 3 2" xfId="51984"/>
    <cellStyle name="Normal 8 5 11 4" xfId="51985"/>
    <cellStyle name="Normal 8 5 11 4 2" xfId="51986"/>
    <cellStyle name="Normal 8 5 11 5" xfId="51987"/>
    <cellStyle name="Normal 8 5 11 5 2" xfId="51988"/>
    <cellStyle name="Normal 8 5 11 6" xfId="51989"/>
    <cellStyle name="Normal 8 5 11 7" xfId="51990"/>
    <cellStyle name="Normal 8 5 11 8" xfId="51991"/>
    <cellStyle name="Normal 8 5 11 9" xfId="51992"/>
    <cellStyle name="Normal 8 5 12" xfId="51993"/>
    <cellStyle name="Normal 8 5 12 2" xfId="51994"/>
    <cellStyle name="Normal 8 5 12 2 2" xfId="51995"/>
    <cellStyle name="Normal 8 5 12 3" xfId="51996"/>
    <cellStyle name="Normal 8 5 12 4" xfId="51997"/>
    <cellStyle name="Normal 8 5 12 5" xfId="51998"/>
    <cellStyle name="Normal 8 5 13" xfId="51999"/>
    <cellStyle name="Normal 8 5 13 2" xfId="52000"/>
    <cellStyle name="Normal 8 5 14" xfId="52001"/>
    <cellStyle name="Normal 8 5 14 2" xfId="52002"/>
    <cellStyle name="Normal 8 5 15" xfId="52003"/>
    <cellStyle name="Normal 8 5 15 2" xfId="52004"/>
    <cellStyle name="Normal 8 5 16" xfId="52005"/>
    <cellStyle name="Normal 8 5 16 2" xfId="52006"/>
    <cellStyle name="Normal 8 5 17" xfId="52007"/>
    <cellStyle name="Normal 8 5 18" xfId="52008"/>
    <cellStyle name="Normal 8 5 19" xfId="52009"/>
    <cellStyle name="Normal 8 5 2" xfId="52010"/>
    <cellStyle name="Normal 8 5 2 10" xfId="52011"/>
    <cellStyle name="Normal 8 5 2 10 2" xfId="52012"/>
    <cellStyle name="Normal 8 5 2 11" xfId="52013"/>
    <cellStyle name="Normal 8 5 2 11 2" xfId="52014"/>
    <cellStyle name="Normal 8 5 2 12" xfId="52015"/>
    <cellStyle name="Normal 8 5 2 13" xfId="52016"/>
    <cellStyle name="Normal 8 5 2 14" xfId="52017"/>
    <cellStyle name="Normal 8 5 2 15" xfId="52018"/>
    <cellStyle name="Normal 8 5 2 16" xfId="52019"/>
    <cellStyle name="Normal 8 5 2 17" xfId="52020"/>
    <cellStyle name="Normal 8 5 2 18" xfId="52021"/>
    <cellStyle name="Normal 8 5 2 19" xfId="52022"/>
    <cellStyle name="Normal 8 5 2 2" xfId="52023"/>
    <cellStyle name="Normal 8 5 2 2 10" xfId="52024"/>
    <cellStyle name="Normal 8 5 2 2 11" xfId="52025"/>
    <cellStyle name="Normal 8 5 2 2 12" xfId="52026"/>
    <cellStyle name="Normal 8 5 2 2 13" xfId="52027"/>
    <cellStyle name="Normal 8 5 2 2 14" xfId="52028"/>
    <cellStyle name="Normal 8 5 2 2 15" xfId="52029"/>
    <cellStyle name="Normal 8 5 2 2 16" xfId="52030"/>
    <cellStyle name="Normal 8 5 2 2 2" xfId="52031"/>
    <cellStyle name="Normal 8 5 2 2 2 2" xfId="52032"/>
    <cellStyle name="Normal 8 5 2 2 2 2 2" xfId="52033"/>
    <cellStyle name="Normal 8 5 2 2 2 3" xfId="52034"/>
    <cellStyle name="Normal 8 5 2 2 2 3 2" xfId="52035"/>
    <cellStyle name="Normal 8 5 2 2 2 4" xfId="52036"/>
    <cellStyle name="Normal 8 5 2 2 2 4 2" xfId="52037"/>
    <cellStyle name="Normal 8 5 2 2 2 5" xfId="52038"/>
    <cellStyle name="Normal 8 5 2 2 2 5 2" xfId="52039"/>
    <cellStyle name="Normal 8 5 2 2 2 6" xfId="52040"/>
    <cellStyle name="Normal 8 5 2 2 2 7" xfId="52041"/>
    <cellStyle name="Normal 8 5 2 2 2 8" xfId="52042"/>
    <cellStyle name="Normal 8 5 2 2 2 9" xfId="52043"/>
    <cellStyle name="Normal 8 5 2 2 3" xfId="52044"/>
    <cellStyle name="Normal 8 5 2 2 3 2" xfId="52045"/>
    <cellStyle name="Normal 8 5 2 2 3 2 2" xfId="52046"/>
    <cellStyle name="Normal 8 5 2 2 3 3" xfId="52047"/>
    <cellStyle name="Normal 8 5 2 2 3 4" xfId="52048"/>
    <cellStyle name="Normal 8 5 2 2 3 5" xfId="52049"/>
    <cellStyle name="Normal 8 5 2 2 4" xfId="52050"/>
    <cellStyle name="Normal 8 5 2 2 4 2" xfId="52051"/>
    <cellStyle name="Normal 8 5 2 2 5" xfId="52052"/>
    <cellStyle name="Normal 8 5 2 2 5 2" xfId="52053"/>
    <cellStyle name="Normal 8 5 2 2 6" xfId="52054"/>
    <cellStyle name="Normal 8 5 2 2 6 2" xfId="52055"/>
    <cellStyle name="Normal 8 5 2 2 7" xfId="52056"/>
    <cellStyle name="Normal 8 5 2 2 7 2" xfId="52057"/>
    <cellStyle name="Normal 8 5 2 2 8" xfId="52058"/>
    <cellStyle name="Normal 8 5 2 2 9" xfId="52059"/>
    <cellStyle name="Normal 8 5 2 20" xfId="52060"/>
    <cellStyle name="Normal 8 5 2 3" xfId="52061"/>
    <cellStyle name="Normal 8 5 2 3 10" xfId="52062"/>
    <cellStyle name="Normal 8 5 2 3 11" xfId="52063"/>
    <cellStyle name="Normal 8 5 2 3 12" xfId="52064"/>
    <cellStyle name="Normal 8 5 2 3 13" xfId="52065"/>
    <cellStyle name="Normal 8 5 2 3 14" xfId="52066"/>
    <cellStyle name="Normal 8 5 2 3 15" xfId="52067"/>
    <cellStyle name="Normal 8 5 2 3 16" xfId="52068"/>
    <cellStyle name="Normal 8 5 2 3 2" xfId="52069"/>
    <cellStyle name="Normal 8 5 2 3 2 2" xfId="52070"/>
    <cellStyle name="Normal 8 5 2 3 2 2 2" xfId="52071"/>
    <cellStyle name="Normal 8 5 2 3 2 3" xfId="52072"/>
    <cellStyle name="Normal 8 5 2 3 2 3 2" xfId="52073"/>
    <cellStyle name="Normal 8 5 2 3 2 4" xfId="52074"/>
    <cellStyle name="Normal 8 5 2 3 2 4 2" xfId="52075"/>
    <cellStyle name="Normal 8 5 2 3 2 5" xfId="52076"/>
    <cellStyle name="Normal 8 5 2 3 2 5 2" xfId="52077"/>
    <cellStyle name="Normal 8 5 2 3 2 6" xfId="52078"/>
    <cellStyle name="Normal 8 5 2 3 2 7" xfId="52079"/>
    <cellStyle name="Normal 8 5 2 3 2 8" xfId="52080"/>
    <cellStyle name="Normal 8 5 2 3 2 9" xfId="52081"/>
    <cellStyle name="Normal 8 5 2 3 3" xfId="52082"/>
    <cellStyle name="Normal 8 5 2 3 3 2" xfId="52083"/>
    <cellStyle name="Normal 8 5 2 3 3 2 2" xfId="52084"/>
    <cellStyle name="Normal 8 5 2 3 3 3" xfId="52085"/>
    <cellStyle name="Normal 8 5 2 3 3 4" xfId="52086"/>
    <cellStyle name="Normal 8 5 2 3 3 5" xfId="52087"/>
    <cellStyle name="Normal 8 5 2 3 4" xfId="52088"/>
    <cellStyle name="Normal 8 5 2 3 4 2" xfId="52089"/>
    <cellStyle name="Normal 8 5 2 3 5" xfId="52090"/>
    <cellStyle name="Normal 8 5 2 3 5 2" xfId="52091"/>
    <cellStyle name="Normal 8 5 2 3 6" xfId="52092"/>
    <cellStyle name="Normal 8 5 2 3 6 2" xfId="52093"/>
    <cellStyle name="Normal 8 5 2 3 7" xfId="52094"/>
    <cellStyle name="Normal 8 5 2 3 7 2" xfId="52095"/>
    <cellStyle name="Normal 8 5 2 3 8" xfId="52096"/>
    <cellStyle name="Normal 8 5 2 3 9" xfId="52097"/>
    <cellStyle name="Normal 8 5 2 4" xfId="52098"/>
    <cellStyle name="Normal 8 5 2 4 10" xfId="52099"/>
    <cellStyle name="Normal 8 5 2 4 11" xfId="52100"/>
    <cellStyle name="Normal 8 5 2 4 12" xfId="52101"/>
    <cellStyle name="Normal 8 5 2 4 13" xfId="52102"/>
    <cellStyle name="Normal 8 5 2 4 14" xfId="52103"/>
    <cellStyle name="Normal 8 5 2 4 15" xfId="52104"/>
    <cellStyle name="Normal 8 5 2 4 2" xfId="52105"/>
    <cellStyle name="Normal 8 5 2 4 2 2" xfId="52106"/>
    <cellStyle name="Normal 8 5 2 4 2 2 2" xfId="52107"/>
    <cellStyle name="Normal 8 5 2 4 2 3" xfId="52108"/>
    <cellStyle name="Normal 8 5 2 4 2 3 2" xfId="52109"/>
    <cellStyle name="Normal 8 5 2 4 2 4" xfId="52110"/>
    <cellStyle name="Normal 8 5 2 4 2 4 2" xfId="52111"/>
    <cellStyle name="Normal 8 5 2 4 2 5" xfId="52112"/>
    <cellStyle name="Normal 8 5 2 4 2 5 2" xfId="52113"/>
    <cellStyle name="Normal 8 5 2 4 2 6" xfId="52114"/>
    <cellStyle name="Normal 8 5 2 4 2 7" xfId="52115"/>
    <cellStyle name="Normal 8 5 2 4 2 8" xfId="52116"/>
    <cellStyle name="Normal 8 5 2 4 2 9" xfId="52117"/>
    <cellStyle name="Normal 8 5 2 4 3" xfId="52118"/>
    <cellStyle name="Normal 8 5 2 4 3 2" xfId="52119"/>
    <cellStyle name="Normal 8 5 2 4 3 2 2" xfId="52120"/>
    <cellStyle name="Normal 8 5 2 4 3 3" xfId="52121"/>
    <cellStyle name="Normal 8 5 2 4 3 4" xfId="52122"/>
    <cellStyle name="Normal 8 5 2 4 3 5" xfId="52123"/>
    <cellStyle name="Normal 8 5 2 4 4" xfId="52124"/>
    <cellStyle name="Normal 8 5 2 4 4 2" xfId="52125"/>
    <cellStyle name="Normal 8 5 2 4 5" xfId="52126"/>
    <cellStyle name="Normal 8 5 2 4 5 2" xfId="52127"/>
    <cellStyle name="Normal 8 5 2 4 6" xfId="52128"/>
    <cellStyle name="Normal 8 5 2 4 6 2" xfId="52129"/>
    <cellStyle name="Normal 8 5 2 4 7" xfId="52130"/>
    <cellStyle name="Normal 8 5 2 4 7 2" xfId="52131"/>
    <cellStyle name="Normal 8 5 2 4 8" xfId="52132"/>
    <cellStyle name="Normal 8 5 2 4 9" xfId="52133"/>
    <cellStyle name="Normal 8 5 2 5" xfId="52134"/>
    <cellStyle name="Normal 8 5 2 5 10" xfId="52135"/>
    <cellStyle name="Normal 8 5 2 5 11" xfId="52136"/>
    <cellStyle name="Normal 8 5 2 5 12" xfId="52137"/>
    <cellStyle name="Normal 8 5 2 5 13" xfId="52138"/>
    <cellStyle name="Normal 8 5 2 5 14" xfId="52139"/>
    <cellStyle name="Normal 8 5 2 5 2" xfId="52140"/>
    <cellStyle name="Normal 8 5 2 5 2 2" xfId="52141"/>
    <cellStyle name="Normal 8 5 2 5 2 2 2" xfId="52142"/>
    <cellStyle name="Normal 8 5 2 5 2 3" xfId="52143"/>
    <cellStyle name="Normal 8 5 2 5 2 3 2" xfId="52144"/>
    <cellStyle name="Normal 8 5 2 5 2 4" xfId="52145"/>
    <cellStyle name="Normal 8 5 2 5 2 4 2" xfId="52146"/>
    <cellStyle name="Normal 8 5 2 5 2 5" xfId="52147"/>
    <cellStyle name="Normal 8 5 2 5 2 5 2" xfId="52148"/>
    <cellStyle name="Normal 8 5 2 5 2 6" xfId="52149"/>
    <cellStyle name="Normal 8 5 2 5 2 7" xfId="52150"/>
    <cellStyle name="Normal 8 5 2 5 2 8" xfId="52151"/>
    <cellStyle name="Normal 8 5 2 5 2 9" xfId="52152"/>
    <cellStyle name="Normal 8 5 2 5 3" xfId="52153"/>
    <cellStyle name="Normal 8 5 2 5 3 2" xfId="52154"/>
    <cellStyle name="Normal 8 5 2 5 3 2 2" xfId="52155"/>
    <cellStyle name="Normal 8 5 2 5 3 3" xfId="52156"/>
    <cellStyle name="Normal 8 5 2 5 3 4" xfId="52157"/>
    <cellStyle name="Normal 8 5 2 5 3 5" xfId="52158"/>
    <cellStyle name="Normal 8 5 2 5 4" xfId="52159"/>
    <cellStyle name="Normal 8 5 2 5 4 2" xfId="52160"/>
    <cellStyle name="Normal 8 5 2 5 5" xfId="52161"/>
    <cellStyle name="Normal 8 5 2 5 5 2" xfId="52162"/>
    <cellStyle name="Normal 8 5 2 5 6" xfId="52163"/>
    <cellStyle name="Normal 8 5 2 5 6 2" xfId="52164"/>
    <cellStyle name="Normal 8 5 2 5 7" xfId="52165"/>
    <cellStyle name="Normal 8 5 2 5 7 2" xfId="52166"/>
    <cellStyle name="Normal 8 5 2 5 8" xfId="52167"/>
    <cellStyle name="Normal 8 5 2 5 9" xfId="52168"/>
    <cellStyle name="Normal 8 5 2 6" xfId="52169"/>
    <cellStyle name="Normal 8 5 2 6 2" xfId="52170"/>
    <cellStyle name="Normal 8 5 2 6 2 2" xfId="52171"/>
    <cellStyle name="Normal 8 5 2 6 3" xfId="52172"/>
    <cellStyle name="Normal 8 5 2 6 3 2" xfId="52173"/>
    <cellStyle name="Normal 8 5 2 6 4" xfId="52174"/>
    <cellStyle name="Normal 8 5 2 6 4 2" xfId="52175"/>
    <cellStyle name="Normal 8 5 2 6 5" xfId="52176"/>
    <cellStyle name="Normal 8 5 2 6 5 2" xfId="52177"/>
    <cellStyle name="Normal 8 5 2 6 6" xfId="52178"/>
    <cellStyle name="Normal 8 5 2 6 7" xfId="52179"/>
    <cellStyle name="Normal 8 5 2 6 8" xfId="52180"/>
    <cellStyle name="Normal 8 5 2 6 9" xfId="52181"/>
    <cellStyle name="Normal 8 5 2 7" xfId="52182"/>
    <cellStyle name="Normal 8 5 2 7 2" xfId="52183"/>
    <cellStyle name="Normal 8 5 2 7 2 2" xfId="52184"/>
    <cellStyle name="Normal 8 5 2 7 3" xfId="52185"/>
    <cellStyle name="Normal 8 5 2 7 4" xfId="52186"/>
    <cellStyle name="Normal 8 5 2 7 5" xfId="52187"/>
    <cellStyle name="Normal 8 5 2 8" xfId="52188"/>
    <cellStyle name="Normal 8 5 2 8 2" xfId="52189"/>
    <cellStyle name="Normal 8 5 2 9" xfId="52190"/>
    <cellStyle name="Normal 8 5 2 9 2" xfId="52191"/>
    <cellStyle name="Normal 8 5 20" xfId="52192"/>
    <cellStyle name="Normal 8 5 21" xfId="52193"/>
    <cellStyle name="Normal 8 5 22" xfId="52194"/>
    <cellStyle name="Normal 8 5 23" xfId="52195"/>
    <cellStyle name="Normal 8 5 24" xfId="52196"/>
    <cellStyle name="Normal 8 5 25" xfId="52197"/>
    <cellStyle name="Normal 8 5 3" xfId="52198"/>
    <cellStyle name="Normal 8 5 3 10" xfId="52199"/>
    <cellStyle name="Normal 8 5 3 11" xfId="52200"/>
    <cellStyle name="Normal 8 5 3 12" xfId="52201"/>
    <cellStyle name="Normal 8 5 3 13" xfId="52202"/>
    <cellStyle name="Normal 8 5 3 14" xfId="52203"/>
    <cellStyle name="Normal 8 5 3 15" xfId="52204"/>
    <cellStyle name="Normal 8 5 3 16" xfId="52205"/>
    <cellStyle name="Normal 8 5 3 17" xfId="52206"/>
    <cellStyle name="Normal 8 5 3 18" xfId="52207"/>
    <cellStyle name="Normal 8 5 3 2" xfId="52208"/>
    <cellStyle name="Normal 8 5 3 2 10" xfId="52209"/>
    <cellStyle name="Normal 8 5 3 2 11" xfId="52210"/>
    <cellStyle name="Normal 8 5 3 2 12" xfId="52211"/>
    <cellStyle name="Normal 8 5 3 2 13" xfId="52212"/>
    <cellStyle name="Normal 8 5 3 2 2" xfId="52213"/>
    <cellStyle name="Normal 8 5 3 2 2 2" xfId="52214"/>
    <cellStyle name="Normal 8 5 3 2 2 2 2" xfId="52215"/>
    <cellStyle name="Normal 8 5 3 2 2 3" xfId="52216"/>
    <cellStyle name="Normal 8 5 3 2 2 4" xfId="52217"/>
    <cellStyle name="Normal 8 5 3 2 2 5" xfId="52218"/>
    <cellStyle name="Normal 8 5 3 2 3" xfId="52219"/>
    <cellStyle name="Normal 8 5 3 2 3 2" xfId="52220"/>
    <cellStyle name="Normal 8 5 3 2 4" xfId="52221"/>
    <cellStyle name="Normal 8 5 3 2 4 2" xfId="52222"/>
    <cellStyle name="Normal 8 5 3 2 5" xfId="52223"/>
    <cellStyle name="Normal 8 5 3 2 5 2" xfId="52224"/>
    <cellStyle name="Normal 8 5 3 2 6" xfId="52225"/>
    <cellStyle name="Normal 8 5 3 2 6 2" xfId="52226"/>
    <cellStyle name="Normal 8 5 3 2 7" xfId="52227"/>
    <cellStyle name="Normal 8 5 3 2 8" xfId="52228"/>
    <cellStyle name="Normal 8 5 3 2 9" xfId="52229"/>
    <cellStyle name="Normal 8 5 3 3" xfId="52230"/>
    <cellStyle name="Normal 8 5 3 3 2" xfId="52231"/>
    <cellStyle name="Normal 8 5 3 3 2 2" xfId="52232"/>
    <cellStyle name="Normal 8 5 3 3 3" xfId="52233"/>
    <cellStyle name="Normal 8 5 3 3 4" xfId="52234"/>
    <cellStyle name="Normal 8 5 3 3 5" xfId="52235"/>
    <cellStyle name="Normal 8 5 3 4" xfId="52236"/>
    <cellStyle name="Normal 8 5 3 4 2" xfId="52237"/>
    <cellStyle name="Normal 8 5 3 5" xfId="52238"/>
    <cellStyle name="Normal 8 5 3 5 2" xfId="52239"/>
    <cellStyle name="Normal 8 5 3 6" xfId="52240"/>
    <cellStyle name="Normal 8 5 3 6 2" xfId="52241"/>
    <cellStyle name="Normal 8 5 3 7" xfId="52242"/>
    <cellStyle name="Normal 8 5 3 7 2" xfId="52243"/>
    <cellStyle name="Normal 8 5 3 8" xfId="52244"/>
    <cellStyle name="Normal 8 5 3 9" xfId="52245"/>
    <cellStyle name="Normal 8 5 4" xfId="52246"/>
    <cellStyle name="Normal 8 5 4 10" xfId="52247"/>
    <cellStyle name="Normal 8 5 4 11" xfId="52248"/>
    <cellStyle name="Normal 8 5 4 12" xfId="52249"/>
    <cellStyle name="Normal 8 5 4 13" xfId="52250"/>
    <cellStyle name="Normal 8 5 4 14" xfId="52251"/>
    <cellStyle name="Normal 8 5 4 15" xfId="52252"/>
    <cellStyle name="Normal 8 5 4 16" xfId="52253"/>
    <cellStyle name="Normal 8 5 4 17" xfId="52254"/>
    <cellStyle name="Normal 8 5 4 18" xfId="52255"/>
    <cellStyle name="Normal 8 5 4 2" xfId="52256"/>
    <cellStyle name="Normal 8 5 4 2 10" xfId="52257"/>
    <cellStyle name="Normal 8 5 4 2 11" xfId="52258"/>
    <cellStyle name="Normal 8 5 4 2 12" xfId="52259"/>
    <cellStyle name="Normal 8 5 4 2 13" xfId="52260"/>
    <cellStyle name="Normal 8 5 4 2 2" xfId="52261"/>
    <cellStyle name="Normal 8 5 4 2 2 2" xfId="52262"/>
    <cellStyle name="Normal 8 5 4 2 2 2 2" xfId="52263"/>
    <cellStyle name="Normal 8 5 4 2 2 3" xfId="52264"/>
    <cellStyle name="Normal 8 5 4 2 2 4" xfId="52265"/>
    <cellStyle name="Normal 8 5 4 2 2 5" xfId="52266"/>
    <cellStyle name="Normal 8 5 4 2 3" xfId="52267"/>
    <cellStyle name="Normal 8 5 4 2 3 2" xfId="52268"/>
    <cellStyle name="Normal 8 5 4 2 4" xfId="52269"/>
    <cellStyle name="Normal 8 5 4 2 4 2" xfId="52270"/>
    <cellStyle name="Normal 8 5 4 2 5" xfId="52271"/>
    <cellStyle name="Normal 8 5 4 2 5 2" xfId="52272"/>
    <cellStyle name="Normal 8 5 4 2 6" xfId="52273"/>
    <cellStyle name="Normal 8 5 4 2 6 2" xfId="52274"/>
    <cellStyle name="Normal 8 5 4 2 7" xfId="52275"/>
    <cellStyle name="Normal 8 5 4 2 8" xfId="52276"/>
    <cellStyle name="Normal 8 5 4 2 9" xfId="52277"/>
    <cellStyle name="Normal 8 5 4 3" xfId="52278"/>
    <cellStyle name="Normal 8 5 4 3 2" xfId="52279"/>
    <cellStyle name="Normal 8 5 4 3 2 2" xfId="52280"/>
    <cellStyle name="Normal 8 5 4 3 3" xfId="52281"/>
    <cellStyle name="Normal 8 5 4 3 4" xfId="52282"/>
    <cellStyle name="Normal 8 5 4 3 5" xfId="52283"/>
    <cellStyle name="Normal 8 5 4 4" xfId="52284"/>
    <cellStyle name="Normal 8 5 4 4 2" xfId="52285"/>
    <cellStyle name="Normal 8 5 4 5" xfId="52286"/>
    <cellStyle name="Normal 8 5 4 5 2" xfId="52287"/>
    <cellStyle name="Normal 8 5 4 6" xfId="52288"/>
    <cellStyle name="Normal 8 5 4 6 2" xfId="52289"/>
    <cellStyle name="Normal 8 5 4 7" xfId="52290"/>
    <cellStyle name="Normal 8 5 4 7 2" xfId="52291"/>
    <cellStyle name="Normal 8 5 4 8" xfId="52292"/>
    <cellStyle name="Normal 8 5 4 9" xfId="52293"/>
    <cellStyle name="Normal 8 5 5" xfId="52294"/>
    <cellStyle name="Normal 8 5 5 10" xfId="52295"/>
    <cellStyle name="Normal 8 5 5 11" xfId="52296"/>
    <cellStyle name="Normal 8 5 5 12" xfId="52297"/>
    <cellStyle name="Normal 8 5 5 13" xfId="52298"/>
    <cellStyle name="Normal 8 5 5 14" xfId="52299"/>
    <cellStyle name="Normal 8 5 5 15" xfId="52300"/>
    <cellStyle name="Normal 8 5 5 16" xfId="52301"/>
    <cellStyle name="Normal 8 5 5 17" xfId="52302"/>
    <cellStyle name="Normal 8 5 5 18" xfId="52303"/>
    <cellStyle name="Normal 8 5 5 2" xfId="52304"/>
    <cellStyle name="Normal 8 5 5 2 10" xfId="52305"/>
    <cellStyle name="Normal 8 5 5 2 11" xfId="52306"/>
    <cellStyle name="Normal 8 5 5 2 12" xfId="52307"/>
    <cellStyle name="Normal 8 5 5 2 13" xfId="52308"/>
    <cellStyle name="Normal 8 5 5 2 2" xfId="52309"/>
    <cellStyle name="Normal 8 5 5 2 2 2" xfId="52310"/>
    <cellStyle name="Normal 8 5 5 2 2 2 2" xfId="52311"/>
    <cellStyle name="Normal 8 5 5 2 2 3" xfId="52312"/>
    <cellStyle name="Normal 8 5 5 2 2 4" xfId="52313"/>
    <cellStyle name="Normal 8 5 5 2 2 5" xfId="52314"/>
    <cellStyle name="Normal 8 5 5 2 3" xfId="52315"/>
    <cellStyle name="Normal 8 5 5 2 3 2" xfId="52316"/>
    <cellStyle name="Normal 8 5 5 2 4" xfId="52317"/>
    <cellStyle name="Normal 8 5 5 2 4 2" xfId="52318"/>
    <cellStyle name="Normal 8 5 5 2 5" xfId="52319"/>
    <cellStyle name="Normal 8 5 5 2 5 2" xfId="52320"/>
    <cellStyle name="Normal 8 5 5 2 6" xfId="52321"/>
    <cellStyle name="Normal 8 5 5 2 6 2" xfId="52322"/>
    <cellStyle name="Normal 8 5 5 2 7" xfId="52323"/>
    <cellStyle name="Normal 8 5 5 2 8" xfId="52324"/>
    <cellStyle name="Normal 8 5 5 2 9" xfId="52325"/>
    <cellStyle name="Normal 8 5 5 3" xfId="52326"/>
    <cellStyle name="Normal 8 5 5 3 2" xfId="52327"/>
    <cellStyle name="Normal 8 5 5 3 2 2" xfId="52328"/>
    <cellStyle name="Normal 8 5 5 3 3" xfId="52329"/>
    <cellStyle name="Normal 8 5 5 3 4" xfId="52330"/>
    <cellStyle name="Normal 8 5 5 3 5" xfId="52331"/>
    <cellStyle name="Normal 8 5 5 4" xfId="52332"/>
    <cellStyle name="Normal 8 5 5 4 2" xfId="52333"/>
    <cellStyle name="Normal 8 5 5 5" xfId="52334"/>
    <cellStyle name="Normal 8 5 5 5 2" xfId="52335"/>
    <cellStyle name="Normal 8 5 5 6" xfId="52336"/>
    <cellStyle name="Normal 8 5 5 6 2" xfId="52337"/>
    <cellStyle name="Normal 8 5 5 7" xfId="52338"/>
    <cellStyle name="Normal 8 5 5 7 2" xfId="52339"/>
    <cellStyle name="Normal 8 5 5 8" xfId="52340"/>
    <cellStyle name="Normal 8 5 5 9" xfId="52341"/>
    <cellStyle name="Normal 8 5 6" xfId="52342"/>
    <cellStyle name="Normal 8 5 6 10" xfId="52343"/>
    <cellStyle name="Normal 8 5 6 11" xfId="52344"/>
    <cellStyle name="Normal 8 5 6 12" xfId="52345"/>
    <cellStyle name="Normal 8 5 6 13" xfId="52346"/>
    <cellStyle name="Normal 8 5 6 14" xfId="52347"/>
    <cellStyle name="Normal 8 5 6 15" xfId="52348"/>
    <cellStyle name="Normal 8 5 6 16" xfId="52349"/>
    <cellStyle name="Normal 8 5 6 17" xfId="52350"/>
    <cellStyle name="Normal 8 5 6 18" xfId="52351"/>
    <cellStyle name="Normal 8 5 6 2" xfId="52352"/>
    <cellStyle name="Normal 8 5 6 2 10" xfId="52353"/>
    <cellStyle name="Normal 8 5 6 2 11" xfId="52354"/>
    <cellStyle name="Normal 8 5 6 2 12" xfId="52355"/>
    <cellStyle name="Normal 8 5 6 2 13" xfId="52356"/>
    <cellStyle name="Normal 8 5 6 2 2" xfId="52357"/>
    <cellStyle name="Normal 8 5 6 2 2 2" xfId="52358"/>
    <cellStyle name="Normal 8 5 6 2 2 2 2" xfId="52359"/>
    <cellStyle name="Normal 8 5 6 2 2 3" xfId="52360"/>
    <cellStyle name="Normal 8 5 6 2 2 4" xfId="52361"/>
    <cellStyle name="Normal 8 5 6 2 2 5" xfId="52362"/>
    <cellStyle name="Normal 8 5 6 2 3" xfId="52363"/>
    <cellStyle name="Normal 8 5 6 2 3 2" xfId="52364"/>
    <cellStyle name="Normal 8 5 6 2 4" xfId="52365"/>
    <cellStyle name="Normal 8 5 6 2 4 2" xfId="52366"/>
    <cellStyle name="Normal 8 5 6 2 5" xfId="52367"/>
    <cellStyle name="Normal 8 5 6 2 5 2" xfId="52368"/>
    <cellStyle name="Normal 8 5 6 2 6" xfId="52369"/>
    <cellStyle name="Normal 8 5 6 2 6 2" xfId="52370"/>
    <cellStyle name="Normal 8 5 6 2 7" xfId="52371"/>
    <cellStyle name="Normal 8 5 6 2 8" xfId="52372"/>
    <cellStyle name="Normal 8 5 6 2 9" xfId="52373"/>
    <cellStyle name="Normal 8 5 6 3" xfId="52374"/>
    <cellStyle name="Normal 8 5 6 3 2" xfId="52375"/>
    <cellStyle name="Normal 8 5 6 3 2 2" xfId="52376"/>
    <cellStyle name="Normal 8 5 6 3 3" xfId="52377"/>
    <cellStyle name="Normal 8 5 6 3 4" xfId="52378"/>
    <cellStyle name="Normal 8 5 6 3 5" xfId="52379"/>
    <cellStyle name="Normal 8 5 6 4" xfId="52380"/>
    <cellStyle name="Normal 8 5 6 4 2" xfId="52381"/>
    <cellStyle name="Normal 8 5 6 5" xfId="52382"/>
    <cellStyle name="Normal 8 5 6 5 2" xfId="52383"/>
    <cellStyle name="Normal 8 5 6 6" xfId="52384"/>
    <cellStyle name="Normal 8 5 6 6 2" xfId="52385"/>
    <cellStyle name="Normal 8 5 6 7" xfId="52386"/>
    <cellStyle name="Normal 8 5 6 7 2" xfId="52387"/>
    <cellStyle name="Normal 8 5 6 8" xfId="52388"/>
    <cellStyle name="Normal 8 5 6 9" xfId="52389"/>
    <cellStyle name="Normal 8 5 7" xfId="52390"/>
    <cellStyle name="Normal 8 5 7 10" xfId="52391"/>
    <cellStyle name="Normal 8 5 7 11" xfId="52392"/>
    <cellStyle name="Normal 8 5 7 12" xfId="52393"/>
    <cellStyle name="Normal 8 5 7 13" xfId="52394"/>
    <cellStyle name="Normal 8 5 7 14" xfId="52395"/>
    <cellStyle name="Normal 8 5 7 15" xfId="52396"/>
    <cellStyle name="Normal 8 5 7 16" xfId="52397"/>
    <cellStyle name="Normal 8 5 7 17" xfId="52398"/>
    <cellStyle name="Normal 8 5 7 2" xfId="52399"/>
    <cellStyle name="Normal 8 5 7 2 10" xfId="52400"/>
    <cellStyle name="Normal 8 5 7 2 11" xfId="52401"/>
    <cellStyle name="Normal 8 5 7 2 12" xfId="52402"/>
    <cellStyle name="Normal 8 5 7 2 13" xfId="52403"/>
    <cellStyle name="Normal 8 5 7 2 2" xfId="52404"/>
    <cellStyle name="Normal 8 5 7 2 2 2" xfId="52405"/>
    <cellStyle name="Normal 8 5 7 2 2 2 2" xfId="52406"/>
    <cellStyle name="Normal 8 5 7 2 2 3" xfId="52407"/>
    <cellStyle name="Normal 8 5 7 2 2 4" xfId="52408"/>
    <cellStyle name="Normal 8 5 7 2 2 5" xfId="52409"/>
    <cellStyle name="Normal 8 5 7 2 3" xfId="52410"/>
    <cellStyle name="Normal 8 5 7 2 3 2" xfId="52411"/>
    <cellStyle name="Normal 8 5 7 2 4" xfId="52412"/>
    <cellStyle name="Normal 8 5 7 2 4 2" xfId="52413"/>
    <cellStyle name="Normal 8 5 7 2 5" xfId="52414"/>
    <cellStyle name="Normal 8 5 7 2 5 2" xfId="52415"/>
    <cellStyle name="Normal 8 5 7 2 6" xfId="52416"/>
    <cellStyle name="Normal 8 5 7 2 6 2" xfId="52417"/>
    <cellStyle name="Normal 8 5 7 2 7" xfId="52418"/>
    <cellStyle name="Normal 8 5 7 2 8" xfId="52419"/>
    <cellStyle name="Normal 8 5 7 2 9" xfId="52420"/>
    <cellStyle name="Normal 8 5 7 3" xfId="52421"/>
    <cellStyle name="Normal 8 5 7 3 2" xfId="52422"/>
    <cellStyle name="Normal 8 5 7 3 2 2" xfId="52423"/>
    <cellStyle name="Normal 8 5 7 3 3" xfId="52424"/>
    <cellStyle name="Normal 8 5 7 3 4" xfId="52425"/>
    <cellStyle name="Normal 8 5 7 3 5" xfId="52426"/>
    <cellStyle name="Normal 8 5 7 4" xfId="52427"/>
    <cellStyle name="Normal 8 5 7 4 2" xfId="52428"/>
    <cellStyle name="Normal 8 5 7 5" xfId="52429"/>
    <cellStyle name="Normal 8 5 7 5 2" xfId="52430"/>
    <cellStyle name="Normal 8 5 7 6" xfId="52431"/>
    <cellStyle name="Normal 8 5 7 6 2" xfId="52432"/>
    <cellStyle name="Normal 8 5 7 7" xfId="52433"/>
    <cellStyle name="Normal 8 5 7 7 2" xfId="52434"/>
    <cellStyle name="Normal 8 5 7 8" xfId="52435"/>
    <cellStyle name="Normal 8 5 7 9" xfId="52436"/>
    <cellStyle name="Normal 8 5 8" xfId="52437"/>
    <cellStyle name="Normal 8 5 8 10" xfId="52438"/>
    <cellStyle name="Normal 8 5 8 11" xfId="52439"/>
    <cellStyle name="Normal 8 5 8 12" xfId="52440"/>
    <cellStyle name="Normal 8 5 8 13" xfId="52441"/>
    <cellStyle name="Normal 8 5 8 14" xfId="52442"/>
    <cellStyle name="Normal 8 5 8 15" xfId="52443"/>
    <cellStyle name="Normal 8 5 8 2" xfId="52444"/>
    <cellStyle name="Normal 8 5 8 2 2" xfId="52445"/>
    <cellStyle name="Normal 8 5 8 2 2 2" xfId="52446"/>
    <cellStyle name="Normal 8 5 8 2 3" xfId="52447"/>
    <cellStyle name="Normal 8 5 8 2 3 2" xfId="52448"/>
    <cellStyle name="Normal 8 5 8 2 4" xfId="52449"/>
    <cellStyle name="Normal 8 5 8 2 4 2" xfId="52450"/>
    <cellStyle name="Normal 8 5 8 2 5" xfId="52451"/>
    <cellStyle name="Normal 8 5 8 2 5 2" xfId="52452"/>
    <cellStyle name="Normal 8 5 8 2 6" xfId="52453"/>
    <cellStyle name="Normal 8 5 8 2 7" xfId="52454"/>
    <cellStyle name="Normal 8 5 8 2 8" xfId="52455"/>
    <cellStyle name="Normal 8 5 8 2 9" xfId="52456"/>
    <cellStyle name="Normal 8 5 8 3" xfId="52457"/>
    <cellStyle name="Normal 8 5 8 3 2" xfId="52458"/>
    <cellStyle name="Normal 8 5 8 3 2 2" xfId="52459"/>
    <cellStyle name="Normal 8 5 8 3 3" xfId="52460"/>
    <cellStyle name="Normal 8 5 8 3 4" xfId="52461"/>
    <cellStyle name="Normal 8 5 8 3 5" xfId="52462"/>
    <cellStyle name="Normal 8 5 8 4" xfId="52463"/>
    <cellStyle name="Normal 8 5 8 4 2" xfId="52464"/>
    <cellStyle name="Normal 8 5 8 5" xfId="52465"/>
    <cellStyle name="Normal 8 5 8 5 2" xfId="52466"/>
    <cellStyle name="Normal 8 5 8 6" xfId="52467"/>
    <cellStyle name="Normal 8 5 8 6 2" xfId="52468"/>
    <cellStyle name="Normal 8 5 8 7" xfId="52469"/>
    <cellStyle name="Normal 8 5 8 7 2" xfId="52470"/>
    <cellStyle name="Normal 8 5 8 8" xfId="52471"/>
    <cellStyle name="Normal 8 5 8 9" xfId="52472"/>
    <cellStyle name="Normal 8 5 9" xfId="52473"/>
    <cellStyle name="Normal 8 5 9 10" xfId="52474"/>
    <cellStyle name="Normal 8 5 9 11" xfId="52475"/>
    <cellStyle name="Normal 8 5 9 12" xfId="52476"/>
    <cellStyle name="Normal 8 5 9 13" xfId="52477"/>
    <cellStyle name="Normal 8 5 9 14" xfId="52478"/>
    <cellStyle name="Normal 8 5 9 15" xfId="52479"/>
    <cellStyle name="Normal 8 5 9 2" xfId="52480"/>
    <cellStyle name="Normal 8 5 9 2 2" xfId="52481"/>
    <cellStyle name="Normal 8 5 9 2 2 2" xfId="52482"/>
    <cellStyle name="Normal 8 5 9 2 3" xfId="52483"/>
    <cellStyle name="Normal 8 5 9 2 3 2" xfId="52484"/>
    <cellStyle name="Normal 8 5 9 2 4" xfId="52485"/>
    <cellStyle name="Normal 8 5 9 2 4 2" xfId="52486"/>
    <cellStyle name="Normal 8 5 9 2 5" xfId="52487"/>
    <cellStyle name="Normal 8 5 9 2 5 2" xfId="52488"/>
    <cellStyle name="Normal 8 5 9 2 6" xfId="52489"/>
    <cellStyle name="Normal 8 5 9 2 7" xfId="52490"/>
    <cellStyle name="Normal 8 5 9 2 8" xfId="52491"/>
    <cellStyle name="Normal 8 5 9 2 9" xfId="52492"/>
    <cellStyle name="Normal 8 5 9 3" xfId="52493"/>
    <cellStyle name="Normal 8 5 9 3 2" xfId="52494"/>
    <cellStyle name="Normal 8 5 9 3 2 2" xfId="52495"/>
    <cellStyle name="Normal 8 5 9 3 3" xfId="52496"/>
    <cellStyle name="Normal 8 5 9 3 4" xfId="52497"/>
    <cellStyle name="Normal 8 5 9 3 5" xfId="52498"/>
    <cellStyle name="Normal 8 5 9 4" xfId="52499"/>
    <cellStyle name="Normal 8 5 9 4 2" xfId="52500"/>
    <cellStyle name="Normal 8 5 9 5" xfId="52501"/>
    <cellStyle name="Normal 8 5 9 5 2" xfId="52502"/>
    <cellStyle name="Normal 8 5 9 6" xfId="52503"/>
    <cellStyle name="Normal 8 5 9 6 2" xfId="52504"/>
    <cellStyle name="Normal 8 5 9 7" xfId="52505"/>
    <cellStyle name="Normal 8 5 9 7 2" xfId="52506"/>
    <cellStyle name="Normal 8 5 9 8" xfId="52507"/>
    <cellStyle name="Normal 8 5 9 9" xfId="52508"/>
    <cellStyle name="Normal 8 6" xfId="52509"/>
    <cellStyle name="Normal 8 6 10" xfId="52510"/>
    <cellStyle name="Normal 8 6 10 10" xfId="52511"/>
    <cellStyle name="Normal 8 6 10 11" xfId="52512"/>
    <cellStyle name="Normal 8 6 10 12" xfId="52513"/>
    <cellStyle name="Normal 8 6 10 13" xfId="52514"/>
    <cellStyle name="Normal 8 6 10 14" xfId="52515"/>
    <cellStyle name="Normal 8 6 10 2" xfId="52516"/>
    <cellStyle name="Normal 8 6 10 2 2" xfId="52517"/>
    <cellStyle name="Normal 8 6 10 2 2 2" xfId="52518"/>
    <cellStyle name="Normal 8 6 10 2 3" xfId="52519"/>
    <cellStyle name="Normal 8 6 10 2 3 2" xfId="52520"/>
    <cellStyle name="Normal 8 6 10 2 4" xfId="52521"/>
    <cellStyle name="Normal 8 6 10 2 4 2" xfId="52522"/>
    <cellStyle name="Normal 8 6 10 2 5" xfId="52523"/>
    <cellStyle name="Normal 8 6 10 2 5 2" xfId="52524"/>
    <cellStyle name="Normal 8 6 10 2 6" xfId="52525"/>
    <cellStyle name="Normal 8 6 10 2 7" xfId="52526"/>
    <cellStyle name="Normal 8 6 10 2 8" xfId="52527"/>
    <cellStyle name="Normal 8 6 10 2 9" xfId="52528"/>
    <cellStyle name="Normal 8 6 10 3" xfId="52529"/>
    <cellStyle name="Normal 8 6 10 3 2" xfId="52530"/>
    <cellStyle name="Normal 8 6 10 3 2 2" xfId="52531"/>
    <cellStyle name="Normal 8 6 10 3 3" xfId="52532"/>
    <cellStyle name="Normal 8 6 10 3 4" xfId="52533"/>
    <cellStyle name="Normal 8 6 10 3 5" xfId="52534"/>
    <cellStyle name="Normal 8 6 10 4" xfId="52535"/>
    <cellStyle name="Normal 8 6 10 4 2" xfId="52536"/>
    <cellStyle name="Normal 8 6 10 5" xfId="52537"/>
    <cellStyle name="Normal 8 6 10 5 2" xfId="52538"/>
    <cellStyle name="Normal 8 6 10 6" xfId="52539"/>
    <cellStyle name="Normal 8 6 10 6 2" xfId="52540"/>
    <cellStyle name="Normal 8 6 10 7" xfId="52541"/>
    <cellStyle name="Normal 8 6 10 7 2" xfId="52542"/>
    <cellStyle name="Normal 8 6 10 8" xfId="52543"/>
    <cellStyle name="Normal 8 6 10 9" xfId="52544"/>
    <cellStyle name="Normal 8 6 11" xfId="52545"/>
    <cellStyle name="Normal 8 6 11 2" xfId="52546"/>
    <cellStyle name="Normal 8 6 11 2 2" xfId="52547"/>
    <cellStyle name="Normal 8 6 11 3" xfId="52548"/>
    <cellStyle name="Normal 8 6 11 3 2" xfId="52549"/>
    <cellStyle name="Normal 8 6 11 4" xfId="52550"/>
    <cellStyle name="Normal 8 6 11 4 2" xfId="52551"/>
    <cellStyle name="Normal 8 6 11 5" xfId="52552"/>
    <cellStyle name="Normal 8 6 11 5 2" xfId="52553"/>
    <cellStyle name="Normal 8 6 11 6" xfId="52554"/>
    <cellStyle name="Normal 8 6 11 7" xfId="52555"/>
    <cellStyle name="Normal 8 6 11 8" xfId="52556"/>
    <cellStyle name="Normal 8 6 11 9" xfId="52557"/>
    <cellStyle name="Normal 8 6 12" xfId="52558"/>
    <cellStyle name="Normal 8 6 12 2" xfId="52559"/>
    <cellStyle name="Normal 8 6 12 2 2" xfId="52560"/>
    <cellStyle name="Normal 8 6 12 3" xfId="52561"/>
    <cellStyle name="Normal 8 6 12 4" xfId="52562"/>
    <cellStyle name="Normal 8 6 12 5" xfId="52563"/>
    <cellStyle name="Normal 8 6 13" xfId="52564"/>
    <cellStyle name="Normal 8 6 13 2" xfId="52565"/>
    <cellStyle name="Normal 8 6 14" xfId="52566"/>
    <cellStyle name="Normal 8 6 14 2" xfId="52567"/>
    <cellStyle name="Normal 8 6 15" xfId="52568"/>
    <cellStyle name="Normal 8 6 15 2" xfId="52569"/>
    <cellStyle name="Normal 8 6 16" xfId="52570"/>
    <cellStyle name="Normal 8 6 16 2" xfId="52571"/>
    <cellStyle name="Normal 8 6 17" xfId="52572"/>
    <cellStyle name="Normal 8 6 18" xfId="52573"/>
    <cellStyle name="Normal 8 6 19" xfId="52574"/>
    <cellStyle name="Normal 8 6 2" xfId="52575"/>
    <cellStyle name="Normal 8 6 2 10" xfId="52576"/>
    <cellStyle name="Normal 8 6 2 11" xfId="52577"/>
    <cellStyle name="Normal 8 6 2 12" xfId="52578"/>
    <cellStyle name="Normal 8 6 2 13" xfId="52579"/>
    <cellStyle name="Normal 8 6 2 14" xfId="52580"/>
    <cellStyle name="Normal 8 6 2 15" xfId="52581"/>
    <cellStyle name="Normal 8 6 2 16" xfId="52582"/>
    <cellStyle name="Normal 8 6 2 17" xfId="52583"/>
    <cellStyle name="Normal 8 6 2 18" xfId="52584"/>
    <cellStyle name="Normal 8 6 2 2" xfId="52585"/>
    <cellStyle name="Normal 8 6 2 2 10" xfId="52586"/>
    <cellStyle name="Normal 8 6 2 2 11" xfId="52587"/>
    <cellStyle name="Normal 8 6 2 2 12" xfId="52588"/>
    <cellStyle name="Normal 8 6 2 2 13" xfId="52589"/>
    <cellStyle name="Normal 8 6 2 2 2" xfId="52590"/>
    <cellStyle name="Normal 8 6 2 2 2 2" xfId="52591"/>
    <cellStyle name="Normal 8 6 2 2 2 2 2" xfId="52592"/>
    <cellStyle name="Normal 8 6 2 2 2 3" xfId="52593"/>
    <cellStyle name="Normal 8 6 2 2 2 4" xfId="52594"/>
    <cellStyle name="Normal 8 6 2 2 2 5" xfId="52595"/>
    <cellStyle name="Normal 8 6 2 2 3" xfId="52596"/>
    <cellStyle name="Normal 8 6 2 2 3 2" xfId="52597"/>
    <cellStyle name="Normal 8 6 2 2 4" xfId="52598"/>
    <cellStyle name="Normal 8 6 2 2 4 2" xfId="52599"/>
    <cellStyle name="Normal 8 6 2 2 5" xfId="52600"/>
    <cellStyle name="Normal 8 6 2 2 5 2" xfId="52601"/>
    <cellStyle name="Normal 8 6 2 2 6" xfId="52602"/>
    <cellStyle name="Normal 8 6 2 2 6 2" xfId="52603"/>
    <cellStyle name="Normal 8 6 2 2 7" xfId="52604"/>
    <cellStyle name="Normal 8 6 2 2 8" xfId="52605"/>
    <cellStyle name="Normal 8 6 2 2 9" xfId="52606"/>
    <cellStyle name="Normal 8 6 2 3" xfId="52607"/>
    <cellStyle name="Normal 8 6 2 3 2" xfId="52608"/>
    <cellStyle name="Normal 8 6 2 3 2 2" xfId="52609"/>
    <cellStyle name="Normal 8 6 2 3 3" xfId="52610"/>
    <cellStyle name="Normal 8 6 2 3 4" xfId="52611"/>
    <cellStyle name="Normal 8 6 2 3 5" xfId="52612"/>
    <cellStyle name="Normal 8 6 2 4" xfId="52613"/>
    <cellStyle name="Normal 8 6 2 4 2" xfId="52614"/>
    <cellStyle name="Normal 8 6 2 5" xfId="52615"/>
    <cellStyle name="Normal 8 6 2 5 2" xfId="52616"/>
    <cellStyle name="Normal 8 6 2 6" xfId="52617"/>
    <cellStyle name="Normal 8 6 2 6 2" xfId="52618"/>
    <cellStyle name="Normal 8 6 2 7" xfId="52619"/>
    <cellStyle name="Normal 8 6 2 7 2" xfId="52620"/>
    <cellStyle name="Normal 8 6 2 8" xfId="52621"/>
    <cellStyle name="Normal 8 6 2 9" xfId="52622"/>
    <cellStyle name="Normal 8 6 20" xfId="52623"/>
    <cellStyle name="Normal 8 6 21" xfId="52624"/>
    <cellStyle name="Normal 8 6 22" xfId="52625"/>
    <cellStyle name="Normal 8 6 23" xfId="52626"/>
    <cellStyle name="Normal 8 6 24" xfId="52627"/>
    <cellStyle name="Normal 8 6 25" xfId="52628"/>
    <cellStyle name="Normal 8 6 3" xfId="52629"/>
    <cellStyle name="Normal 8 6 3 10" xfId="52630"/>
    <cellStyle name="Normal 8 6 3 11" xfId="52631"/>
    <cellStyle name="Normal 8 6 3 12" xfId="52632"/>
    <cellStyle name="Normal 8 6 3 13" xfId="52633"/>
    <cellStyle name="Normal 8 6 3 14" xfId="52634"/>
    <cellStyle name="Normal 8 6 3 15" xfId="52635"/>
    <cellStyle name="Normal 8 6 3 16" xfId="52636"/>
    <cellStyle name="Normal 8 6 3 17" xfId="52637"/>
    <cellStyle name="Normal 8 6 3 18" xfId="52638"/>
    <cellStyle name="Normal 8 6 3 2" xfId="52639"/>
    <cellStyle name="Normal 8 6 3 2 10" xfId="52640"/>
    <cellStyle name="Normal 8 6 3 2 11" xfId="52641"/>
    <cellStyle name="Normal 8 6 3 2 12" xfId="52642"/>
    <cellStyle name="Normal 8 6 3 2 13" xfId="52643"/>
    <cellStyle name="Normal 8 6 3 2 2" xfId="52644"/>
    <cellStyle name="Normal 8 6 3 2 2 2" xfId="52645"/>
    <cellStyle name="Normal 8 6 3 2 2 2 2" xfId="52646"/>
    <cellStyle name="Normal 8 6 3 2 2 3" xfId="52647"/>
    <cellStyle name="Normal 8 6 3 2 2 4" xfId="52648"/>
    <cellStyle name="Normal 8 6 3 2 2 5" xfId="52649"/>
    <cellStyle name="Normal 8 6 3 2 3" xfId="52650"/>
    <cellStyle name="Normal 8 6 3 2 3 2" xfId="52651"/>
    <cellStyle name="Normal 8 6 3 2 4" xfId="52652"/>
    <cellStyle name="Normal 8 6 3 2 4 2" xfId="52653"/>
    <cellStyle name="Normal 8 6 3 2 5" xfId="52654"/>
    <cellStyle name="Normal 8 6 3 2 5 2" xfId="52655"/>
    <cellStyle name="Normal 8 6 3 2 6" xfId="52656"/>
    <cellStyle name="Normal 8 6 3 2 6 2" xfId="52657"/>
    <cellStyle name="Normal 8 6 3 2 7" xfId="52658"/>
    <cellStyle name="Normal 8 6 3 2 8" xfId="52659"/>
    <cellStyle name="Normal 8 6 3 2 9" xfId="52660"/>
    <cellStyle name="Normal 8 6 3 3" xfId="52661"/>
    <cellStyle name="Normal 8 6 3 3 2" xfId="52662"/>
    <cellStyle name="Normal 8 6 3 3 2 2" xfId="52663"/>
    <cellStyle name="Normal 8 6 3 3 3" xfId="52664"/>
    <cellStyle name="Normal 8 6 3 3 4" xfId="52665"/>
    <cellStyle name="Normal 8 6 3 3 5" xfId="52666"/>
    <cellStyle name="Normal 8 6 3 4" xfId="52667"/>
    <cellStyle name="Normal 8 6 3 4 2" xfId="52668"/>
    <cellStyle name="Normal 8 6 3 5" xfId="52669"/>
    <cellStyle name="Normal 8 6 3 5 2" xfId="52670"/>
    <cellStyle name="Normal 8 6 3 6" xfId="52671"/>
    <cellStyle name="Normal 8 6 3 6 2" xfId="52672"/>
    <cellStyle name="Normal 8 6 3 7" xfId="52673"/>
    <cellStyle name="Normal 8 6 3 7 2" xfId="52674"/>
    <cellStyle name="Normal 8 6 3 8" xfId="52675"/>
    <cellStyle name="Normal 8 6 3 9" xfId="52676"/>
    <cellStyle name="Normal 8 6 4" xfId="52677"/>
    <cellStyle name="Normal 8 6 4 10" xfId="52678"/>
    <cellStyle name="Normal 8 6 4 11" xfId="52679"/>
    <cellStyle name="Normal 8 6 4 12" xfId="52680"/>
    <cellStyle name="Normal 8 6 4 13" xfId="52681"/>
    <cellStyle name="Normal 8 6 4 14" xfId="52682"/>
    <cellStyle name="Normal 8 6 4 15" xfId="52683"/>
    <cellStyle name="Normal 8 6 4 16" xfId="52684"/>
    <cellStyle name="Normal 8 6 4 17" xfId="52685"/>
    <cellStyle name="Normal 8 6 4 18" xfId="52686"/>
    <cellStyle name="Normal 8 6 4 2" xfId="52687"/>
    <cellStyle name="Normal 8 6 4 2 10" xfId="52688"/>
    <cellStyle name="Normal 8 6 4 2 11" xfId="52689"/>
    <cellStyle name="Normal 8 6 4 2 12" xfId="52690"/>
    <cellStyle name="Normal 8 6 4 2 13" xfId="52691"/>
    <cellStyle name="Normal 8 6 4 2 2" xfId="52692"/>
    <cellStyle name="Normal 8 6 4 2 2 2" xfId="52693"/>
    <cellStyle name="Normal 8 6 4 2 2 2 2" xfId="52694"/>
    <cellStyle name="Normal 8 6 4 2 2 3" xfId="52695"/>
    <cellStyle name="Normal 8 6 4 2 2 4" xfId="52696"/>
    <cellStyle name="Normal 8 6 4 2 2 5" xfId="52697"/>
    <cellStyle name="Normal 8 6 4 2 3" xfId="52698"/>
    <cellStyle name="Normal 8 6 4 2 3 2" xfId="52699"/>
    <cellStyle name="Normal 8 6 4 2 4" xfId="52700"/>
    <cellStyle name="Normal 8 6 4 2 4 2" xfId="52701"/>
    <cellStyle name="Normal 8 6 4 2 5" xfId="52702"/>
    <cellStyle name="Normal 8 6 4 2 5 2" xfId="52703"/>
    <cellStyle name="Normal 8 6 4 2 6" xfId="52704"/>
    <cellStyle name="Normal 8 6 4 2 6 2" xfId="52705"/>
    <cellStyle name="Normal 8 6 4 2 7" xfId="52706"/>
    <cellStyle name="Normal 8 6 4 2 8" xfId="52707"/>
    <cellStyle name="Normal 8 6 4 2 9" xfId="52708"/>
    <cellStyle name="Normal 8 6 4 3" xfId="52709"/>
    <cellStyle name="Normal 8 6 4 3 2" xfId="52710"/>
    <cellStyle name="Normal 8 6 4 3 2 2" xfId="52711"/>
    <cellStyle name="Normal 8 6 4 3 3" xfId="52712"/>
    <cellStyle name="Normal 8 6 4 3 4" xfId="52713"/>
    <cellStyle name="Normal 8 6 4 3 5" xfId="52714"/>
    <cellStyle name="Normal 8 6 4 4" xfId="52715"/>
    <cellStyle name="Normal 8 6 4 4 2" xfId="52716"/>
    <cellStyle name="Normal 8 6 4 5" xfId="52717"/>
    <cellStyle name="Normal 8 6 4 5 2" xfId="52718"/>
    <cellStyle name="Normal 8 6 4 6" xfId="52719"/>
    <cellStyle name="Normal 8 6 4 6 2" xfId="52720"/>
    <cellStyle name="Normal 8 6 4 7" xfId="52721"/>
    <cellStyle name="Normal 8 6 4 7 2" xfId="52722"/>
    <cellStyle name="Normal 8 6 4 8" xfId="52723"/>
    <cellStyle name="Normal 8 6 4 9" xfId="52724"/>
    <cellStyle name="Normal 8 6 5" xfId="52725"/>
    <cellStyle name="Normal 8 6 5 10" xfId="52726"/>
    <cellStyle name="Normal 8 6 5 11" xfId="52727"/>
    <cellStyle name="Normal 8 6 5 12" xfId="52728"/>
    <cellStyle name="Normal 8 6 5 13" xfId="52729"/>
    <cellStyle name="Normal 8 6 5 14" xfId="52730"/>
    <cellStyle name="Normal 8 6 5 15" xfId="52731"/>
    <cellStyle name="Normal 8 6 5 16" xfId="52732"/>
    <cellStyle name="Normal 8 6 5 17" xfId="52733"/>
    <cellStyle name="Normal 8 6 5 2" xfId="52734"/>
    <cellStyle name="Normal 8 6 5 2 10" xfId="52735"/>
    <cellStyle name="Normal 8 6 5 2 11" xfId="52736"/>
    <cellStyle name="Normal 8 6 5 2 12" xfId="52737"/>
    <cellStyle name="Normal 8 6 5 2 13" xfId="52738"/>
    <cellStyle name="Normal 8 6 5 2 2" xfId="52739"/>
    <cellStyle name="Normal 8 6 5 2 2 2" xfId="52740"/>
    <cellStyle name="Normal 8 6 5 2 2 2 2" xfId="52741"/>
    <cellStyle name="Normal 8 6 5 2 2 3" xfId="52742"/>
    <cellStyle name="Normal 8 6 5 2 2 4" xfId="52743"/>
    <cellStyle name="Normal 8 6 5 2 2 5" xfId="52744"/>
    <cellStyle name="Normal 8 6 5 2 3" xfId="52745"/>
    <cellStyle name="Normal 8 6 5 2 3 2" xfId="52746"/>
    <cellStyle name="Normal 8 6 5 2 4" xfId="52747"/>
    <cellStyle name="Normal 8 6 5 2 4 2" xfId="52748"/>
    <cellStyle name="Normal 8 6 5 2 5" xfId="52749"/>
    <cellStyle name="Normal 8 6 5 2 5 2" xfId="52750"/>
    <cellStyle name="Normal 8 6 5 2 6" xfId="52751"/>
    <cellStyle name="Normal 8 6 5 2 6 2" xfId="52752"/>
    <cellStyle name="Normal 8 6 5 2 7" xfId="52753"/>
    <cellStyle name="Normal 8 6 5 2 8" xfId="52754"/>
    <cellStyle name="Normal 8 6 5 2 9" xfId="52755"/>
    <cellStyle name="Normal 8 6 5 3" xfId="52756"/>
    <cellStyle name="Normal 8 6 5 3 2" xfId="52757"/>
    <cellStyle name="Normal 8 6 5 3 2 2" xfId="52758"/>
    <cellStyle name="Normal 8 6 5 3 3" xfId="52759"/>
    <cellStyle name="Normal 8 6 5 3 4" xfId="52760"/>
    <cellStyle name="Normal 8 6 5 3 5" xfId="52761"/>
    <cellStyle name="Normal 8 6 5 4" xfId="52762"/>
    <cellStyle name="Normal 8 6 5 4 2" xfId="52763"/>
    <cellStyle name="Normal 8 6 5 5" xfId="52764"/>
    <cellStyle name="Normal 8 6 5 5 2" xfId="52765"/>
    <cellStyle name="Normal 8 6 5 6" xfId="52766"/>
    <cellStyle name="Normal 8 6 5 6 2" xfId="52767"/>
    <cellStyle name="Normal 8 6 5 7" xfId="52768"/>
    <cellStyle name="Normal 8 6 5 7 2" xfId="52769"/>
    <cellStyle name="Normal 8 6 5 8" xfId="52770"/>
    <cellStyle name="Normal 8 6 5 9" xfId="52771"/>
    <cellStyle name="Normal 8 6 6" xfId="52772"/>
    <cellStyle name="Normal 8 6 6 10" xfId="52773"/>
    <cellStyle name="Normal 8 6 6 11" xfId="52774"/>
    <cellStyle name="Normal 8 6 6 12" xfId="52775"/>
    <cellStyle name="Normal 8 6 6 13" xfId="52776"/>
    <cellStyle name="Normal 8 6 6 14" xfId="52777"/>
    <cellStyle name="Normal 8 6 6 15" xfId="52778"/>
    <cellStyle name="Normal 8 6 6 16" xfId="52779"/>
    <cellStyle name="Normal 8 6 6 17" xfId="52780"/>
    <cellStyle name="Normal 8 6 6 2" xfId="52781"/>
    <cellStyle name="Normal 8 6 6 2 10" xfId="52782"/>
    <cellStyle name="Normal 8 6 6 2 11" xfId="52783"/>
    <cellStyle name="Normal 8 6 6 2 12" xfId="52784"/>
    <cellStyle name="Normal 8 6 6 2 13" xfId="52785"/>
    <cellStyle name="Normal 8 6 6 2 2" xfId="52786"/>
    <cellStyle name="Normal 8 6 6 2 2 2" xfId="52787"/>
    <cellStyle name="Normal 8 6 6 2 2 2 2" xfId="52788"/>
    <cellStyle name="Normal 8 6 6 2 2 3" xfId="52789"/>
    <cellStyle name="Normal 8 6 6 2 2 4" xfId="52790"/>
    <cellStyle name="Normal 8 6 6 2 2 5" xfId="52791"/>
    <cellStyle name="Normal 8 6 6 2 3" xfId="52792"/>
    <cellStyle name="Normal 8 6 6 2 3 2" xfId="52793"/>
    <cellStyle name="Normal 8 6 6 2 4" xfId="52794"/>
    <cellStyle name="Normal 8 6 6 2 4 2" xfId="52795"/>
    <cellStyle name="Normal 8 6 6 2 5" xfId="52796"/>
    <cellStyle name="Normal 8 6 6 2 5 2" xfId="52797"/>
    <cellStyle name="Normal 8 6 6 2 6" xfId="52798"/>
    <cellStyle name="Normal 8 6 6 2 6 2" xfId="52799"/>
    <cellStyle name="Normal 8 6 6 2 7" xfId="52800"/>
    <cellStyle name="Normal 8 6 6 2 8" xfId="52801"/>
    <cellStyle name="Normal 8 6 6 2 9" xfId="52802"/>
    <cellStyle name="Normal 8 6 6 3" xfId="52803"/>
    <cellStyle name="Normal 8 6 6 3 2" xfId="52804"/>
    <cellStyle name="Normal 8 6 6 3 2 2" xfId="52805"/>
    <cellStyle name="Normal 8 6 6 3 3" xfId="52806"/>
    <cellStyle name="Normal 8 6 6 3 4" xfId="52807"/>
    <cellStyle name="Normal 8 6 6 3 5" xfId="52808"/>
    <cellStyle name="Normal 8 6 6 4" xfId="52809"/>
    <cellStyle name="Normal 8 6 6 4 2" xfId="52810"/>
    <cellStyle name="Normal 8 6 6 5" xfId="52811"/>
    <cellStyle name="Normal 8 6 6 5 2" xfId="52812"/>
    <cellStyle name="Normal 8 6 6 6" xfId="52813"/>
    <cellStyle name="Normal 8 6 6 6 2" xfId="52814"/>
    <cellStyle name="Normal 8 6 6 7" xfId="52815"/>
    <cellStyle name="Normal 8 6 6 7 2" xfId="52816"/>
    <cellStyle name="Normal 8 6 6 8" xfId="52817"/>
    <cellStyle name="Normal 8 6 6 9" xfId="52818"/>
    <cellStyle name="Normal 8 6 7" xfId="52819"/>
    <cellStyle name="Normal 8 6 7 10" xfId="52820"/>
    <cellStyle name="Normal 8 6 7 11" xfId="52821"/>
    <cellStyle name="Normal 8 6 7 12" xfId="52822"/>
    <cellStyle name="Normal 8 6 7 13" xfId="52823"/>
    <cellStyle name="Normal 8 6 7 14" xfId="52824"/>
    <cellStyle name="Normal 8 6 7 15" xfId="52825"/>
    <cellStyle name="Normal 8 6 7 16" xfId="52826"/>
    <cellStyle name="Normal 8 6 7 17" xfId="52827"/>
    <cellStyle name="Normal 8 6 7 2" xfId="52828"/>
    <cellStyle name="Normal 8 6 7 2 10" xfId="52829"/>
    <cellStyle name="Normal 8 6 7 2 11" xfId="52830"/>
    <cellStyle name="Normal 8 6 7 2 12" xfId="52831"/>
    <cellStyle name="Normal 8 6 7 2 13" xfId="52832"/>
    <cellStyle name="Normal 8 6 7 2 2" xfId="52833"/>
    <cellStyle name="Normal 8 6 7 2 2 2" xfId="52834"/>
    <cellStyle name="Normal 8 6 7 2 2 2 2" xfId="52835"/>
    <cellStyle name="Normal 8 6 7 2 2 3" xfId="52836"/>
    <cellStyle name="Normal 8 6 7 2 2 4" xfId="52837"/>
    <cellStyle name="Normal 8 6 7 2 2 5" xfId="52838"/>
    <cellStyle name="Normal 8 6 7 2 3" xfId="52839"/>
    <cellStyle name="Normal 8 6 7 2 3 2" xfId="52840"/>
    <cellStyle name="Normal 8 6 7 2 4" xfId="52841"/>
    <cellStyle name="Normal 8 6 7 2 4 2" xfId="52842"/>
    <cellStyle name="Normal 8 6 7 2 5" xfId="52843"/>
    <cellStyle name="Normal 8 6 7 2 5 2" xfId="52844"/>
    <cellStyle name="Normal 8 6 7 2 6" xfId="52845"/>
    <cellStyle name="Normal 8 6 7 2 6 2" xfId="52846"/>
    <cellStyle name="Normal 8 6 7 2 7" xfId="52847"/>
    <cellStyle name="Normal 8 6 7 2 8" xfId="52848"/>
    <cellStyle name="Normal 8 6 7 2 9" xfId="52849"/>
    <cellStyle name="Normal 8 6 7 3" xfId="52850"/>
    <cellStyle name="Normal 8 6 7 3 2" xfId="52851"/>
    <cellStyle name="Normal 8 6 7 3 2 2" xfId="52852"/>
    <cellStyle name="Normal 8 6 7 3 3" xfId="52853"/>
    <cellStyle name="Normal 8 6 7 3 4" xfId="52854"/>
    <cellStyle name="Normal 8 6 7 3 5" xfId="52855"/>
    <cellStyle name="Normal 8 6 7 4" xfId="52856"/>
    <cellStyle name="Normal 8 6 7 4 2" xfId="52857"/>
    <cellStyle name="Normal 8 6 7 5" xfId="52858"/>
    <cellStyle name="Normal 8 6 7 5 2" xfId="52859"/>
    <cellStyle name="Normal 8 6 7 6" xfId="52860"/>
    <cellStyle name="Normal 8 6 7 6 2" xfId="52861"/>
    <cellStyle name="Normal 8 6 7 7" xfId="52862"/>
    <cellStyle name="Normal 8 6 7 7 2" xfId="52863"/>
    <cellStyle name="Normal 8 6 7 8" xfId="52864"/>
    <cellStyle name="Normal 8 6 7 9" xfId="52865"/>
    <cellStyle name="Normal 8 6 8" xfId="52866"/>
    <cellStyle name="Normal 8 6 8 10" xfId="52867"/>
    <cellStyle name="Normal 8 6 8 11" xfId="52868"/>
    <cellStyle name="Normal 8 6 8 12" xfId="52869"/>
    <cellStyle name="Normal 8 6 8 13" xfId="52870"/>
    <cellStyle name="Normal 8 6 8 14" xfId="52871"/>
    <cellStyle name="Normal 8 6 8 15" xfId="52872"/>
    <cellStyle name="Normal 8 6 8 2" xfId="52873"/>
    <cellStyle name="Normal 8 6 8 2 2" xfId="52874"/>
    <cellStyle name="Normal 8 6 8 2 2 2" xfId="52875"/>
    <cellStyle name="Normal 8 6 8 2 3" xfId="52876"/>
    <cellStyle name="Normal 8 6 8 2 3 2" xfId="52877"/>
    <cellStyle name="Normal 8 6 8 2 4" xfId="52878"/>
    <cellStyle name="Normal 8 6 8 2 4 2" xfId="52879"/>
    <cellStyle name="Normal 8 6 8 2 5" xfId="52880"/>
    <cellStyle name="Normal 8 6 8 2 5 2" xfId="52881"/>
    <cellStyle name="Normal 8 6 8 2 6" xfId="52882"/>
    <cellStyle name="Normal 8 6 8 2 7" xfId="52883"/>
    <cellStyle name="Normal 8 6 8 2 8" xfId="52884"/>
    <cellStyle name="Normal 8 6 8 2 9" xfId="52885"/>
    <cellStyle name="Normal 8 6 8 3" xfId="52886"/>
    <cellStyle name="Normal 8 6 8 3 2" xfId="52887"/>
    <cellStyle name="Normal 8 6 8 3 2 2" xfId="52888"/>
    <cellStyle name="Normal 8 6 8 3 3" xfId="52889"/>
    <cellStyle name="Normal 8 6 8 3 4" xfId="52890"/>
    <cellStyle name="Normal 8 6 8 3 5" xfId="52891"/>
    <cellStyle name="Normal 8 6 8 4" xfId="52892"/>
    <cellStyle name="Normal 8 6 8 4 2" xfId="52893"/>
    <cellStyle name="Normal 8 6 8 5" xfId="52894"/>
    <cellStyle name="Normal 8 6 8 5 2" xfId="52895"/>
    <cellStyle name="Normal 8 6 8 6" xfId="52896"/>
    <cellStyle name="Normal 8 6 8 6 2" xfId="52897"/>
    <cellStyle name="Normal 8 6 8 7" xfId="52898"/>
    <cellStyle name="Normal 8 6 8 7 2" xfId="52899"/>
    <cellStyle name="Normal 8 6 8 8" xfId="52900"/>
    <cellStyle name="Normal 8 6 8 9" xfId="52901"/>
    <cellStyle name="Normal 8 6 9" xfId="52902"/>
    <cellStyle name="Normal 8 6 9 10" xfId="52903"/>
    <cellStyle name="Normal 8 6 9 11" xfId="52904"/>
    <cellStyle name="Normal 8 6 9 12" xfId="52905"/>
    <cellStyle name="Normal 8 6 9 13" xfId="52906"/>
    <cellStyle name="Normal 8 6 9 14" xfId="52907"/>
    <cellStyle name="Normal 8 6 9 15" xfId="52908"/>
    <cellStyle name="Normal 8 6 9 2" xfId="52909"/>
    <cellStyle name="Normal 8 6 9 2 2" xfId="52910"/>
    <cellStyle name="Normal 8 6 9 2 2 2" xfId="52911"/>
    <cellStyle name="Normal 8 6 9 2 3" xfId="52912"/>
    <cellStyle name="Normal 8 6 9 2 3 2" xfId="52913"/>
    <cellStyle name="Normal 8 6 9 2 4" xfId="52914"/>
    <cellStyle name="Normal 8 6 9 2 4 2" xfId="52915"/>
    <cellStyle name="Normal 8 6 9 2 5" xfId="52916"/>
    <cellStyle name="Normal 8 6 9 2 5 2" xfId="52917"/>
    <cellStyle name="Normal 8 6 9 2 6" xfId="52918"/>
    <cellStyle name="Normal 8 6 9 2 7" xfId="52919"/>
    <cellStyle name="Normal 8 6 9 2 8" xfId="52920"/>
    <cellStyle name="Normal 8 6 9 2 9" xfId="52921"/>
    <cellStyle name="Normal 8 6 9 3" xfId="52922"/>
    <cellStyle name="Normal 8 6 9 3 2" xfId="52923"/>
    <cellStyle name="Normal 8 6 9 3 2 2" xfId="52924"/>
    <cellStyle name="Normal 8 6 9 3 3" xfId="52925"/>
    <cellStyle name="Normal 8 6 9 3 4" xfId="52926"/>
    <cellStyle name="Normal 8 6 9 3 5" xfId="52927"/>
    <cellStyle name="Normal 8 6 9 4" xfId="52928"/>
    <cellStyle name="Normal 8 6 9 4 2" xfId="52929"/>
    <cellStyle name="Normal 8 6 9 5" xfId="52930"/>
    <cellStyle name="Normal 8 6 9 5 2" xfId="52931"/>
    <cellStyle name="Normal 8 6 9 6" xfId="52932"/>
    <cellStyle name="Normal 8 6 9 6 2" xfId="52933"/>
    <cellStyle name="Normal 8 6 9 7" xfId="52934"/>
    <cellStyle name="Normal 8 6 9 7 2" xfId="52935"/>
    <cellStyle name="Normal 8 6 9 8" xfId="52936"/>
    <cellStyle name="Normal 8 6 9 9" xfId="52937"/>
    <cellStyle name="Normal 8 7" xfId="52938"/>
    <cellStyle name="Normal 8 7 10" xfId="52939"/>
    <cellStyle name="Normal 8 7 10 10" xfId="52940"/>
    <cellStyle name="Normal 8 7 10 11" xfId="52941"/>
    <cellStyle name="Normal 8 7 10 12" xfId="52942"/>
    <cellStyle name="Normal 8 7 10 13" xfId="52943"/>
    <cellStyle name="Normal 8 7 10 14" xfId="52944"/>
    <cellStyle name="Normal 8 7 10 2" xfId="52945"/>
    <cellStyle name="Normal 8 7 10 2 2" xfId="52946"/>
    <cellStyle name="Normal 8 7 10 2 2 2" xfId="52947"/>
    <cellStyle name="Normal 8 7 10 2 3" xfId="52948"/>
    <cellStyle name="Normal 8 7 10 2 3 2" xfId="52949"/>
    <cellStyle name="Normal 8 7 10 2 4" xfId="52950"/>
    <cellStyle name="Normal 8 7 10 2 4 2" xfId="52951"/>
    <cellStyle name="Normal 8 7 10 2 5" xfId="52952"/>
    <cellStyle name="Normal 8 7 10 2 5 2" xfId="52953"/>
    <cellStyle name="Normal 8 7 10 2 6" xfId="52954"/>
    <cellStyle name="Normal 8 7 10 2 7" xfId="52955"/>
    <cellStyle name="Normal 8 7 10 2 8" xfId="52956"/>
    <cellStyle name="Normal 8 7 10 2 9" xfId="52957"/>
    <cellStyle name="Normal 8 7 10 3" xfId="52958"/>
    <cellStyle name="Normal 8 7 10 3 2" xfId="52959"/>
    <cellStyle name="Normal 8 7 10 3 2 2" xfId="52960"/>
    <cellStyle name="Normal 8 7 10 3 3" xfId="52961"/>
    <cellStyle name="Normal 8 7 10 3 4" xfId="52962"/>
    <cellStyle name="Normal 8 7 10 3 5" xfId="52963"/>
    <cellStyle name="Normal 8 7 10 4" xfId="52964"/>
    <cellStyle name="Normal 8 7 10 4 2" xfId="52965"/>
    <cellStyle name="Normal 8 7 10 5" xfId="52966"/>
    <cellStyle name="Normal 8 7 10 5 2" xfId="52967"/>
    <cellStyle name="Normal 8 7 10 6" xfId="52968"/>
    <cellStyle name="Normal 8 7 10 6 2" xfId="52969"/>
    <cellStyle name="Normal 8 7 10 7" xfId="52970"/>
    <cellStyle name="Normal 8 7 10 7 2" xfId="52971"/>
    <cellStyle name="Normal 8 7 10 8" xfId="52972"/>
    <cellStyle name="Normal 8 7 10 9" xfId="52973"/>
    <cellStyle name="Normal 8 7 11" xfId="52974"/>
    <cellStyle name="Normal 8 7 11 2" xfId="52975"/>
    <cellStyle name="Normal 8 7 11 2 2" xfId="52976"/>
    <cellStyle name="Normal 8 7 11 3" xfId="52977"/>
    <cellStyle name="Normal 8 7 11 3 2" xfId="52978"/>
    <cellStyle name="Normal 8 7 11 4" xfId="52979"/>
    <cellStyle name="Normal 8 7 11 4 2" xfId="52980"/>
    <cellStyle name="Normal 8 7 11 5" xfId="52981"/>
    <cellStyle name="Normal 8 7 11 5 2" xfId="52982"/>
    <cellStyle name="Normal 8 7 11 6" xfId="52983"/>
    <cellStyle name="Normal 8 7 11 7" xfId="52984"/>
    <cellStyle name="Normal 8 7 11 8" xfId="52985"/>
    <cellStyle name="Normal 8 7 11 9" xfId="52986"/>
    <cellStyle name="Normal 8 7 12" xfId="52987"/>
    <cellStyle name="Normal 8 7 12 2" xfId="52988"/>
    <cellStyle name="Normal 8 7 12 2 2" xfId="52989"/>
    <cellStyle name="Normal 8 7 12 3" xfId="52990"/>
    <cellStyle name="Normal 8 7 12 4" xfId="52991"/>
    <cellStyle name="Normal 8 7 12 5" xfId="52992"/>
    <cellStyle name="Normal 8 7 13" xfId="52993"/>
    <cellStyle name="Normal 8 7 13 2" xfId="52994"/>
    <cellStyle name="Normal 8 7 14" xfId="52995"/>
    <cellStyle name="Normal 8 7 14 2" xfId="52996"/>
    <cellStyle name="Normal 8 7 15" xfId="52997"/>
    <cellStyle name="Normal 8 7 15 2" xfId="52998"/>
    <cellStyle name="Normal 8 7 16" xfId="52999"/>
    <cellStyle name="Normal 8 7 16 2" xfId="53000"/>
    <cellStyle name="Normal 8 7 17" xfId="53001"/>
    <cellStyle name="Normal 8 7 18" xfId="53002"/>
    <cellStyle name="Normal 8 7 19" xfId="53003"/>
    <cellStyle name="Normal 8 7 2" xfId="53004"/>
    <cellStyle name="Normal 8 7 2 10" xfId="53005"/>
    <cellStyle name="Normal 8 7 2 11" xfId="53006"/>
    <cellStyle name="Normal 8 7 2 12" xfId="53007"/>
    <cellStyle name="Normal 8 7 2 13" xfId="53008"/>
    <cellStyle name="Normal 8 7 2 14" xfId="53009"/>
    <cellStyle name="Normal 8 7 2 15" xfId="53010"/>
    <cellStyle name="Normal 8 7 2 16" xfId="53011"/>
    <cellStyle name="Normal 8 7 2 17" xfId="53012"/>
    <cellStyle name="Normal 8 7 2 18" xfId="53013"/>
    <cellStyle name="Normal 8 7 2 2" xfId="53014"/>
    <cellStyle name="Normal 8 7 2 2 10" xfId="53015"/>
    <cellStyle name="Normal 8 7 2 2 11" xfId="53016"/>
    <cellStyle name="Normal 8 7 2 2 12" xfId="53017"/>
    <cellStyle name="Normal 8 7 2 2 13" xfId="53018"/>
    <cellStyle name="Normal 8 7 2 2 2" xfId="53019"/>
    <cellStyle name="Normal 8 7 2 2 2 2" xfId="53020"/>
    <cellStyle name="Normal 8 7 2 2 2 2 2" xfId="53021"/>
    <cellStyle name="Normal 8 7 2 2 2 3" xfId="53022"/>
    <cellStyle name="Normal 8 7 2 2 2 4" xfId="53023"/>
    <cellStyle name="Normal 8 7 2 2 2 5" xfId="53024"/>
    <cellStyle name="Normal 8 7 2 2 3" xfId="53025"/>
    <cellStyle name="Normal 8 7 2 2 3 2" xfId="53026"/>
    <cellStyle name="Normal 8 7 2 2 4" xfId="53027"/>
    <cellStyle name="Normal 8 7 2 2 4 2" xfId="53028"/>
    <cellStyle name="Normal 8 7 2 2 5" xfId="53029"/>
    <cellStyle name="Normal 8 7 2 2 5 2" xfId="53030"/>
    <cellStyle name="Normal 8 7 2 2 6" xfId="53031"/>
    <cellStyle name="Normal 8 7 2 2 6 2" xfId="53032"/>
    <cellStyle name="Normal 8 7 2 2 7" xfId="53033"/>
    <cellStyle name="Normal 8 7 2 2 8" xfId="53034"/>
    <cellStyle name="Normal 8 7 2 2 9" xfId="53035"/>
    <cellStyle name="Normal 8 7 2 3" xfId="53036"/>
    <cellStyle name="Normal 8 7 2 3 2" xfId="53037"/>
    <cellStyle name="Normal 8 7 2 3 2 2" xfId="53038"/>
    <cellStyle name="Normal 8 7 2 3 3" xfId="53039"/>
    <cellStyle name="Normal 8 7 2 3 4" xfId="53040"/>
    <cellStyle name="Normal 8 7 2 3 5" xfId="53041"/>
    <cellStyle name="Normal 8 7 2 4" xfId="53042"/>
    <cellStyle name="Normal 8 7 2 4 2" xfId="53043"/>
    <cellStyle name="Normal 8 7 2 5" xfId="53044"/>
    <cellStyle name="Normal 8 7 2 5 2" xfId="53045"/>
    <cellStyle name="Normal 8 7 2 6" xfId="53046"/>
    <cellStyle name="Normal 8 7 2 6 2" xfId="53047"/>
    <cellStyle name="Normal 8 7 2 7" xfId="53048"/>
    <cellStyle name="Normal 8 7 2 7 2" xfId="53049"/>
    <cellStyle name="Normal 8 7 2 8" xfId="53050"/>
    <cellStyle name="Normal 8 7 2 9" xfId="53051"/>
    <cellStyle name="Normal 8 7 20" xfId="53052"/>
    <cellStyle name="Normal 8 7 21" xfId="53053"/>
    <cellStyle name="Normal 8 7 22" xfId="53054"/>
    <cellStyle name="Normal 8 7 23" xfId="53055"/>
    <cellStyle name="Normal 8 7 24" xfId="53056"/>
    <cellStyle name="Normal 8 7 25" xfId="53057"/>
    <cellStyle name="Normal 8 7 3" xfId="53058"/>
    <cellStyle name="Normal 8 7 3 10" xfId="53059"/>
    <cellStyle name="Normal 8 7 3 11" xfId="53060"/>
    <cellStyle name="Normal 8 7 3 12" xfId="53061"/>
    <cellStyle name="Normal 8 7 3 13" xfId="53062"/>
    <cellStyle name="Normal 8 7 3 14" xfId="53063"/>
    <cellStyle name="Normal 8 7 3 15" xfId="53064"/>
    <cellStyle name="Normal 8 7 3 16" xfId="53065"/>
    <cellStyle name="Normal 8 7 3 17" xfId="53066"/>
    <cellStyle name="Normal 8 7 3 18" xfId="53067"/>
    <cellStyle name="Normal 8 7 3 2" xfId="53068"/>
    <cellStyle name="Normal 8 7 3 2 10" xfId="53069"/>
    <cellStyle name="Normal 8 7 3 2 11" xfId="53070"/>
    <cellStyle name="Normal 8 7 3 2 12" xfId="53071"/>
    <cellStyle name="Normal 8 7 3 2 13" xfId="53072"/>
    <cellStyle name="Normal 8 7 3 2 2" xfId="53073"/>
    <cellStyle name="Normal 8 7 3 2 2 2" xfId="53074"/>
    <cellStyle name="Normal 8 7 3 2 2 2 2" xfId="53075"/>
    <cellStyle name="Normal 8 7 3 2 2 3" xfId="53076"/>
    <cellStyle name="Normal 8 7 3 2 2 4" xfId="53077"/>
    <cellStyle name="Normal 8 7 3 2 2 5" xfId="53078"/>
    <cellStyle name="Normal 8 7 3 2 3" xfId="53079"/>
    <cellStyle name="Normal 8 7 3 2 3 2" xfId="53080"/>
    <cellStyle name="Normal 8 7 3 2 4" xfId="53081"/>
    <cellStyle name="Normal 8 7 3 2 4 2" xfId="53082"/>
    <cellStyle name="Normal 8 7 3 2 5" xfId="53083"/>
    <cellStyle name="Normal 8 7 3 2 5 2" xfId="53084"/>
    <cellStyle name="Normal 8 7 3 2 6" xfId="53085"/>
    <cellStyle name="Normal 8 7 3 2 6 2" xfId="53086"/>
    <cellStyle name="Normal 8 7 3 2 7" xfId="53087"/>
    <cellStyle name="Normal 8 7 3 2 8" xfId="53088"/>
    <cellStyle name="Normal 8 7 3 2 9" xfId="53089"/>
    <cellStyle name="Normal 8 7 3 3" xfId="53090"/>
    <cellStyle name="Normal 8 7 3 3 2" xfId="53091"/>
    <cellStyle name="Normal 8 7 3 3 2 2" xfId="53092"/>
    <cellStyle name="Normal 8 7 3 3 3" xfId="53093"/>
    <cellStyle name="Normal 8 7 3 3 4" xfId="53094"/>
    <cellStyle name="Normal 8 7 3 3 5" xfId="53095"/>
    <cellStyle name="Normal 8 7 3 4" xfId="53096"/>
    <cellStyle name="Normal 8 7 3 4 2" xfId="53097"/>
    <cellStyle name="Normal 8 7 3 5" xfId="53098"/>
    <cellStyle name="Normal 8 7 3 5 2" xfId="53099"/>
    <cellStyle name="Normal 8 7 3 6" xfId="53100"/>
    <cellStyle name="Normal 8 7 3 6 2" xfId="53101"/>
    <cellStyle name="Normal 8 7 3 7" xfId="53102"/>
    <cellStyle name="Normal 8 7 3 7 2" xfId="53103"/>
    <cellStyle name="Normal 8 7 3 8" xfId="53104"/>
    <cellStyle name="Normal 8 7 3 9" xfId="53105"/>
    <cellStyle name="Normal 8 7 4" xfId="53106"/>
    <cellStyle name="Normal 8 7 4 10" xfId="53107"/>
    <cellStyle name="Normal 8 7 4 11" xfId="53108"/>
    <cellStyle name="Normal 8 7 4 12" xfId="53109"/>
    <cellStyle name="Normal 8 7 4 13" xfId="53110"/>
    <cellStyle name="Normal 8 7 4 14" xfId="53111"/>
    <cellStyle name="Normal 8 7 4 15" xfId="53112"/>
    <cellStyle name="Normal 8 7 4 16" xfId="53113"/>
    <cellStyle name="Normal 8 7 4 17" xfId="53114"/>
    <cellStyle name="Normal 8 7 4 18" xfId="53115"/>
    <cellStyle name="Normal 8 7 4 2" xfId="53116"/>
    <cellStyle name="Normal 8 7 4 2 10" xfId="53117"/>
    <cellStyle name="Normal 8 7 4 2 11" xfId="53118"/>
    <cellStyle name="Normal 8 7 4 2 12" xfId="53119"/>
    <cellStyle name="Normal 8 7 4 2 13" xfId="53120"/>
    <cellStyle name="Normal 8 7 4 2 2" xfId="53121"/>
    <cellStyle name="Normal 8 7 4 2 2 2" xfId="53122"/>
    <cellStyle name="Normal 8 7 4 2 2 2 2" xfId="53123"/>
    <cellStyle name="Normal 8 7 4 2 2 3" xfId="53124"/>
    <cellStyle name="Normal 8 7 4 2 2 4" xfId="53125"/>
    <cellStyle name="Normal 8 7 4 2 2 5" xfId="53126"/>
    <cellStyle name="Normal 8 7 4 2 3" xfId="53127"/>
    <cellStyle name="Normal 8 7 4 2 3 2" xfId="53128"/>
    <cellStyle name="Normal 8 7 4 2 4" xfId="53129"/>
    <cellStyle name="Normal 8 7 4 2 4 2" xfId="53130"/>
    <cellStyle name="Normal 8 7 4 2 5" xfId="53131"/>
    <cellStyle name="Normal 8 7 4 2 5 2" xfId="53132"/>
    <cellStyle name="Normal 8 7 4 2 6" xfId="53133"/>
    <cellStyle name="Normal 8 7 4 2 6 2" xfId="53134"/>
    <cellStyle name="Normal 8 7 4 2 7" xfId="53135"/>
    <cellStyle name="Normal 8 7 4 2 8" xfId="53136"/>
    <cellStyle name="Normal 8 7 4 2 9" xfId="53137"/>
    <cellStyle name="Normal 8 7 4 3" xfId="53138"/>
    <cellStyle name="Normal 8 7 4 3 2" xfId="53139"/>
    <cellStyle name="Normal 8 7 4 3 2 2" xfId="53140"/>
    <cellStyle name="Normal 8 7 4 3 3" xfId="53141"/>
    <cellStyle name="Normal 8 7 4 3 4" xfId="53142"/>
    <cellStyle name="Normal 8 7 4 3 5" xfId="53143"/>
    <cellStyle name="Normal 8 7 4 4" xfId="53144"/>
    <cellStyle name="Normal 8 7 4 4 2" xfId="53145"/>
    <cellStyle name="Normal 8 7 4 5" xfId="53146"/>
    <cellStyle name="Normal 8 7 4 5 2" xfId="53147"/>
    <cellStyle name="Normal 8 7 4 6" xfId="53148"/>
    <cellStyle name="Normal 8 7 4 6 2" xfId="53149"/>
    <cellStyle name="Normal 8 7 4 7" xfId="53150"/>
    <cellStyle name="Normal 8 7 4 7 2" xfId="53151"/>
    <cellStyle name="Normal 8 7 4 8" xfId="53152"/>
    <cellStyle name="Normal 8 7 4 9" xfId="53153"/>
    <cellStyle name="Normal 8 7 5" xfId="53154"/>
    <cellStyle name="Normal 8 7 5 10" xfId="53155"/>
    <cellStyle name="Normal 8 7 5 11" xfId="53156"/>
    <cellStyle name="Normal 8 7 5 12" xfId="53157"/>
    <cellStyle name="Normal 8 7 5 13" xfId="53158"/>
    <cellStyle name="Normal 8 7 5 14" xfId="53159"/>
    <cellStyle name="Normal 8 7 5 15" xfId="53160"/>
    <cellStyle name="Normal 8 7 5 16" xfId="53161"/>
    <cellStyle name="Normal 8 7 5 17" xfId="53162"/>
    <cellStyle name="Normal 8 7 5 2" xfId="53163"/>
    <cellStyle name="Normal 8 7 5 2 10" xfId="53164"/>
    <cellStyle name="Normal 8 7 5 2 11" xfId="53165"/>
    <cellStyle name="Normal 8 7 5 2 12" xfId="53166"/>
    <cellStyle name="Normal 8 7 5 2 13" xfId="53167"/>
    <cellStyle name="Normal 8 7 5 2 2" xfId="53168"/>
    <cellStyle name="Normal 8 7 5 2 2 2" xfId="53169"/>
    <cellStyle name="Normal 8 7 5 2 2 2 2" xfId="53170"/>
    <cellStyle name="Normal 8 7 5 2 2 3" xfId="53171"/>
    <cellStyle name="Normal 8 7 5 2 2 4" xfId="53172"/>
    <cellStyle name="Normal 8 7 5 2 2 5" xfId="53173"/>
    <cellStyle name="Normal 8 7 5 2 3" xfId="53174"/>
    <cellStyle name="Normal 8 7 5 2 3 2" xfId="53175"/>
    <cellStyle name="Normal 8 7 5 2 4" xfId="53176"/>
    <cellStyle name="Normal 8 7 5 2 4 2" xfId="53177"/>
    <cellStyle name="Normal 8 7 5 2 5" xfId="53178"/>
    <cellStyle name="Normal 8 7 5 2 5 2" xfId="53179"/>
    <cellStyle name="Normal 8 7 5 2 6" xfId="53180"/>
    <cellStyle name="Normal 8 7 5 2 6 2" xfId="53181"/>
    <cellStyle name="Normal 8 7 5 2 7" xfId="53182"/>
    <cellStyle name="Normal 8 7 5 2 8" xfId="53183"/>
    <cellStyle name="Normal 8 7 5 2 9" xfId="53184"/>
    <cellStyle name="Normal 8 7 5 3" xfId="53185"/>
    <cellStyle name="Normal 8 7 5 3 2" xfId="53186"/>
    <cellStyle name="Normal 8 7 5 3 2 2" xfId="53187"/>
    <cellStyle name="Normal 8 7 5 3 3" xfId="53188"/>
    <cellStyle name="Normal 8 7 5 3 4" xfId="53189"/>
    <cellStyle name="Normal 8 7 5 3 5" xfId="53190"/>
    <cellStyle name="Normal 8 7 5 4" xfId="53191"/>
    <cellStyle name="Normal 8 7 5 4 2" xfId="53192"/>
    <cellStyle name="Normal 8 7 5 5" xfId="53193"/>
    <cellStyle name="Normal 8 7 5 5 2" xfId="53194"/>
    <cellStyle name="Normal 8 7 5 6" xfId="53195"/>
    <cellStyle name="Normal 8 7 5 6 2" xfId="53196"/>
    <cellStyle name="Normal 8 7 5 7" xfId="53197"/>
    <cellStyle name="Normal 8 7 5 7 2" xfId="53198"/>
    <cellStyle name="Normal 8 7 5 8" xfId="53199"/>
    <cellStyle name="Normal 8 7 5 9" xfId="53200"/>
    <cellStyle name="Normal 8 7 6" xfId="53201"/>
    <cellStyle name="Normal 8 7 6 10" xfId="53202"/>
    <cellStyle name="Normal 8 7 6 11" xfId="53203"/>
    <cellStyle name="Normal 8 7 6 12" xfId="53204"/>
    <cellStyle name="Normal 8 7 6 13" xfId="53205"/>
    <cellStyle name="Normal 8 7 6 14" xfId="53206"/>
    <cellStyle name="Normal 8 7 6 15" xfId="53207"/>
    <cellStyle name="Normal 8 7 6 16" xfId="53208"/>
    <cellStyle name="Normal 8 7 6 17" xfId="53209"/>
    <cellStyle name="Normal 8 7 6 2" xfId="53210"/>
    <cellStyle name="Normal 8 7 6 2 10" xfId="53211"/>
    <cellStyle name="Normal 8 7 6 2 11" xfId="53212"/>
    <cellStyle name="Normal 8 7 6 2 12" xfId="53213"/>
    <cellStyle name="Normal 8 7 6 2 13" xfId="53214"/>
    <cellStyle name="Normal 8 7 6 2 2" xfId="53215"/>
    <cellStyle name="Normal 8 7 6 2 2 2" xfId="53216"/>
    <cellStyle name="Normal 8 7 6 2 2 2 2" xfId="53217"/>
    <cellStyle name="Normal 8 7 6 2 2 3" xfId="53218"/>
    <cellStyle name="Normal 8 7 6 2 2 4" xfId="53219"/>
    <cellStyle name="Normal 8 7 6 2 2 5" xfId="53220"/>
    <cellStyle name="Normal 8 7 6 2 3" xfId="53221"/>
    <cellStyle name="Normal 8 7 6 2 3 2" xfId="53222"/>
    <cellStyle name="Normal 8 7 6 2 4" xfId="53223"/>
    <cellStyle name="Normal 8 7 6 2 4 2" xfId="53224"/>
    <cellStyle name="Normal 8 7 6 2 5" xfId="53225"/>
    <cellStyle name="Normal 8 7 6 2 5 2" xfId="53226"/>
    <cellStyle name="Normal 8 7 6 2 6" xfId="53227"/>
    <cellStyle name="Normal 8 7 6 2 6 2" xfId="53228"/>
    <cellStyle name="Normal 8 7 6 2 7" xfId="53229"/>
    <cellStyle name="Normal 8 7 6 2 8" xfId="53230"/>
    <cellStyle name="Normal 8 7 6 2 9" xfId="53231"/>
    <cellStyle name="Normal 8 7 6 3" xfId="53232"/>
    <cellStyle name="Normal 8 7 6 3 2" xfId="53233"/>
    <cellStyle name="Normal 8 7 6 3 2 2" xfId="53234"/>
    <cellStyle name="Normal 8 7 6 3 3" xfId="53235"/>
    <cellStyle name="Normal 8 7 6 3 4" xfId="53236"/>
    <cellStyle name="Normal 8 7 6 3 5" xfId="53237"/>
    <cellStyle name="Normal 8 7 6 4" xfId="53238"/>
    <cellStyle name="Normal 8 7 6 4 2" xfId="53239"/>
    <cellStyle name="Normal 8 7 6 5" xfId="53240"/>
    <cellStyle name="Normal 8 7 6 5 2" xfId="53241"/>
    <cellStyle name="Normal 8 7 6 6" xfId="53242"/>
    <cellStyle name="Normal 8 7 6 6 2" xfId="53243"/>
    <cellStyle name="Normal 8 7 6 7" xfId="53244"/>
    <cellStyle name="Normal 8 7 6 7 2" xfId="53245"/>
    <cellStyle name="Normal 8 7 6 8" xfId="53246"/>
    <cellStyle name="Normal 8 7 6 9" xfId="53247"/>
    <cellStyle name="Normal 8 7 7" xfId="53248"/>
    <cellStyle name="Normal 8 7 7 10" xfId="53249"/>
    <cellStyle name="Normal 8 7 7 11" xfId="53250"/>
    <cellStyle name="Normal 8 7 7 12" xfId="53251"/>
    <cellStyle name="Normal 8 7 7 13" xfId="53252"/>
    <cellStyle name="Normal 8 7 7 14" xfId="53253"/>
    <cellStyle name="Normal 8 7 7 15" xfId="53254"/>
    <cellStyle name="Normal 8 7 7 16" xfId="53255"/>
    <cellStyle name="Normal 8 7 7 17" xfId="53256"/>
    <cellStyle name="Normal 8 7 7 2" xfId="53257"/>
    <cellStyle name="Normal 8 7 7 2 10" xfId="53258"/>
    <cellStyle name="Normal 8 7 7 2 11" xfId="53259"/>
    <cellStyle name="Normal 8 7 7 2 12" xfId="53260"/>
    <cellStyle name="Normal 8 7 7 2 13" xfId="53261"/>
    <cellStyle name="Normal 8 7 7 2 2" xfId="53262"/>
    <cellStyle name="Normal 8 7 7 2 2 2" xfId="53263"/>
    <cellStyle name="Normal 8 7 7 2 2 2 2" xfId="53264"/>
    <cellStyle name="Normal 8 7 7 2 2 3" xfId="53265"/>
    <cellStyle name="Normal 8 7 7 2 2 4" xfId="53266"/>
    <cellStyle name="Normal 8 7 7 2 2 5" xfId="53267"/>
    <cellStyle name="Normal 8 7 7 2 3" xfId="53268"/>
    <cellStyle name="Normal 8 7 7 2 3 2" xfId="53269"/>
    <cellStyle name="Normal 8 7 7 2 4" xfId="53270"/>
    <cellStyle name="Normal 8 7 7 2 4 2" xfId="53271"/>
    <cellStyle name="Normal 8 7 7 2 5" xfId="53272"/>
    <cellStyle name="Normal 8 7 7 2 5 2" xfId="53273"/>
    <cellStyle name="Normal 8 7 7 2 6" xfId="53274"/>
    <cellStyle name="Normal 8 7 7 2 6 2" xfId="53275"/>
    <cellStyle name="Normal 8 7 7 2 7" xfId="53276"/>
    <cellStyle name="Normal 8 7 7 2 8" xfId="53277"/>
    <cellStyle name="Normal 8 7 7 2 9" xfId="53278"/>
    <cellStyle name="Normal 8 7 7 3" xfId="53279"/>
    <cellStyle name="Normal 8 7 7 3 2" xfId="53280"/>
    <cellStyle name="Normal 8 7 7 3 2 2" xfId="53281"/>
    <cellStyle name="Normal 8 7 7 3 3" xfId="53282"/>
    <cellStyle name="Normal 8 7 7 3 4" xfId="53283"/>
    <cellStyle name="Normal 8 7 7 3 5" xfId="53284"/>
    <cellStyle name="Normal 8 7 7 4" xfId="53285"/>
    <cellStyle name="Normal 8 7 7 4 2" xfId="53286"/>
    <cellStyle name="Normal 8 7 7 5" xfId="53287"/>
    <cellStyle name="Normal 8 7 7 5 2" xfId="53288"/>
    <cellStyle name="Normal 8 7 7 6" xfId="53289"/>
    <cellStyle name="Normal 8 7 7 6 2" xfId="53290"/>
    <cellStyle name="Normal 8 7 7 7" xfId="53291"/>
    <cellStyle name="Normal 8 7 7 7 2" xfId="53292"/>
    <cellStyle name="Normal 8 7 7 8" xfId="53293"/>
    <cellStyle name="Normal 8 7 7 9" xfId="53294"/>
    <cellStyle name="Normal 8 7 8" xfId="53295"/>
    <cellStyle name="Normal 8 7 8 10" xfId="53296"/>
    <cellStyle name="Normal 8 7 8 11" xfId="53297"/>
    <cellStyle name="Normal 8 7 8 12" xfId="53298"/>
    <cellStyle name="Normal 8 7 8 13" xfId="53299"/>
    <cellStyle name="Normal 8 7 8 14" xfId="53300"/>
    <cellStyle name="Normal 8 7 8 15" xfId="53301"/>
    <cellStyle name="Normal 8 7 8 2" xfId="53302"/>
    <cellStyle name="Normal 8 7 8 2 2" xfId="53303"/>
    <cellStyle name="Normal 8 7 8 2 2 2" xfId="53304"/>
    <cellStyle name="Normal 8 7 8 2 3" xfId="53305"/>
    <cellStyle name="Normal 8 7 8 2 3 2" xfId="53306"/>
    <cellStyle name="Normal 8 7 8 2 4" xfId="53307"/>
    <cellStyle name="Normal 8 7 8 2 4 2" xfId="53308"/>
    <cellStyle name="Normal 8 7 8 2 5" xfId="53309"/>
    <cellStyle name="Normal 8 7 8 2 5 2" xfId="53310"/>
    <cellStyle name="Normal 8 7 8 2 6" xfId="53311"/>
    <cellStyle name="Normal 8 7 8 2 7" xfId="53312"/>
    <cellStyle name="Normal 8 7 8 2 8" xfId="53313"/>
    <cellStyle name="Normal 8 7 8 2 9" xfId="53314"/>
    <cellStyle name="Normal 8 7 8 3" xfId="53315"/>
    <cellStyle name="Normal 8 7 8 3 2" xfId="53316"/>
    <cellStyle name="Normal 8 7 8 3 2 2" xfId="53317"/>
    <cellStyle name="Normal 8 7 8 3 3" xfId="53318"/>
    <cellStyle name="Normal 8 7 8 3 4" xfId="53319"/>
    <cellStyle name="Normal 8 7 8 3 5" xfId="53320"/>
    <cellStyle name="Normal 8 7 8 4" xfId="53321"/>
    <cellStyle name="Normal 8 7 8 4 2" xfId="53322"/>
    <cellStyle name="Normal 8 7 8 5" xfId="53323"/>
    <cellStyle name="Normal 8 7 8 5 2" xfId="53324"/>
    <cellStyle name="Normal 8 7 8 6" xfId="53325"/>
    <cellStyle name="Normal 8 7 8 6 2" xfId="53326"/>
    <cellStyle name="Normal 8 7 8 7" xfId="53327"/>
    <cellStyle name="Normal 8 7 8 7 2" xfId="53328"/>
    <cellStyle name="Normal 8 7 8 8" xfId="53329"/>
    <cellStyle name="Normal 8 7 8 9" xfId="53330"/>
    <cellStyle name="Normal 8 7 9" xfId="53331"/>
    <cellStyle name="Normal 8 7 9 10" xfId="53332"/>
    <cellStyle name="Normal 8 7 9 11" xfId="53333"/>
    <cellStyle name="Normal 8 7 9 12" xfId="53334"/>
    <cellStyle name="Normal 8 7 9 13" xfId="53335"/>
    <cellStyle name="Normal 8 7 9 14" xfId="53336"/>
    <cellStyle name="Normal 8 7 9 15" xfId="53337"/>
    <cellStyle name="Normal 8 7 9 2" xfId="53338"/>
    <cellStyle name="Normal 8 7 9 2 2" xfId="53339"/>
    <cellStyle name="Normal 8 7 9 2 2 2" xfId="53340"/>
    <cellStyle name="Normal 8 7 9 2 3" xfId="53341"/>
    <cellStyle name="Normal 8 7 9 2 3 2" xfId="53342"/>
    <cellStyle name="Normal 8 7 9 2 4" xfId="53343"/>
    <cellStyle name="Normal 8 7 9 2 4 2" xfId="53344"/>
    <cellStyle name="Normal 8 7 9 2 5" xfId="53345"/>
    <cellStyle name="Normal 8 7 9 2 5 2" xfId="53346"/>
    <cellStyle name="Normal 8 7 9 2 6" xfId="53347"/>
    <cellStyle name="Normal 8 7 9 2 7" xfId="53348"/>
    <cellStyle name="Normal 8 7 9 2 8" xfId="53349"/>
    <cellStyle name="Normal 8 7 9 2 9" xfId="53350"/>
    <cellStyle name="Normal 8 7 9 3" xfId="53351"/>
    <cellStyle name="Normal 8 7 9 3 2" xfId="53352"/>
    <cellStyle name="Normal 8 7 9 3 2 2" xfId="53353"/>
    <cellStyle name="Normal 8 7 9 3 3" xfId="53354"/>
    <cellStyle name="Normal 8 7 9 3 4" xfId="53355"/>
    <cellStyle name="Normal 8 7 9 3 5" xfId="53356"/>
    <cellStyle name="Normal 8 7 9 4" xfId="53357"/>
    <cellStyle name="Normal 8 7 9 4 2" xfId="53358"/>
    <cellStyle name="Normal 8 7 9 5" xfId="53359"/>
    <cellStyle name="Normal 8 7 9 5 2" xfId="53360"/>
    <cellStyle name="Normal 8 7 9 6" xfId="53361"/>
    <cellStyle name="Normal 8 7 9 6 2" xfId="53362"/>
    <cellStyle name="Normal 8 7 9 7" xfId="53363"/>
    <cellStyle name="Normal 8 7 9 7 2" xfId="53364"/>
    <cellStyle name="Normal 8 7 9 8" xfId="53365"/>
    <cellStyle name="Normal 8 7 9 9" xfId="53366"/>
    <cellStyle name="Normal 8 8" xfId="53367"/>
    <cellStyle name="Normal 8 8 10" xfId="53368"/>
    <cellStyle name="Normal 8 8 10 10" xfId="53369"/>
    <cellStyle name="Normal 8 8 10 11" xfId="53370"/>
    <cellStyle name="Normal 8 8 10 12" xfId="53371"/>
    <cellStyle name="Normal 8 8 10 13" xfId="53372"/>
    <cellStyle name="Normal 8 8 10 14" xfId="53373"/>
    <cellStyle name="Normal 8 8 10 2" xfId="53374"/>
    <cellStyle name="Normal 8 8 10 2 2" xfId="53375"/>
    <cellStyle name="Normal 8 8 10 2 2 2" xfId="53376"/>
    <cellStyle name="Normal 8 8 10 2 3" xfId="53377"/>
    <cellStyle name="Normal 8 8 10 2 3 2" xfId="53378"/>
    <cellStyle name="Normal 8 8 10 2 4" xfId="53379"/>
    <cellStyle name="Normal 8 8 10 2 4 2" xfId="53380"/>
    <cellStyle name="Normal 8 8 10 2 5" xfId="53381"/>
    <cellStyle name="Normal 8 8 10 2 5 2" xfId="53382"/>
    <cellStyle name="Normal 8 8 10 2 6" xfId="53383"/>
    <cellStyle name="Normal 8 8 10 2 7" xfId="53384"/>
    <cellStyle name="Normal 8 8 10 2 8" xfId="53385"/>
    <cellStyle name="Normal 8 8 10 2 9" xfId="53386"/>
    <cellStyle name="Normal 8 8 10 3" xfId="53387"/>
    <cellStyle name="Normal 8 8 10 3 2" xfId="53388"/>
    <cellStyle name="Normal 8 8 10 3 2 2" xfId="53389"/>
    <cellStyle name="Normal 8 8 10 3 3" xfId="53390"/>
    <cellStyle name="Normal 8 8 10 3 4" xfId="53391"/>
    <cellStyle name="Normal 8 8 10 3 5" xfId="53392"/>
    <cellStyle name="Normal 8 8 10 4" xfId="53393"/>
    <cellStyle name="Normal 8 8 10 4 2" xfId="53394"/>
    <cellStyle name="Normal 8 8 10 5" xfId="53395"/>
    <cellStyle name="Normal 8 8 10 5 2" xfId="53396"/>
    <cellStyle name="Normal 8 8 10 6" xfId="53397"/>
    <cellStyle name="Normal 8 8 10 6 2" xfId="53398"/>
    <cellStyle name="Normal 8 8 10 7" xfId="53399"/>
    <cellStyle name="Normal 8 8 10 7 2" xfId="53400"/>
    <cellStyle name="Normal 8 8 10 8" xfId="53401"/>
    <cellStyle name="Normal 8 8 10 9" xfId="53402"/>
    <cellStyle name="Normal 8 8 11" xfId="53403"/>
    <cellStyle name="Normal 8 8 11 2" xfId="53404"/>
    <cellStyle name="Normal 8 8 11 2 2" xfId="53405"/>
    <cellStyle name="Normal 8 8 11 3" xfId="53406"/>
    <cellStyle name="Normal 8 8 11 3 2" xfId="53407"/>
    <cellStyle name="Normal 8 8 11 4" xfId="53408"/>
    <cellStyle name="Normal 8 8 11 4 2" xfId="53409"/>
    <cellStyle name="Normal 8 8 11 5" xfId="53410"/>
    <cellStyle name="Normal 8 8 11 5 2" xfId="53411"/>
    <cellStyle name="Normal 8 8 11 6" xfId="53412"/>
    <cellStyle name="Normal 8 8 11 7" xfId="53413"/>
    <cellStyle name="Normal 8 8 11 8" xfId="53414"/>
    <cellStyle name="Normal 8 8 11 9" xfId="53415"/>
    <cellStyle name="Normal 8 8 12" xfId="53416"/>
    <cellStyle name="Normal 8 8 12 2" xfId="53417"/>
    <cellStyle name="Normal 8 8 12 2 2" xfId="53418"/>
    <cellStyle name="Normal 8 8 12 3" xfId="53419"/>
    <cellStyle name="Normal 8 8 12 4" xfId="53420"/>
    <cellStyle name="Normal 8 8 12 5" xfId="53421"/>
    <cellStyle name="Normal 8 8 13" xfId="53422"/>
    <cellStyle name="Normal 8 8 13 2" xfId="53423"/>
    <cellStyle name="Normal 8 8 14" xfId="53424"/>
    <cellStyle name="Normal 8 8 14 2" xfId="53425"/>
    <cellStyle name="Normal 8 8 15" xfId="53426"/>
    <cellStyle name="Normal 8 8 15 2" xfId="53427"/>
    <cellStyle name="Normal 8 8 16" xfId="53428"/>
    <cellStyle name="Normal 8 8 16 2" xfId="53429"/>
    <cellStyle name="Normal 8 8 17" xfId="53430"/>
    <cellStyle name="Normal 8 8 18" xfId="53431"/>
    <cellStyle name="Normal 8 8 19" xfId="53432"/>
    <cellStyle name="Normal 8 8 2" xfId="53433"/>
    <cellStyle name="Normal 8 8 2 10" xfId="53434"/>
    <cellStyle name="Normal 8 8 2 11" xfId="53435"/>
    <cellStyle name="Normal 8 8 2 12" xfId="53436"/>
    <cellStyle name="Normal 8 8 2 13" xfId="53437"/>
    <cellStyle name="Normal 8 8 2 14" xfId="53438"/>
    <cellStyle name="Normal 8 8 2 15" xfId="53439"/>
    <cellStyle name="Normal 8 8 2 16" xfId="53440"/>
    <cellStyle name="Normal 8 8 2 17" xfId="53441"/>
    <cellStyle name="Normal 8 8 2 18" xfId="53442"/>
    <cellStyle name="Normal 8 8 2 2" xfId="53443"/>
    <cellStyle name="Normal 8 8 2 2 10" xfId="53444"/>
    <cellStyle name="Normal 8 8 2 2 11" xfId="53445"/>
    <cellStyle name="Normal 8 8 2 2 12" xfId="53446"/>
    <cellStyle name="Normal 8 8 2 2 13" xfId="53447"/>
    <cellStyle name="Normal 8 8 2 2 2" xfId="53448"/>
    <cellStyle name="Normal 8 8 2 2 2 2" xfId="53449"/>
    <cellStyle name="Normal 8 8 2 2 2 2 2" xfId="53450"/>
    <cellStyle name="Normal 8 8 2 2 2 3" xfId="53451"/>
    <cellStyle name="Normal 8 8 2 2 2 4" xfId="53452"/>
    <cellStyle name="Normal 8 8 2 2 2 5" xfId="53453"/>
    <cellStyle name="Normal 8 8 2 2 3" xfId="53454"/>
    <cellStyle name="Normal 8 8 2 2 3 2" xfId="53455"/>
    <cellStyle name="Normal 8 8 2 2 4" xfId="53456"/>
    <cellStyle name="Normal 8 8 2 2 4 2" xfId="53457"/>
    <cellStyle name="Normal 8 8 2 2 5" xfId="53458"/>
    <cellStyle name="Normal 8 8 2 2 5 2" xfId="53459"/>
    <cellStyle name="Normal 8 8 2 2 6" xfId="53460"/>
    <cellStyle name="Normal 8 8 2 2 6 2" xfId="53461"/>
    <cellStyle name="Normal 8 8 2 2 7" xfId="53462"/>
    <cellStyle name="Normal 8 8 2 2 8" xfId="53463"/>
    <cellStyle name="Normal 8 8 2 2 9" xfId="53464"/>
    <cellStyle name="Normal 8 8 2 3" xfId="53465"/>
    <cellStyle name="Normal 8 8 2 3 2" xfId="53466"/>
    <cellStyle name="Normal 8 8 2 3 2 2" xfId="53467"/>
    <cellStyle name="Normal 8 8 2 3 3" xfId="53468"/>
    <cellStyle name="Normal 8 8 2 3 4" xfId="53469"/>
    <cellStyle name="Normal 8 8 2 3 5" xfId="53470"/>
    <cellStyle name="Normal 8 8 2 4" xfId="53471"/>
    <cellStyle name="Normal 8 8 2 4 2" xfId="53472"/>
    <cellStyle name="Normal 8 8 2 5" xfId="53473"/>
    <cellStyle name="Normal 8 8 2 5 2" xfId="53474"/>
    <cellStyle name="Normal 8 8 2 6" xfId="53475"/>
    <cellStyle name="Normal 8 8 2 6 2" xfId="53476"/>
    <cellStyle name="Normal 8 8 2 7" xfId="53477"/>
    <cellStyle name="Normal 8 8 2 7 2" xfId="53478"/>
    <cellStyle name="Normal 8 8 2 8" xfId="53479"/>
    <cellStyle name="Normal 8 8 2 9" xfId="53480"/>
    <cellStyle name="Normal 8 8 20" xfId="53481"/>
    <cellStyle name="Normal 8 8 21" xfId="53482"/>
    <cellStyle name="Normal 8 8 22" xfId="53483"/>
    <cellStyle name="Normal 8 8 23" xfId="53484"/>
    <cellStyle name="Normal 8 8 24" xfId="53485"/>
    <cellStyle name="Normal 8 8 25" xfId="53486"/>
    <cellStyle name="Normal 8 8 3" xfId="53487"/>
    <cellStyle name="Normal 8 8 3 10" xfId="53488"/>
    <cellStyle name="Normal 8 8 3 11" xfId="53489"/>
    <cellStyle name="Normal 8 8 3 12" xfId="53490"/>
    <cellStyle name="Normal 8 8 3 13" xfId="53491"/>
    <cellStyle name="Normal 8 8 3 14" xfId="53492"/>
    <cellStyle name="Normal 8 8 3 15" xfId="53493"/>
    <cellStyle name="Normal 8 8 3 16" xfId="53494"/>
    <cellStyle name="Normal 8 8 3 17" xfId="53495"/>
    <cellStyle name="Normal 8 8 3 18" xfId="53496"/>
    <cellStyle name="Normal 8 8 3 2" xfId="53497"/>
    <cellStyle name="Normal 8 8 3 2 10" xfId="53498"/>
    <cellStyle name="Normal 8 8 3 2 11" xfId="53499"/>
    <cellStyle name="Normal 8 8 3 2 12" xfId="53500"/>
    <cellStyle name="Normal 8 8 3 2 13" xfId="53501"/>
    <cellStyle name="Normal 8 8 3 2 2" xfId="53502"/>
    <cellStyle name="Normal 8 8 3 2 2 2" xfId="53503"/>
    <cellStyle name="Normal 8 8 3 2 2 2 2" xfId="53504"/>
    <cellStyle name="Normal 8 8 3 2 2 3" xfId="53505"/>
    <cellStyle name="Normal 8 8 3 2 2 4" xfId="53506"/>
    <cellStyle name="Normal 8 8 3 2 2 5" xfId="53507"/>
    <cellStyle name="Normal 8 8 3 2 3" xfId="53508"/>
    <cellStyle name="Normal 8 8 3 2 3 2" xfId="53509"/>
    <cellStyle name="Normal 8 8 3 2 4" xfId="53510"/>
    <cellStyle name="Normal 8 8 3 2 4 2" xfId="53511"/>
    <cellStyle name="Normal 8 8 3 2 5" xfId="53512"/>
    <cellStyle name="Normal 8 8 3 2 5 2" xfId="53513"/>
    <cellStyle name="Normal 8 8 3 2 6" xfId="53514"/>
    <cellStyle name="Normal 8 8 3 2 6 2" xfId="53515"/>
    <cellStyle name="Normal 8 8 3 2 7" xfId="53516"/>
    <cellStyle name="Normal 8 8 3 2 8" xfId="53517"/>
    <cellStyle name="Normal 8 8 3 2 9" xfId="53518"/>
    <cellStyle name="Normal 8 8 3 3" xfId="53519"/>
    <cellStyle name="Normal 8 8 3 3 2" xfId="53520"/>
    <cellStyle name="Normal 8 8 3 3 2 2" xfId="53521"/>
    <cellStyle name="Normal 8 8 3 3 3" xfId="53522"/>
    <cellStyle name="Normal 8 8 3 3 4" xfId="53523"/>
    <cellStyle name="Normal 8 8 3 3 5" xfId="53524"/>
    <cellStyle name="Normal 8 8 3 4" xfId="53525"/>
    <cellStyle name="Normal 8 8 3 4 2" xfId="53526"/>
    <cellStyle name="Normal 8 8 3 5" xfId="53527"/>
    <cellStyle name="Normal 8 8 3 5 2" xfId="53528"/>
    <cellStyle name="Normal 8 8 3 6" xfId="53529"/>
    <cellStyle name="Normal 8 8 3 6 2" xfId="53530"/>
    <cellStyle name="Normal 8 8 3 7" xfId="53531"/>
    <cellStyle name="Normal 8 8 3 7 2" xfId="53532"/>
    <cellStyle name="Normal 8 8 3 8" xfId="53533"/>
    <cellStyle name="Normal 8 8 3 9" xfId="53534"/>
    <cellStyle name="Normal 8 8 4" xfId="53535"/>
    <cellStyle name="Normal 8 8 4 10" xfId="53536"/>
    <cellStyle name="Normal 8 8 4 11" xfId="53537"/>
    <cellStyle name="Normal 8 8 4 12" xfId="53538"/>
    <cellStyle name="Normal 8 8 4 13" xfId="53539"/>
    <cellStyle name="Normal 8 8 4 14" xfId="53540"/>
    <cellStyle name="Normal 8 8 4 15" xfId="53541"/>
    <cellStyle name="Normal 8 8 4 16" xfId="53542"/>
    <cellStyle name="Normal 8 8 4 17" xfId="53543"/>
    <cellStyle name="Normal 8 8 4 18" xfId="53544"/>
    <cellStyle name="Normal 8 8 4 2" xfId="53545"/>
    <cellStyle name="Normal 8 8 4 2 10" xfId="53546"/>
    <cellStyle name="Normal 8 8 4 2 11" xfId="53547"/>
    <cellStyle name="Normal 8 8 4 2 12" xfId="53548"/>
    <cellStyle name="Normal 8 8 4 2 13" xfId="53549"/>
    <cellStyle name="Normal 8 8 4 2 2" xfId="53550"/>
    <cellStyle name="Normal 8 8 4 2 2 2" xfId="53551"/>
    <cellStyle name="Normal 8 8 4 2 2 2 2" xfId="53552"/>
    <cellStyle name="Normal 8 8 4 2 2 3" xfId="53553"/>
    <cellStyle name="Normal 8 8 4 2 2 4" xfId="53554"/>
    <cellStyle name="Normal 8 8 4 2 2 5" xfId="53555"/>
    <cellStyle name="Normal 8 8 4 2 3" xfId="53556"/>
    <cellStyle name="Normal 8 8 4 2 3 2" xfId="53557"/>
    <cellStyle name="Normal 8 8 4 2 4" xfId="53558"/>
    <cellStyle name="Normal 8 8 4 2 4 2" xfId="53559"/>
    <cellStyle name="Normal 8 8 4 2 5" xfId="53560"/>
    <cellStyle name="Normal 8 8 4 2 5 2" xfId="53561"/>
    <cellStyle name="Normal 8 8 4 2 6" xfId="53562"/>
    <cellStyle name="Normal 8 8 4 2 6 2" xfId="53563"/>
    <cellStyle name="Normal 8 8 4 2 7" xfId="53564"/>
    <cellStyle name="Normal 8 8 4 2 8" xfId="53565"/>
    <cellStyle name="Normal 8 8 4 2 9" xfId="53566"/>
    <cellStyle name="Normal 8 8 4 3" xfId="53567"/>
    <cellStyle name="Normal 8 8 4 3 2" xfId="53568"/>
    <cellStyle name="Normal 8 8 4 3 2 2" xfId="53569"/>
    <cellStyle name="Normal 8 8 4 3 3" xfId="53570"/>
    <cellStyle name="Normal 8 8 4 3 4" xfId="53571"/>
    <cellStyle name="Normal 8 8 4 3 5" xfId="53572"/>
    <cellStyle name="Normal 8 8 4 4" xfId="53573"/>
    <cellStyle name="Normal 8 8 4 4 2" xfId="53574"/>
    <cellStyle name="Normal 8 8 4 5" xfId="53575"/>
    <cellStyle name="Normal 8 8 4 5 2" xfId="53576"/>
    <cellStyle name="Normal 8 8 4 6" xfId="53577"/>
    <cellStyle name="Normal 8 8 4 6 2" xfId="53578"/>
    <cellStyle name="Normal 8 8 4 7" xfId="53579"/>
    <cellStyle name="Normal 8 8 4 7 2" xfId="53580"/>
    <cellStyle name="Normal 8 8 4 8" xfId="53581"/>
    <cellStyle name="Normal 8 8 4 9" xfId="53582"/>
    <cellStyle name="Normal 8 8 5" xfId="53583"/>
    <cellStyle name="Normal 8 8 5 10" xfId="53584"/>
    <cellStyle name="Normal 8 8 5 11" xfId="53585"/>
    <cellStyle name="Normal 8 8 5 12" xfId="53586"/>
    <cellStyle name="Normal 8 8 5 13" xfId="53587"/>
    <cellStyle name="Normal 8 8 5 14" xfId="53588"/>
    <cellStyle name="Normal 8 8 5 15" xfId="53589"/>
    <cellStyle name="Normal 8 8 5 16" xfId="53590"/>
    <cellStyle name="Normal 8 8 5 17" xfId="53591"/>
    <cellStyle name="Normal 8 8 5 2" xfId="53592"/>
    <cellStyle name="Normal 8 8 5 2 10" xfId="53593"/>
    <cellStyle name="Normal 8 8 5 2 11" xfId="53594"/>
    <cellStyle name="Normal 8 8 5 2 12" xfId="53595"/>
    <cellStyle name="Normal 8 8 5 2 13" xfId="53596"/>
    <cellStyle name="Normal 8 8 5 2 2" xfId="53597"/>
    <cellStyle name="Normal 8 8 5 2 2 2" xfId="53598"/>
    <cellStyle name="Normal 8 8 5 2 2 2 2" xfId="53599"/>
    <cellStyle name="Normal 8 8 5 2 2 3" xfId="53600"/>
    <cellStyle name="Normal 8 8 5 2 2 4" xfId="53601"/>
    <cellStyle name="Normal 8 8 5 2 2 5" xfId="53602"/>
    <cellStyle name="Normal 8 8 5 2 3" xfId="53603"/>
    <cellStyle name="Normal 8 8 5 2 3 2" xfId="53604"/>
    <cellStyle name="Normal 8 8 5 2 4" xfId="53605"/>
    <cellStyle name="Normal 8 8 5 2 4 2" xfId="53606"/>
    <cellStyle name="Normal 8 8 5 2 5" xfId="53607"/>
    <cellStyle name="Normal 8 8 5 2 5 2" xfId="53608"/>
    <cellStyle name="Normal 8 8 5 2 6" xfId="53609"/>
    <cellStyle name="Normal 8 8 5 2 6 2" xfId="53610"/>
    <cellStyle name="Normal 8 8 5 2 7" xfId="53611"/>
    <cellStyle name="Normal 8 8 5 2 8" xfId="53612"/>
    <cellStyle name="Normal 8 8 5 2 9" xfId="53613"/>
    <cellStyle name="Normal 8 8 5 3" xfId="53614"/>
    <cellStyle name="Normal 8 8 5 3 2" xfId="53615"/>
    <cellStyle name="Normal 8 8 5 3 2 2" xfId="53616"/>
    <cellStyle name="Normal 8 8 5 3 3" xfId="53617"/>
    <cellStyle name="Normal 8 8 5 3 4" xfId="53618"/>
    <cellStyle name="Normal 8 8 5 3 5" xfId="53619"/>
    <cellStyle name="Normal 8 8 5 4" xfId="53620"/>
    <cellStyle name="Normal 8 8 5 4 2" xfId="53621"/>
    <cellStyle name="Normal 8 8 5 5" xfId="53622"/>
    <cellStyle name="Normal 8 8 5 5 2" xfId="53623"/>
    <cellStyle name="Normal 8 8 5 6" xfId="53624"/>
    <cellStyle name="Normal 8 8 5 6 2" xfId="53625"/>
    <cellStyle name="Normal 8 8 5 7" xfId="53626"/>
    <cellStyle name="Normal 8 8 5 7 2" xfId="53627"/>
    <cellStyle name="Normal 8 8 5 8" xfId="53628"/>
    <cellStyle name="Normal 8 8 5 9" xfId="53629"/>
    <cellStyle name="Normal 8 8 6" xfId="53630"/>
    <cellStyle name="Normal 8 8 6 10" xfId="53631"/>
    <cellStyle name="Normal 8 8 6 11" xfId="53632"/>
    <cellStyle name="Normal 8 8 6 12" xfId="53633"/>
    <cellStyle name="Normal 8 8 6 13" xfId="53634"/>
    <cellStyle name="Normal 8 8 6 14" xfId="53635"/>
    <cellStyle name="Normal 8 8 6 15" xfId="53636"/>
    <cellStyle name="Normal 8 8 6 16" xfId="53637"/>
    <cellStyle name="Normal 8 8 6 17" xfId="53638"/>
    <cellStyle name="Normal 8 8 6 2" xfId="53639"/>
    <cellStyle name="Normal 8 8 6 2 10" xfId="53640"/>
    <cellStyle name="Normal 8 8 6 2 11" xfId="53641"/>
    <cellStyle name="Normal 8 8 6 2 12" xfId="53642"/>
    <cellStyle name="Normal 8 8 6 2 13" xfId="53643"/>
    <cellStyle name="Normal 8 8 6 2 2" xfId="53644"/>
    <cellStyle name="Normal 8 8 6 2 2 2" xfId="53645"/>
    <cellStyle name="Normal 8 8 6 2 2 2 2" xfId="53646"/>
    <cellStyle name="Normal 8 8 6 2 2 3" xfId="53647"/>
    <cellStyle name="Normal 8 8 6 2 2 4" xfId="53648"/>
    <cellStyle name="Normal 8 8 6 2 2 5" xfId="53649"/>
    <cellStyle name="Normal 8 8 6 2 3" xfId="53650"/>
    <cellStyle name="Normal 8 8 6 2 3 2" xfId="53651"/>
    <cellStyle name="Normal 8 8 6 2 4" xfId="53652"/>
    <cellStyle name="Normal 8 8 6 2 4 2" xfId="53653"/>
    <cellStyle name="Normal 8 8 6 2 5" xfId="53654"/>
    <cellStyle name="Normal 8 8 6 2 5 2" xfId="53655"/>
    <cellStyle name="Normal 8 8 6 2 6" xfId="53656"/>
    <cellStyle name="Normal 8 8 6 2 6 2" xfId="53657"/>
    <cellStyle name="Normal 8 8 6 2 7" xfId="53658"/>
    <cellStyle name="Normal 8 8 6 2 8" xfId="53659"/>
    <cellStyle name="Normal 8 8 6 2 9" xfId="53660"/>
    <cellStyle name="Normal 8 8 6 3" xfId="53661"/>
    <cellStyle name="Normal 8 8 6 3 2" xfId="53662"/>
    <cellStyle name="Normal 8 8 6 3 2 2" xfId="53663"/>
    <cellStyle name="Normal 8 8 6 3 3" xfId="53664"/>
    <cellStyle name="Normal 8 8 6 3 4" xfId="53665"/>
    <cellStyle name="Normal 8 8 6 3 5" xfId="53666"/>
    <cellStyle name="Normal 8 8 6 4" xfId="53667"/>
    <cellStyle name="Normal 8 8 6 4 2" xfId="53668"/>
    <cellStyle name="Normal 8 8 6 5" xfId="53669"/>
    <cellStyle name="Normal 8 8 6 5 2" xfId="53670"/>
    <cellStyle name="Normal 8 8 6 6" xfId="53671"/>
    <cellStyle name="Normal 8 8 6 6 2" xfId="53672"/>
    <cellStyle name="Normal 8 8 6 7" xfId="53673"/>
    <cellStyle name="Normal 8 8 6 7 2" xfId="53674"/>
    <cellStyle name="Normal 8 8 6 8" xfId="53675"/>
    <cellStyle name="Normal 8 8 6 9" xfId="53676"/>
    <cellStyle name="Normal 8 8 7" xfId="53677"/>
    <cellStyle name="Normal 8 8 7 10" xfId="53678"/>
    <cellStyle name="Normal 8 8 7 11" xfId="53679"/>
    <cellStyle name="Normal 8 8 7 12" xfId="53680"/>
    <cellStyle name="Normal 8 8 7 13" xfId="53681"/>
    <cellStyle name="Normal 8 8 7 14" xfId="53682"/>
    <cellStyle name="Normal 8 8 7 15" xfId="53683"/>
    <cellStyle name="Normal 8 8 7 16" xfId="53684"/>
    <cellStyle name="Normal 8 8 7 17" xfId="53685"/>
    <cellStyle name="Normal 8 8 7 2" xfId="53686"/>
    <cellStyle name="Normal 8 8 7 2 10" xfId="53687"/>
    <cellStyle name="Normal 8 8 7 2 11" xfId="53688"/>
    <cellStyle name="Normal 8 8 7 2 12" xfId="53689"/>
    <cellStyle name="Normal 8 8 7 2 13" xfId="53690"/>
    <cellStyle name="Normal 8 8 7 2 2" xfId="53691"/>
    <cellStyle name="Normal 8 8 7 2 2 2" xfId="53692"/>
    <cellStyle name="Normal 8 8 7 2 2 2 2" xfId="53693"/>
    <cellStyle name="Normal 8 8 7 2 2 3" xfId="53694"/>
    <cellStyle name="Normal 8 8 7 2 2 4" xfId="53695"/>
    <cellStyle name="Normal 8 8 7 2 2 5" xfId="53696"/>
    <cellStyle name="Normal 8 8 7 2 3" xfId="53697"/>
    <cellStyle name="Normal 8 8 7 2 3 2" xfId="53698"/>
    <cellStyle name="Normal 8 8 7 2 4" xfId="53699"/>
    <cellStyle name="Normal 8 8 7 2 4 2" xfId="53700"/>
    <cellStyle name="Normal 8 8 7 2 5" xfId="53701"/>
    <cellStyle name="Normal 8 8 7 2 5 2" xfId="53702"/>
    <cellStyle name="Normal 8 8 7 2 6" xfId="53703"/>
    <cellStyle name="Normal 8 8 7 2 6 2" xfId="53704"/>
    <cellStyle name="Normal 8 8 7 2 7" xfId="53705"/>
    <cellStyle name="Normal 8 8 7 2 8" xfId="53706"/>
    <cellStyle name="Normal 8 8 7 2 9" xfId="53707"/>
    <cellStyle name="Normal 8 8 7 3" xfId="53708"/>
    <cellStyle name="Normal 8 8 7 3 2" xfId="53709"/>
    <cellStyle name="Normal 8 8 7 3 2 2" xfId="53710"/>
    <cellStyle name="Normal 8 8 7 3 3" xfId="53711"/>
    <cellStyle name="Normal 8 8 7 3 4" xfId="53712"/>
    <cellStyle name="Normal 8 8 7 3 5" xfId="53713"/>
    <cellStyle name="Normal 8 8 7 4" xfId="53714"/>
    <cellStyle name="Normal 8 8 7 4 2" xfId="53715"/>
    <cellStyle name="Normal 8 8 7 5" xfId="53716"/>
    <cellStyle name="Normal 8 8 7 5 2" xfId="53717"/>
    <cellStyle name="Normal 8 8 7 6" xfId="53718"/>
    <cellStyle name="Normal 8 8 7 6 2" xfId="53719"/>
    <cellStyle name="Normal 8 8 7 7" xfId="53720"/>
    <cellStyle name="Normal 8 8 7 7 2" xfId="53721"/>
    <cellStyle name="Normal 8 8 7 8" xfId="53722"/>
    <cellStyle name="Normal 8 8 7 9" xfId="53723"/>
    <cellStyle name="Normal 8 8 8" xfId="53724"/>
    <cellStyle name="Normal 8 8 8 10" xfId="53725"/>
    <cellStyle name="Normal 8 8 8 11" xfId="53726"/>
    <cellStyle name="Normal 8 8 8 12" xfId="53727"/>
    <cellStyle name="Normal 8 8 8 13" xfId="53728"/>
    <cellStyle name="Normal 8 8 8 14" xfId="53729"/>
    <cellStyle name="Normal 8 8 8 15" xfId="53730"/>
    <cellStyle name="Normal 8 8 8 2" xfId="53731"/>
    <cellStyle name="Normal 8 8 8 2 2" xfId="53732"/>
    <cellStyle name="Normal 8 8 8 2 2 2" xfId="53733"/>
    <cellStyle name="Normal 8 8 8 2 3" xfId="53734"/>
    <cellStyle name="Normal 8 8 8 2 3 2" xfId="53735"/>
    <cellStyle name="Normal 8 8 8 2 4" xfId="53736"/>
    <cellStyle name="Normal 8 8 8 2 4 2" xfId="53737"/>
    <cellStyle name="Normal 8 8 8 2 5" xfId="53738"/>
    <cellStyle name="Normal 8 8 8 2 5 2" xfId="53739"/>
    <cellStyle name="Normal 8 8 8 2 6" xfId="53740"/>
    <cellStyle name="Normal 8 8 8 2 7" xfId="53741"/>
    <cellStyle name="Normal 8 8 8 2 8" xfId="53742"/>
    <cellStyle name="Normal 8 8 8 2 9" xfId="53743"/>
    <cellStyle name="Normal 8 8 8 3" xfId="53744"/>
    <cellStyle name="Normal 8 8 8 3 2" xfId="53745"/>
    <cellStyle name="Normal 8 8 8 3 2 2" xfId="53746"/>
    <cellStyle name="Normal 8 8 8 3 3" xfId="53747"/>
    <cellStyle name="Normal 8 8 8 3 4" xfId="53748"/>
    <cellStyle name="Normal 8 8 8 3 5" xfId="53749"/>
    <cellStyle name="Normal 8 8 8 4" xfId="53750"/>
    <cellStyle name="Normal 8 8 8 4 2" xfId="53751"/>
    <cellStyle name="Normal 8 8 8 5" xfId="53752"/>
    <cellStyle name="Normal 8 8 8 5 2" xfId="53753"/>
    <cellStyle name="Normal 8 8 8 6" xfId="53754"/>
    <cellStyle name="Normal 8 8 8 6 2" xfId="53755"/>
    <cellStyle name="Normal 8 8 8 7" xfId="53756"/>
    <cellStyle name="Normal 8 8 8 7 2" xfId="53757"/>
    <cellStyle name="Normal 8 8 8 8" xfId="53758"/>
    <cellStyle name="Normal 8 8 8 9" xfId="53759"/>
    <cellStyle name="Normal 8 8 9" xfId="53760"/>
    <cellStyle name="Normal 8 8 9 10" xfId="53761"/>
    <cellStyle name="Normal 8 8 9 11" xfId="53762"/>
    <cellStyle name="Normal 8 8 9 12" xfId="53763"/>
    <cellStyle name="Normal 8 8 9 13" xfId="53764"/>
    <cellStyle name="Normal 8 8 9 14" xfId="53765"/>
    <cellStyle name="Normal 8 8 9 15" xfId="53766"/>
    <cellStyle name="Normal 8 8 9 2" xfId="53767"/>
    <cellStyle name="Normal 8 8 9 2 2" xfId="53768"/>
    <cellStyle name="Normal 8 8 9 2 2 2" xfId="53769"/>
    <cellStyle name="Normal 8 8 9 2 3" xfId="53770"/>
    <cellStyle name="Normal 8 8 9 2 3 2" xfId="53771"/>
    <cellStyle name="Normal 8 8 9 2 4" xfId="53772"/>
    <cellStyle name="Normal 8 8 9 2 4 2" xfId="53773"/>
    <cellStyle name="Normal 8 8 9 2 5" xfId="53774"/>
    <cellStyle name="Normal 8 8 9 2 5 2" xfId="53775"/>
    <cellStyle name="Normal 8 8 9 2 6" xfId="53776"/>
    <cellStyle name="Normal 8 8 9 2 7" xfId="53777"/>
    <cellStyle name="Normal 8 8 9 2 8" xfId="53778"/>
    <cellStyle name="Normal 8 8 9 2 9" xfId="53779"/>
    <cellStyle name="Normal 8 8 9 3" xfId="53780"/>
    <cellStyle name="Normal 8 8 9 3 2" xfId="53781"/>
    <cellStyle name="Normal 8 8 9 3 2 2" xfId="53782"/>
    <cellStyle name="Normal 8 8 9 3 3" xfId="53783"/>
    <cellStyle name="Normal 8 8 9 3 4" xfId="53784"/>
    <cellStyle name="Normal 8 8 9 3 5" xfId="53785"/>
    <cellStyle name="Normal 8 8 9 4" xfId="53786"/>
    <cellStyle name="Normal 8 8 9 4 2" xfId="53787"/>
    <cellStyle name="Normal 8 8 9 5" xfId="53788"/>
    <cellStyle name="Normal 8 8 9 5 2" xfId="53789"/>
    <cellStyle name="Normal 8 8 9 6" xfId="53790"/>
    <cellStyle name="Normal 8 8 9 6 2" xfId="53791"/>
    <cellStyle name="Normal 8 8 9 7" xfId="53792"/>
    <cellStyle name="Normal 8 8 9 7 2" xfId="53793"/>
    <cellStyle name="Normal 8 8 9 8" xfId="53794"/>
    <cellStyle name="Normal 8 8 9 9" xfId="53795"/>
    <cellStyle name="Normal 8 9" xfId="53796"/>
    <cellStyle name="Normal 8 9 10" xfId="53797"/>
    <cellStyle name="Normal 8 9 10 10" xfId="53798"/>
    <cellStyle name="Normal 8 9 10 11" xfId="53799"/>
    <cellStyle name="Normal 8 9 10 12" xfId="53800"/>
    <cellStyle name="Normal 8 9 10 13" xfId="53801"/>
    <cellStyle name="Normal 8 9 10 14" xfId="53802"/>
    <cellStyle name="Normal 8 9 10 2" xfId="53803"/>
    <cellStyle name="Normal 8 9 10 2 2" xfId="53804"/>
    <cellStyle name="Normal 8 9 10 2 2 2" xfId="53805"/>
    <cellStyle name="Normal 8 9 10 2 3" xfId="53806"/>
    <cellStyle name="Normal 8 9 10 2 3 2" xfId="53807"/>
    <cellStyle name="Normal 8 9 10 2 4" xfId="53808"/>
    <cellStyle name="Normal 8 9 10 2 4 2" xfId="53809"/>
    <cellStyle name="Normal 8 9 10 2 5" xfId="53810"/>
    <cellStyle name="Normal 8 9 10 2 5 2" xfId="53811"/>
    <cellStyle name="Normal 8 9 10 2 6" xfId="53812"/>
    <cellStyle name="Normal 8 9 10 2 7" xfId="53813"/>
    <cellStyle name="Normal 8 9 10 2 8" xfId="53814"/>
    <cellStyle name="Normal 8 9 10 2 9" xfId="53815"/>
    <cellStyle name="Normal 8 9 10 3" xfId="53816"/>
    <cellStyle name="Normal 8 9 10 3 2" xfId="53817"/>
    <cellStyle name="Normal 8 9 10 3 2 2" xfId="53818"/>
    <cellStyle name="Normal 8 9 10 3 3" xfId="53819"/>
    <cellStyle name="Normal 8 9 10 3 4" xfId="53820"/>
    <cellStyle name="Normal 8 9 10 3 5" xfId="53821"/>
    <cellStyle name="Normal 8 9 10 4" xfId="53822"/>
    <cellStyle name="Normal 8 9 10 4 2" xfId="53823"/>
    <cellStyle name="Normal 8 9 10 5" xfId="53824"/>
    <cellStyle name="Normal 8 9 10 5 2" xfId="53825"/>
    <cellStyle name="Normal 8 9 10 6" xfId="53826"/>
    <cellStyle name="Normal 8 9 10 6 2" xfId="53827"/>
    <cellStyle name="Normal 8 9 10 7" xfId="53828"/>
    <cellStyle name="Normal 8 9 10 7 2" xfId="53829"/>
    <cellStyle name="Normal 8 9 10 8" xfId="53830"/>
    <cellStyle name="Normal 8 9 10 9" xfId="53831"/>
    <cellStyle name="Normal 8 9 11" xfId="53832"/>
    <cellStyle name="Normal 8 9 11 2" xfId="53833"/>
    <cellStyle name="Normal 8 9 11 2 2" xfId="53834"/>
    <cellStyle name="Normal 8 9 11 3" xfId="53835"/>
    <cellStyle name="Normal 8 9 11 3 2" xfId="53836"/>
    <cellStyle name="Normal 8 9 11 4" xfId="53837"/>
    <cellStyle name="Normal 8 9 11 4 2" xfId="53838"/>
    <cellStyle name="Normal 8 9 11 5" xfId="53839"/>
    <cellStyle name="Normal 8 9 11 5 2" xfId="53840"/>
    <cellStyle name="Normal 8 9 11 6" xfId="53841"/>
    <cellStyle name="Normal 8 9 11 7" xfId="53842"/>
    <cellStyle name="Normal 8 9 11 8" xfId="53843"/>
    <cellStyle name="Normal 8 9 11 9" xfId="53844"/>
    <cellStyle name="Normal 8 9 12" xfId="53845"/>
    <cellStyle name="Normal 8 9 12 2" xfId="53846"/>
    <cellStyle name="Normal 8 9 12 2 2" xfId="53847"/>
    <cellStyle name="Normal 8 9 12 3" xfId="53848"/>
    <cellStyle name="Normal 8 9 12 4" xfId="53849"/>
    <cellStyle name="Normal 8 9 12 5" xfId="53850"/>
    <cellStyle name="Normal 8 9 13" xfId="53851"/>
    <cellStyle name="Normal 8 9 13 2" xfId="53852"/>
    <cellStyle name="Normal 8 9 14" xfId="53853"/>
    <cellStyle name="Normal 8 9 14 2" xfId="53854"/>
    <cellStyle name="Normal 8 9 15" xfId="53855"/>
    <cellStyle name="Normal 8 9 15 2" xfId="53856"/>
    <cellStyle name="Normal 8 9 16" xfId="53857"/>
    <cellStyle name="Normal 8 9 16 2" xfId="53858"/>
    <cellStyle name="Normal 8 9 17" xfId="53859"/>
    <cellStyle name="Normal 8 9 18" xfId="53860"/>
    <cellStyle name="Normal 8 9 19" xfId="53861"/>
    <cellStyle name="Normal 8 9 2" xfId="53862"/>
    <cellStyle name="Normal 8 9 2 10" xfId="53863"/>
    <cellStyle name="Normal 8 9 2 11" xfId="53864"/>
    <cellStyle name="Normal 8 9 2 12" xfId="53865"/>
    <cellStyle name="Normal 8 9 2 13" xfId="53866"/>
    <cellStyle name="Normal 8 9 2 14" xfId="53867"/>
    <cellStyle name="Normal 8 9 2 15" xfId="53868"/>
    <cellStyle name="Normal 8 9 2 16" xfId="53869"/>
    <cellStyle name="Normal 8 9 2 17" xfId="53870"/>
    <cellStyle name="Normal 8 9 2 18" xfId="53871"/>
    <cellStyle name="Normal 8 9 2 2" xfId="53872"/>
    <cellStyle name="Normal 8 9 2 2 10" xfId="53873"/>
    <cellStyle name="Normal 8 9 2 2 11" xfId="53874"/>
    <cellStyle name="Normal 8 9 2 2 12" xfId="53875"/>
    <cellStyle name="Normal 8 9 2 2 13" xfId="53876"/>
    <cellStyle name="Normal 8 9 2 2 2" xfId="53877"/>
    <cellStyle name="Normal 8 9 2 2 2 2" xfId="53878"/>
    <cellStyle name="Normal 8 9 2 2 2 2 2" xfId="53879"/>
    <cellStyle name="Normal 8 9 2 2 2 3" xfId="53880"/>
    <cellStyle name="Normal 8 9 2 2 2 4" xfId="53881"/>
    <cellStyle name="Normal 8 9 2 2 2 5" xfId="53882"/>
    <cellStyle name="Normal 8 9 2 2 3" xfId="53883"/>
    <cellStyle name="Normal 8 9 2 2 3 2" xfId="53884"/>
    <cellStyle name="Normal 8 9 2 2 4" xfId="53885"/>
    <cellStyle name="Normal 8 9 2 2 4 2" xfId="53886"/>
    <cellStyle name="Normal 8 9 2 2 5" xfId="53887"/>
    <cellStyle name="Normal 8 9 2 2 5 2" xfId="53888"/>
    <cellStyle name="Normal 8 9 2 2 6" xfId="53889"/>
    <cellStyle name="Normal 8 9 2 2 6 2" xfId="53890"/>
    <cellStyle name="Normal 8 9 2 2 7" xfId="53891"/>
    <cellStyle name="Normal 8 9 2 2 8" xfId="53892"/>
    <cellStyle name="Normal 8 9 2 2 9" xfId="53893"/>
    <cellStyle name="Normal 8 9 2 3" xfId="53894"/>
    <cellStyle name="Normal 8 9 2 3 2" xfId="53895"/>
    <cellStyle name="Normal 8 9 2 3 2 2" xfId="53896"/>
    <cellStyle name="Normal 8 9 2 3 3" xfId="53897"/>
    <cellStyle name="Normal 8 9 2 3 4" xfId="53898"/>
    <cellStyle name="Normal 8 9 2 3 5" xfId="53899"/>
    <cellStyle name="Normal 8 9 2 4" xfId="53900"/>
    <cellStyle name="Normal 8 9 2 4 2" xfId="53901"/>
    <cellStyle name="Normal 8 9 2 5" xfId="53902"/>
    <cellStyle name="Normal 8 9 2 5 2" xfId="53903"/>
    <cellStyle name="Normal 8 9 2 6" xfId="53904"/>
    <cellStyle name="Normal 8 9 2 6 2" xfId="53905"/>
    <cellStyle name="Normal 8 9 2 7" xfId="53906"/>
    <cellStyle name="Normal 8 9 2 7 2" xfId="53907"/>
    <cellStyle name="Normal 8 9 2 8" xfId="53908"/>
    <cellStyle name="Normal 8 9 2 9" xfId="53909"/>
    <cellStyle name="Normal 8 9 20" xfId="53910"/>
    <cellStyle name="Normal 8 9 21" xfId="53911"/>
    <cellStyle name="Normal 8 9 22" xfId="53912"/>
    <cellStyle name="Normal 8 9 23" xfId="53913"/>
    <cellStyle name="Normal 8 9 24" xfId="53914"/>
    <cellStyle name="Normal 8 9 25" xfId="53915"/>
    <cellStyle name="Normal 8 9 3" xfId="53916"/>
    <cellStyle name="Normal 8 9 3 10" xfId="53917"/>
    <cellStyle name="Normal 8 9 3 11" xfId="53918"/>
    <cellStyle name="Normal 8 9 3 12" xfId="53919"/>
    <cellStyle name="Normal 8 9 3 13" xfId="53920"/>
    <cellStyle name="Normal 8 9 3 14" xfId="53921"/>
    <cellStyle name="Normal 8 9 3 15" xfId="53922"/>
    <cellStyle name="Normal 8 9 3 16" xfId="53923"/>
    <cellStyle name="Normal 8 9 3 17" xfId="53924"/>
    <cellStyle name="Normal 8 9 3 18" xfId="53925"/>
    <cellStyle name="Normal 8 9 3 2" xfId="53926"/>
    <cellStyle name="Normal 8 9 3 2 10" xfId="53927"/>
    <cellStyle name="Normal 8 9 3 2 11" xfId="53928"/>
    <cellStyle name="Normal 8 9 3 2 12" xfId="53929"/>
    <cellStyle name="Normal 8 9 3 2 13" xfId="53930"/>
    <cellStyle name="Normal 8 9 3 2 2" xfId="53931"/>
    <cellStyle name="Normal 8 9 3 2 2 2" xfId="53932"/>
    <cellStyle name="Normal 8 9 3 2 2 2 2" xfId="53933"/>
    <cellStyle name="Normal 8 9 3 2 2 3" xfId="53934"/>
    <cellStyle name="Normal 8 9 3 2 2 4" xfId="53935"/>
    <cellStyle name="Normal 8 9 3 2 2 5" xfId="53936"/>
    <cellStyle name="Normal 8 9 3 2 3" xfId="53937"/>
    <cellStyle name="Normal 8 9 3 2 3 2" xfId="53938"/>
    <cellStyle name="Normal 8 9 3 2 4" xfId="53939"/>
    <cellStyle name="Normal 8 9 3 2 4 2" xfId="53940"/>
    <cellStyle name="Normal 8 9 3 2 5" xfId="53941"/>
    <cellStyle name="Normal 8 9 3 2 5 2" xfId="53942"/>
    <cellStyle name="Normal 8 9 3 2 6" xfId="53943"/>
    <cellStyle name="Normal 8 9 3 2 6 2" xfId="53944"/>
    <cellStyle name="Normal 8 9 3 2 7" xfId="53945"/>
    <cellStyle name="Normal 8 9 3 2 8" xfId="53946"/>
    <cellStyle name="Normal 8 9 3 2 9" xfId="53947"/>
    <cellStyle name="Normal 8 9 3 3" xfId="53948"/>
    <cellStyle name="Normal 8 9 3 3 2" xfId="53949"/>
    <cellStyle name="Normal 8 9 3 3 2 2" xfId="53950"/>
    <cellStyle name="Normal 8 9 3 3 3" xfId="53951"/>
    <cellStyle name="Normal 8 9 3 3 4" xfId="53952"/>
    <cellStyle name="Normal 8 9 3 3 5" xfId="53953"/>
    <cellStyle name="Normal 8 9 3 4" xfId="53954"/>
    <cellStyle name="Normal 8 9 3 4 2" xfId="53955"/>
    <cellStyle name="Normal 8 9 3 5" xfId="53956"/>
    <cellStyle name="Normal 8 9 3 5 2" xfId="53957"/>
    <cellStyle name="Normal 8 9 3 6" xfId="53958"/>
    <cellStyle name="Normal 8 9 3 6 2" xfId="53959"/>
    <cellStyle name="Normal 8 9 3 7" xfId="53960"/>
    <cellStyle name="Normal 8 9 3 7 2" xfId="53961"/>
    <cellStyle name="Normal 8 9 3 8" xfId="53962"/>
    <cellStyle name="Normal 8 9 3 9" xfId="53963"/>
    <cellStyle name="Normal 8 9 4" xfId="53964"/>
    <cellStyle name="Normal 8 9 4 10" xfId="53965"/>
    <cellStyle name="Normal 8 9 4 11" xfId="53966"/>
    <cellStyle name="Normal 8 9 4 12" xfId="53967"/>
    <cellStyle name="Normal 8 9 4 13" xfId="53968"/>
    <cellStyle name="Normal 8 9 4 14" xfId="53969"/>
    <cellStyle name="Normal 8 9 4 15" xfId="53970"/>
    <cellStyle name="Normal 8 9 4 16" xfId="53971"/>
    <cellStyle name="Normal 8 9 4 17" xfId="53972"/>
    <cellStyle name="Normal 8 9 4 18" xfId="53973"/>
    <cellStyle name="Normal 8 9 4 2" xfId="53974"/>
    <cellStyle name="Normal 8 9 4 2 10" xfId="53975"/>
    <cellStyle name="Normal 8 9 4 2 11" xfId="53976"/>
    <cellStyle name="Normal 8 9 4 2 12" xfId="53977"/>
    <cellStyle name="Normal 8 9 4 2 13" xfId="53978"/>
    <cellStyle name="Normal 8 9 4 2 2" xfId="53979"/>
    <cellStyle name="Normal 8 9 4 2 2 2" xfId="53980"/>
    <cellStyle name="Normal 8 9 4 2 2 2 2" xfId="53981"/>
    <cellStyle name="Normal 8 9 4 2 2 3" xfId="53982"/>
    <cellStyle name="Normal 8 9 4 2 2 4" xfId="53983"/>
    <cellStyle name="Normal 8 9 4 2 2 5" xfId="53984"/>
    <cellStyle name="Normal 8 9 4 2 3" xfId="53985"/>
    <cellStyle name="Normal 8 9 4 2 3 2" xfId="53986"/>
    <cellStyle name="Normal 8 9 4 2 4" xfId="53987"/>
    <cellStyle name="Normal 8 9 4 2 4 2" xfId="53988"/>
    <cellStyle name="Normal 8 9 4 2 5" xfId="53989"/>
    <cellStyle name="Normal 8 9 4 2 5 2" xfId="53990"/>
    <cellStyle name="Normal 8 9 4 2 6" xfId="53991"/>
    <cellStyle name="Normal 8 9 4 2 6 2" xfId="53992"/>
    <cellStyle name="Normal 8 9 4 2 7" xfId="53993"/>
    <cellStyle name="Normal 8 9 4 2 8" xfId="53994"/>
    <cellStyle name="Normal 8 9 4 2 9" xfId="53995"/>
    <cellStyle name="Normal 8 9 4 3" xfId="53996"/>
    <cellStyle name="Normal 8 9 4 3 2" xfId="53997"/>
    <cellStyle name="Normal 8 9 4 3 2 2" xfId="53998"/>
    <cellStyle name="Normal 8 9 4 3 3" xfId="53999"/>
    <cellStyle name="Normal 8 9 4 3 4" xfId="54000"/>
    <cellStyle name="Normal 8 9 4 3 5" xfId="54001"/>
    <cellStyle name="Normal 8 9 4 4" xfId="54002"/>
    <cellStyle name="Normal 8 9 4 4 2" xfId="54003"/>
    <cellStyle name="Normal 8 9 4 5" xfId="54004"/>
    <cellStyle name="Normal 8 9 4 5 2" xfId="54005"/>
    <cellStyle name="Normal 8 9 4 6" xfId="54006"/>
    <cellStyle name="Normal 8 9 4 6 2" xfId="54007"/>
    <cellStyle name="Normal 8 9 4 7" xfId="54008"/>
    <cellStyle name="Normal 8 9 4 7 2" xfId="54009"/>
    <cellStyle name="Normal 8 9 4 8" xfId="54010"/>
    <cellStyle name="Normal 8 9 4 9" xfId="54011"/>
    <cellStyle name="Normal 8 9 5" xfId="54012"/>
    <cellStyle name="Normal 8 9 5 10" xfId="54013"/>
    <cellStyle name="Normal 8 9 5 11" xfId="54014"/>
    <cellStyle name="Normal 8 9 5 12" xfId="54015"/>
    <cellStyle name="Normal 8 9 5 13" xfId="54016"/>
    <cellStyle name="Normal 8 9 5 14" xfId="54017"/>
    <cellStyle name="Normal 8 9 5 15" xfId="54018"/>
    <cellStyle name="Normal 8 9 5 16" xfId="54019"/>
    <cellStyle name="Normal 8 9 5 17" xfId="54020"/>
    <cellStyle name="Normal 8 9 5 2" xfId="54021"/>
    <cellStyle name="Normal 8 9 5 2 10" xfId="54022"/>
    <cellStyle name="Normal 8 9 5 2 11" xfId="54023"/>
    <cellStyle name="Normal 8 9 5 2 12" xfId="54024"/>
    <cellStyle name="Normal 8 9 5 2 13" xfId="54025"/>
    <cellStyle name="Normal 8 9 5 2 2" xfId="54026"/>
    <cellStyle name="Normal 8 9 5 2 2 2" xfId="54027"/>
    <cellStyle name="Normal 8 9 5 2 2 2 2" xfId="54028"/>
    <cellStyle name="Normal 8 9 5 2 2 3" xfId="54029"/>
    <cellStyle name="Normal 8 9 5 2 2 4" xfId="54030"/>
    <cellStyle name="Normal 8 9 5 2 2 5" xfId="54031"/>
    <cellStyle name="Normal 8 9 5 2 3" xfId="54032"/>
    <cellStyle name="Normal 8 9 5 2 3 2" xfId="54033"/>
    <cellStyle name="Normal 8 9 5 2 4" xfId="54034"/>
    <cellStyle name="Normal 8 9 5 2 4 2" xfId="54035"/>
    <cellStyle name="Normal 8 9 5 2 5" xfId="54036"/>
    <cellStyle name="Normal 8 9 5 2 5 2" xfId="54037"/>
    <cellStyle name="Normal 8 9 5 2 6" xfId="54038"/>
    <cellStyle name="Normal 8 9 5 2 6 2" xfId="54039"/>
    <cellStyle name="Normal 8 9 5 2 7" xfId="54040"/>
    <cellStyle name="Normal 8 9 5 2 8" xfId="54041"/>
    <cellStyle name="Normal 8 9 5 2 9" xfId="54042"/>
    <cellStyle name="Normal 8 9 5 3" xfId="54043"/>
    <cellStyle name="Normal 8 9 5 3 2" xfId="54044"/>
    <cellStyle name="Normal 8 9 5 3 2 2" xfId="54045"/>
    <cellStyle name="Normal 8 9 5 3 3" xfId="54046"/>
    <cellStyle name="Normal 8 9 5 3 4" xfId="54047"/>
    <cellStyle name="Normal 8 9 5 3 5" xfId="54048"/>
    <cellStyle name="Normal 8 9 5 4" xfId="54049"/>
    <cellStyle name="Normal 8 9 5 4 2" xfId="54050"/>
    <cellStyle name="Normal 8 9 5 5" xfId="54051"/>
    <cellStyle name="Normal 8 9 5 5 2" xfId="54052"/>
    <cellStyle name="Normal 8 9 5 6" xfId="54053"/>
    <cellStyle name="Normal 8 9 5 6 2" xfId="54054"/>
    <cellStyle name="Normal 8 9 5 7" xfId="54055"/>
    <cellStyle name="Normal 8 9 5 7 2" xfId="54056"/>
    <cellStyle name="Normal 8 9 5 8" xfId="54057"/>
    <cellStyle name="Normal 8 9 5 9" xfId="54058"/>
    <cellStyle name="Normal 8 9 6" xfId="54059"/>
    <cellStyle name="Normal 8 9 6 10" xfId="54060"/>
    <cellStyle name="Normal 8 9 6 11" xfId="54061"/>
    <cellStyle name="Normal 8 9 6 12" xfId="54062"/>
    <cellStyle name="Normal 8 9 6 13" xfId="54063"/>
    <cellStyle name="Normal 8 9 6 14" xfId="54064"/>
    <cellStyle name="Normal 8 9 6 15" xfId="54065"/>
    <cellStyle name="Normal 8 9 6 16" xfId="54066"/>
    <cellStyle name="Normal 8 9 6 17" xfId="54067"/>
    <cellStyle name="Normal 8 9 6 2" xfId="54068"/>
    <cellStyle name="Normal 8 9 6 2 10" xfId="54069"/>
    <cellStyle name="Normal 8 9 6 2 11" xfId="54070"/>
    <cellStyle name="Normal 8 9 6 2 12" xfId="54071"/>
    <cellStyle name="Normal 8 9 6 2 13" xfId="54072"/>
    <cellStyle name="Normal 8 9 6 2 2" xfId="54073"/>
    <cellStyle name="Normal 8 9 6 2 2 2" xfId="54074"/>
    <cellStyle name="Normal 8 9 6 2 2 2 2" xfId="54075"/>
    <cellStyle name="Normal 8 9 6 2 2 3" xfId="54076"/>
    <cellStyle name="Normal 8 9 6 2 2 4" xfId="54077"/>
    <cellStyle name="Normal 8 9 6 2 2 5" xfId="54078"/>
    <cellStyle name="Normal 8 9 6 2 3" xfId="54079"/>
    <cellStyle name="Normal 8 9 6 2 3 2" xfId="54080"/>
    <cellStyle name="Normal 8 9 6 2 4" xfId="54081"/>
    <cellStyle name="Normal 8 9 6 2 4 2" xfId="54082"/>
    <cellStyle name="Normal 8 9 6 2 5" xfId="54083"/>
    <cellStyle name="Normal 8 9 6 2 5 2" xfId="54084"/>
    <cellStyle name="Normal 8 9 6 2 6" xfId="54085"/>
    <cellStyle name="Normal 8 9 6 2 6 2" xfId="54086"/>
    <cellStyle name="Normal 8 9 6 2 7" xfId="54087"/>
    <cellStyle name="Normal 8 9 6 2 8" xfId="54088"/>
    <cellStyle name="Normal 8 9 6 2 9" xfId="54089"/>
    <cellStyle name="Normal 8 9 6 3" xfId="54090"/>
    <cellStyle name="Normal 8 9 6 3 2" xfId="54091"/>
    <cellStyle name="Normal 8 9 6 3 2 2" xfId="54092"/>
    <cellStyle name="Normal 8 9 6 3 3" xfId="54093"/>
    <cellStyle name="Normal 8 9 6 3 4" xfId="54094"/>
    <cellStyle name="Normal 8 9 6 3 5" xfId="54095"/>
    <cellStyle name="Normal 8 9 6 4" xfId="54096"/>
    <cellStyle name="Normal 8 9 6 4 2" xfId="54097"/>
    <cellStyle name="Normal 8 9 6 5" xfId="54098"/>
    <cellStyle name="Normal 8 9 6 5 2" xfId="54099"/>
    <cellStyle name="Normal 8 9 6 6" xfId="54100"/>
    <cellStyle name="Normal 8 9 6 6 2" xfId="54101"/>
    <cellStyle name="Normal 8 9 6 7" xfId="54102"/>
    <cellStyle name="Normal 8 9 6 7 2" xfId="54103"/>
    <cellStyle name="Normal 8 9 6 8" xfId="54104"/>
    <cellStyle name="Normal 8 9 6 9" xfId="54105"/>
    <cellStyle name="Normal 8 9 7" xfId="54106"/>
    <cellStyle name="Normal 8 9 7 10" xfId="54107"/>
    <cellStyle name="Normal 8 9 7 11" xfId="54108"/>
    <cellStyle name="Normal 8 9 7 12" xfId="54109"/>
    <cellStyle name="Normal 8 9 7 13" xfId="54110"/>
    <cellStyle name="Normal 8 9 7 14" xfId="54111"/>
    <cellStyle name="Normal 8 9 7 15" xfId="54112"/>
    <cellStyle name="Normal 8 9 7 16" xfId="54113"/>
    <cellStyle name="Normal 8 9 7 17" xfId="54114"/>
    <cellStyle name="Normal 8 9 7 2" xfId="54115"/>
    <cellStyle name="Normal 8 9 7 2 10" xfId="54116"/>
    <cellStyle name="Normal 8 9 7 2 11" xfId="54117"/>
    <cellStyle name="Normal 8 9 7 2 12" xfId="54118"/>
    <cellStyle name="Normal 8 9 7 2 13" xfId="54119"/>
    <cellStyle name="Normal 8 9 7 2 2" xfId="54120"/>
    <cellStyle name="Normal 8 9 7 2 2 2" xfId="54121"/>
    <cellStyle name="Normal 8 9 7 2 2 2 2" xfId="54122"/>
    <cellStyle name="Normal 8 9 7 2 2 3" xfId="54123"/>
    <cellStyle name="Normal 8 9 7 2 2 4" xfId="54124"/>
    <cellStyle name="Normal 8 9 7 2 2 5" xfId="54125"/>
    <cellStyle name="Normal 8 9 7 2 3" xfId="54126"/>
    <cellStyle name="Normal 8 9 7 2 3 2" xfId="54127"/>
    <cellStyle name="Normal 8 9 7 2 4" xfId="54128"/>
    <cellStyle name="Normal 8 9 7 2 4 2" xfId="54129"/>
    <cellStyle name="Normal 8 9 7 2 5" xfId="54130"/>
    <cellStyle name="Normal 8 9 7 2 5 2" xfId="54131"/>
    <cellStyle name="Normal 8 9 7 2 6" xfId="54132"/>
    <cellStyle name="Normal 8 9 7 2 6 2" xfId="54133"/>
    <cellStyle name="Normal 8 9 7 2 7" xfId="54134"/>
    <cellStyle name="Normal 8 9 7 2 8" xfId="54135"/>
    <cellStyle name="Normal 8 9 7 2 9" xfId="54136"/>
    <cellStyle name="Normal 8 9 7 3" xfId="54137"/>
    <cellStyle name="Normal 8 9 7 3 2" xfId="54138"/>
    <cellStyle name="Normal 8 9 7 3 2 2" xfId="54139"/>
    <cellStyle name="Normal 8 9 7 3 3" xfId="54140"/>
    <cellStyle name="Normal 8 9 7 3 4" xfId="54141"/>
    <cellStyle name="Normal 8 9 7 3 5" xfId="54142"/>
    <cellStyle name="Normal 8 9 7 4" xfId="54143"/>
    <cellStyle name="Normal 8 9 7 4 2" xfId="54144"/>
    <cellStyle name="Normal 8 9 7 5" xfId="54145"/>
    <cellStyle name="Normal 8 9 7 5 2" xfId="54146"/>
    <cellStyle name="Normal 8 9 7 6" xfId="54147"/>
    <cellStyle name="Normal 8 9 7 6 2" xfId="54148"/>
    <cellStyle name="Normal 8 9 7 7" xfId="54149"/>
    <cellStyle name="Normal 8 9 7 7 2" xfId="54150"/>
    <cellStyle name="Normal 8 9 7 8" xfId="54151"/>
    <cellStyle name="Normal 8 9 7 9" xfId="54152"/>
    <cellStyle name="Normal 8 9 8" xfId="54153"/>
    <cellStyle name="Normal 8 9 8 10" xfId="54154"/>
    <cellStyle name="Normal 8 9 8 11" xfId="54155"/>
    <cellStyle name="Normal 8 9 8 12" xfId="54156"/>
    <cellStyle name="Normal 8 9 8 13" xfId="54157"/>
    <cellStyle name="Normal 8 9 8 14" xfId="54158"/>
    <cellStyle name="Normal 8 9 8 15" xfId="54159"/>
    <cellStyle name="Normal 8 9 8 2" xfId="54160"/>
    <cellStyle name="Normal 8 9 8 2 2" xfId="54161"/>
    <cellStyle name="Normal 8 9 8 2 2 2" xfId="54162"/>
    <cellStyle name="Normal 8 9 8 2 3" xfId="54163"/>
    <cellStyle name="Normal 8 9 8 2 3 2" xfId="54164"/>
    <cellStyle name="Normal 8 9 8 2 4" xfId="54165"/>
    <cellStyle name="Normal 8 9 8 2 4 2" xfId="54166"/>
    <cellStyle name="Normal 8 9 8 2 5" xfId="54167"/>
    <cellStyle name="Normal 8 9 8 2 5 2" xfId="54168"/>
    <cellStyle name="Normal 8 9 8 2 6" xfId="54169"/>
    <cellStyle name="Normal 8 9 8 2 7" xfId="54170"/>
    <cellStyle name="Normal 8 9 8 2 8" xfId="54171"/>
    <cellStyle name="Normal 8 9 8 2 9" xfId="54172"/>
    <cellStyle name="Normal 8 9 8 3" xfId="54173"/>
    <cellStyle name="Normal 8 9 8 3 2" xfId="54174"/>
    <cellStyle name="Normal 8 9 8 3 2 2" xfId="54175"/>
    <cellStyle name="Normal 8 9 8 3 3" xfId="54176"/>
    <cellStyle name="Normal 8 9 8 3 4" xfId="54177"/>
    <cellStyle name="Normal 8 9 8 3 5" xfId="54178"/>
    <cellStyle name="Normal 8 9 8 4" xfId="54179"/>
    <cellStyle name="Normal 8 9 8 4 2" xfId="54180"/>
    <cellStyle name="Normal 8 9 8 5" xfId="54181"/>
    <cellStyle name="Normal 8 9 8 5 2" xfId="54182"/>
    <cellStyle name="Normal 8 9 8 6" xfId="54183"/>
    <cellStyle name="Normal 8 9 8 6 2" xfId="54184"/>
    <cellStyle name="Normal 8 9 8 7" xfId="54185"/>
    <cellStyle name="Normal 8 9 8 7 2" xfId="54186"/>
    <cellStyle name="Normal 8 9 8 8" xfId="54187"/>
    <cellStyle name="Normal 8 9 8 9" xfId="54188"/>
    <cellStyle name="Normal 8 9 9" xfId="54189"/>
    <cellStyle name="Normal 8 9 9 10" xfId="54190"/>
    <cellStyle name="Normal 8 9 9 11" xfId="54191"/>
    <cellStyle name="Normal 8 9 9 12" xfId="54192"/>
    <cellStyle name="Normal 8 9 9 13" xfId="54193"/>
    <cellStyle name="Normal 8 9 9 14" xfId="54194"/>
    <cellStyle name="Normal 8 9 9 15" xfId="54195"/>
    <cellStyle name="Normal 8 9 9 2" xfId="54196"/>
    <cellStyle name="Normal 8 9 9 2 2" xfId="54197"/>
    <cellStyle name="Normal 8 9 9 2 2 2" xfId="54198"/>
    <cellStyle name="Normal 8 9 9 2 3" xfId="54199"/>
    <cellStyle name="Normal 8 9 9 2 3 2" xfId="54200"/>
    <cellStyle name="Normal 8 9 9 2 4" xfId="54201"/>
    <cellStyle name="Normal 8 9 9 2 4 2" xfId="54202"/>
    <cellStyle name="Normal 8 9 9 2 5" xfId="54203"/>
    <cellStyle name="Normal 8 9 9 2 5 2" xfId="54204"/>
    <cellStyle name="Normal 8 9 9 2 6" xfId="54205"/>
    <cellStyle name="Normal 8 9 9 2 7" xfId="54206"/>
    <cellStyle name="Normal 8 9 9 2 8" xfId="54207"/>
    <cellStyle name="Normal 8 9 9 2 9" xfId="54208"/>
    <cellStyle name="Normal 8 9 9 3" xfId="54209"/>
    <cellStyle name="Normal 8 9 9 3 2" xfId="54210"/>
    <cellStyle name="Normal 8 9 9 3 2 2" xfId="54211"/>
    <cellStyle name="Normal 8 9 9 3 3" xfId="54212"/>
    <cellStyle name="Normal 8 9 9 3 4" xfId="54213"/>
    <cellStyle name="Normal 8 9 9 3 5" xfId="54214"/>
    <cellStyle name="Normal 8 9 9 4" xfId="54215"/>
    <cellStyle name="Normal 8 9 9 4 2" xfId="54216"/>
    <cellStyle name="Normal 8 9 9 5" xfId="54217"/>
    <cellStyle name="Normal 8 9 9 5 2" xfId="54218"/>
    <cellStyle name="Normal 8 9 9 6" xfId="54219"/>
    <cellStyle name="Normal 8 9 9 6 2" xfId="54220"/>
    <cellStyle name="Normal 8 9 9 7" xfId="54221"/>
    <cellStyle name="Normal 8 9 9 7 2" xfId="54222"/>
    <cellStyle name="Normal 8 9 9 8" xfId="54223"/>
    <cellStyle name="Normal 8 9 9 9" xfId="54224"/>
    <cellStyle name="Normal 9" xfId="981"/>
    <cellStyle name="Normal 9 10" xfId="54226"/>
    <cellStyle name="Normal 9 10 10" xfId="54227"/>
    <cellStyle name="Normal 9 10 10 10" xfId="54228"/>
    <cellStyle name="Normal 9 10 10 11" xfId="54229"/>
    <cellStyle name="Normal 9 10 10 12" xfId="54230"/>
    <cellStyle name="Normal 9 10 10 13" xfId="54231"/>
    <cellStyle name="Normal 9 10 10 14" xfId="54232"/>
    <cellStyle name="Normal 9 10 10 2" xfId="54233"/>
    <cellStyle name="Normal 9 10 10 2 2" xfId="54234"/>
    <cellStyle name="Normal 9 10 10 2 2 2" xfId="54235"/>
    <cellStyle name="Normal 9 10 10 2 3" xfId="54236"/>
    <cellStyle name="Normal 9 10 10 2 3 2" xfId="54237"/>
    <cellStyle name="Normal 9 10 10 2 4" xfId="54238"/>
    <cellStyle name="Normal 9 10 10 2 4 2" xfId="54239"/>
    <cellStyle name="Normal 9 10 10 2 5" xfId="54240"/>
    <cellStyle name="Normal 9 10 10 2 5 2" xfId="54241"/>
    <cellStyle name="Normal 9 10 10 2 6" xfId="54242"/>
    <cellStyle name="Normal 9 10 10 2 7" xfId="54243"/>
    <cellStyle name="Normal 9 10 10 2 8" xfId="54244"/>
    <cellStyle name="Normal 9 10 10 2 9" xfId="54245"/>
    <cellStyle name="Normal 9 10 10 3" xfId="54246"/>
    <cellStyle name="Normal 9 10 10 3 2" xfId="54247"/>
    <cellStyle name="Normal 9 10 10 3 2 2" xfId="54248"/>
    <cellStyle name="Normal 9 10 10 3 3" xfId="54249"/>
    <cellStyle name="Normal 9 10 10 3 4" xfId="54250"/>
    <cellStyle name="Normal 9 10 10 3 5" xfId="54251"/>
    <cellStyle name="Normal 9 10 10 4" xfId="54252"/>
    <cellStyle name="Normal 9 10 10 4 2" xfId="54253"/>
    <cellStyle name="Normal 9 10 10 5" xfId="54254"/>
    <cellStyle name="Normal 9 10 10 5 2" xfId="54255"/>
    <cellStyle name="Normal 9 10 10 6" xfId="54256"/>
    <cellStyle name="Normal 9 10 10 6 2" xfId="54257"/>
    <cellStyle name="Normal 9 10 10 7" xfId="54258"/>
    <cellStyle name="Normal 9 10 10 7 2" xfId="54259"/>
    <cellStyle name="Normal 9 10 10 8" xfId="54260"/>
    <cellStyle name="Normal 9 10 10 9" xfId="54261"/>
    <cellStyle name="Normal 9 10 11" xfId="54262"/>
    <cellStyle name="Normal 9 10 11 2" xfId="54263"/>
    <cellStyle name="Normal 9 10 11 2 2" xfId="54264"/>
    <cellStyle name="Normal 9 10 11 3" xfId="54265"/>
    <cellStyle name="Normal 9 10 11 3 2" xfId="54266"/>
    <cellStyle name="Normal 9 10 11 4" xfId="54267"/>
    <cellStyle name="Normal 9 10 11 4 2" xfId="54268"/>
    <cellStyle name="Normal 9 10 11 5" xfId="54269"/>
    <cellStyle name="Normal 9 10 11 5 2" xfId="54270"/>
    <cellStyle name="Normal 9 10 11 6" xfId="54271"/>
    <cellStyle name="Normal 9 10 11 7" xfId="54272"/>
    <cellStyle name="Normal 9 10 11 8" xfId="54273"/>
    <cellStyle name="Normal 9 10 11 9" xfId="54274"/>
    <cellStyle name="Normal 9 10 12" xfId="54275"/>
    <cellStyle name="Normal 9 10 12 2" xfId="54276"/>
    <cellStyle name="Normal 9 10 12 2 2" xfId="54277"/>
    <cellStyle name="Normal 9 10 12 3" xfId="54278"/>
    <cellStyle name="Normal 9 10 12 4" xfId="54279"/>
    <cellStyle name="Normal 9 10 12 5" xfId="54280"/>
    <cellStyle name="Normal 9 10 13" xfId="54281"/>
    <cellStyle name="Normal 9 10 13 2" xfId="54282"/>
    <cellStyle name="Normal 9 10 14" xfId="54283"/>
    <cellStyle name="Normal 9 10 14 2" xfId="54284"/>
    <cellStyle name="Normal 9 10 15" xfId="54285"/>
    <cellStyle name="Normal 9 10 15 2" xfId="54286"/>
    <cellStyle name="Normal 9 10 16" xfId="54287"/>
    <cellStyle name="Normal 9 10 16 2" xfId="54288"/>
    <cellStyle name="Normal 9 10 17" xfId="54289"/>
    <cellStyle name="Normal 9 10 18" xfId="54290"/>
    <cellStyle name="Normal 9 10 19" xfId="54291"/>
    <cellStyle name="Normal 9 10 2" xfId="54292"/>
    <cellStyle name="Normal 9 10 2 10" xfId="54293"/>
    <cellStyle name="Normal 9 10 2 11" xfId="54294"/>
    <cellStyle name="Normal 9 10 2 12" xfId="54295"/>
    <cellStyle name="Normal 9 10 2 13" xfId="54296"/>
    <cellStyle name="Normal 9 10 2 14" xfId="54297"/>
    <cellStyle name="Normal 9 10 2 15" xfId="54298"/>
    <cellStyle name="Normal 9 10 2 16" xfId="54299"/>
    <cellStyle name="Normal 9 10 2 17" xfId="54300"/>
    <cellStyle name="Normal 9 10 2 18" xfId="54301"/>
    <cellStyle name="Normal 9 10 2 2" xfId="54302"/>
    <cellStyle name="Normal 9 10 2 2 10" xfId="54303"/>
    <cellStyle name="Normal 9 10 2 2 11" xfId="54304"/>
    <cellStyle name="Normal 9 10 2 2 12" xfId="54305"/>
    <cellStyle name="Normal 9 10 2 2 13" xfId="54306"/>
    <cellStyle name="Normal 9 10 2 2 2" xfId="54307"/>
    <cellStyle name="Normal 9 10 2 2 2 2" xfId="54308"/>
    <cellStyle name="Normal 9 10 2 2 2 2 2" xfId="54309"/>
    <cellStyle name="Normal 9 10 2 2 2 3" xfId="54310"/>
    <cellStyle name="Normal 9 10 2 2 2 4" xfId="54311"/>
    <cellStyle name="Normal 9 10 2 2 2 5" xfId="54312"/>
    <cellStyle name="Normal 9 10 2 2 3" xfId="54313"/>
    <cellStyle name="Normal 9 10 2 2 3 2" xfId="54314"/>
    <cellStyle name="Normal 9 10 2 2 4" xfId="54315"/>
    <cellStyle name="Normal 9 10 2 2 4 2" xfId="54316"/>
    <cellStyle name="Normal 9 10 2 2 5" xfId="54317"/>
    <cellStyle name="Normal 9 10 2 2 5 2" xfId="54318"/>
    <cellStyle name="Normal 9 10 2 2 6" xfId="54319"/>
    <cellStyle name="Normal 9 10 2 2 6 2" xfId="54320"/>
    <cellStyle name="Normal 9 10 2 2 7" xfId="54321"/>
    <cellStyle name="Normal 9 10 2 2 8" xfId="54322"/>
    <cellStyle name="Normal 9 10 2 2 9" xfId="54323"/>
    <cellStyle name="Normal 9 10 2 3" xfId="54324"/>
    <cellStyle name="Normal 9 10 2 3 2" xfId="54325"/>
    <cellStyle name="Normal 9 10 2 3 2 2" xfId="54326"/>
    <cellStyle name="Normal 9 10 2 3 3" xfId="54327"/>
    <cellStyle name="Normal 9 10 2 3 4" xfId="54328"/>
    <cellStyle name="Normal 9 10 2 3 5" xfId="54329"/>
    <cellStyle name="Normal 9 10 2 4" xfId="54330"/>
    <cellStyle name="Normal 9 10 2 4 2" xfId="54331"/>
    <cellStyle name="Normal 9 10 2 5" xfId="54332"/>
    <cellStyle name="Normal 9 10 2 5 2" xfId="54333"/>
    <cellStyle name="Normal 9 10 2 6" xfId="54334"/>
    <cellStyle name="Normal 9 10 2 6 2" xfId="54335"/>
    <cellStyle name="Normal 9 10 2 7" xfId="54336"/>
    <cellStyle name="Normal 9 10 2 7 2" xfId="54337"/>
    <cellStyle name="Normal 9 10 2 8" xfId="54338"/>
    <cellStyle name="Normal 9 10 2 9" xfId="54339"/>
    <cellStyle name="Normal 9 10 20" xfId="54340"/>
    <cellStyle name="Normal 9 10 21" xfId="54341"/>
    <cellStyle name="Normal 9 10 22" xfId="54342"/>
    <cellStyle name="Normal 9 10 23" xfId="54343"/>
    <cellStyle name="Normal 9 10 24" xfId="54344"/>
    <cellStyle name="Normal 9 10 25" xfId="54345"/>
    <cellStyle name="Normal 9 10 3" xfId="54346"/>
    <cellStyle name="Normal 9 10 3 10" xfId="54347"/>
    <cellStyle name="Normal 9 10 3 11" xfId="54348"/>
    <cellStyle name="Normal 9 10 3 12" xfId="54349"/>
    <cellStyle name="Normal 9 10 3 13" xfId="54350"/>
    <cellStyle name="Normal 9 10 3 14" xfId="54351"/>
    <cellStyle name="Normal 9 10 3 15" xfId="54352"/>
    <cellStyle name="Normal 9 10 3 16" xfId="54353"/>
    <cellStyle name="Normal 9 10 3 17" xfId="54354"/>
    <cellStyle name="Normal 9 10 3 18" xfId="54355"/>
    <cellStyle name="Normal 9 10 3 2" xfId="54356"/>
    <cellStyle name="Normal 9 10 3 2 10" xfId="54357"/>
    <cellStyle name="Normal 9 10 3 2 11" xfId="54358"/>
    <cellStyle name="Normal 9 10 3 2 12" xfId="54359"/>
    <cellStyle name="Normal 9 10 3 2 13" xfId="54360"/>
    <cellStyle name="Normal 9 10 3 2 2" xfId="54361"/>
    <cellStyle name="Normal 9 10 3 2 2 2" xfId="54362"/>
    <cellStyle name="Normal 9 10 3 2 2 2 2" xfId="54363"/>
    <cellStyle name="Normal 9 10 3 2 2 3" xfId="54364"/>
    <cellStyle name="Normal 9 10 3 2 2 4" xfId="54365"/>
    <cellStyle name="Normal 9 10 3 2 2 5" xfId="54366"/>
    <cellStyle name="Normal 9 10 3 2 3" xfId="54367"/>
    <cellStyle name="Normal 9 10 3 2 3 2" xfId="54368"/>
    <cellStyle name="Normal 9 10 3 2 4" xfId="54369"/>
    <cellStyle name="Normal 9 10 3 2 4 2" xfId="54370"/>
    <cellStyle name="Normal 9 10 3 2 5" xfId="54371"/>
    <cellStyle name="Normal 9 10 3 2 5 2" xfId="54372"/>
    <cellStyle name="Normal 9 10 3 2 6" xfId="54373"/>
    <cellStyle name="Normal 9 10 3 2 6 2" xfId="54374"/>
    <cellStyle name="Normal 9 10 3 2 7" xfId="54375"/>
    <cellStyle name="Normal 9 10 3 2 8" xfId="54376"/>
    <cellStyle name="Normal 9 10 3 2 9" xfId="54377"/>
    <cellStyle name="Normal 9 10 3 3" xfId="54378"/>
    <cellStyle name="Normal 9 10 3 3 2" xfId="54379"/>
    <cellStyle name="Normal 9 10 3 3 2 2" xfId="54380"/>
    <cellStyle name="Normal 9 10 3 3 3" xfId="54381"/>
    <cellStyle name="Normal 9 10 3 3 4" xfId="54382"/>
    <cellStyle name="Normal 9 10 3 3 5" xfId="54383"/>
    <cellStyle name="Normal 9 10 3 4" xfId="54384"/>
    <cellStyle name="Normal 9 10 3 4 2" xfId="54385"/>
    <cellStyle name="Normal 9 10 3 5" xfId="54386"/>
    <cellStyle name="Normal 9 10 3 5 2" xfId="54387"/>
    <cellStyle name="Normal 9 10 3 6" xfId="54388"/>
    <cellStyle name="Normal 9 10 3 6 2" xfId="54389"/>
    <cellStyle name="Normal 9 10 3 7" xfId="54390"/>
    <cellStyle name="Normal 9 10 3 7 2" xfId="54391"/>
    <cellStyle name="Normal 9 10 3 8" xfId="54392"/>
    <cellStyle name="Normal 9 10 3 9" xfId="54393"/>
    <cellStyle name="Normal 9 10 4" xfId="54394"/>
    <cellStyle name="Normal 9 10 4 10" xfId="54395"/>
    <cellStyle name="Normal 9 10 4 11" xfId="54396"/>
    <cellStyle name="Normal 9 10 4 12" xfId="54397"/>
    <cellStyle name="Normal 9 10 4 13" xfId="54398"/>
    <cellStyle name="Normal 9 10 4 14" xfId="54399"/>
    <cellStyle name="Normal 9 10 4 15" xfId="54400"/>
    <cellStyle name="Normal 9 10 4 16" xfId="54401"/>
    <cellStyle name="Normal 9 10 4 17" xfId="54402"/>
    <cellStyle name="Normal 9 10 4 18" xfId="54403"/>
    <cellStyle name="Normal 9 10 4 2" xfId="54404"/>
    <cellStyle name="Normal 9 10 4 2 10" xfId="54405"/>
    <cellStyle name="Normal 9 10 4 2 11" xfId="54406"/>
    <cellStyle name="Normal 9 10 4 2 12" xfId="54407"/>
    <cellStyle name="Normal 9 10 4 2 13" xfId="54408"/>
    <cellStyle name="Normal 9 10 4 2 2" xfId="54409"/>
    <cellStyle name="Normal 9 10 4 2 2 2" xfId="54410"/>
    <cellStyle name="Normal 9 10 4 2 2 2 2" xfId="54411"/>
    <cellStyle name="Normal 9 10 4 2 2 3" xfId="54412"/>
    <cellStyle name="Normal 9 10 4 2 2 4" xfId="54413"/>
    <cellStyle name="Normal 9 10 4 2 2 5" xfId="54414"/>
    <cellStyle name="Normal 9 10 4 2 3" xfId="54415"/>
    <cellStyle name="Normal 9 10 4 2 3 2" xfId="54416"/>
    <cellStyle name="Normal 9 10 4 2 4" xfId="54417"/>
    <cellStyle name="Normal 9 10 4 2 4 2" xfId="54418"/>
    <cellStyle name="Normal 9 10 4 2 5" xfId="54419"/>
    <cellStyle name="Normal 9 10 4 2 5 2" xfId="54420"/>
    <cellStyle name="Normal 9 10 4 2 6" xfId="54421"/>
    <cellStyle name="Normal 9 10 4 2 6 2" xfId="54422"/>
    <cellStyle name="Normal 9 10 4 2 7" xfId="54423"/>
    <cellStyle name="Normal 9 10 4 2 8" xfId="54424"/>
    <cellStyle name="Normal 9 10 4 2 9" xfId="54425"/>
    <cellStyle name="Normal 9 10 4 3" xfId="54426"/>
    <cellStyle name="Normal 9 10 4 3 2" xfId="54427"/>
    <cellStyle name="Normal 9 10 4 3 2 2" xfId="54428"/>
    <cellStyle name="Normal 9 10 4 3 3" xfId="54429"/>
    <cellStyle name="Normal 9 10 4 3 4" xfId="54430"/>
    <cellStyle name="Normal 9 10 4 3 5" xfId="54431"/>
    <cellStyle name="Normal 9 10 4 4" xfId="54432"/>
    <cellStyle name="Normal 9 10 4 4 2" xfId="54433"/>
    <cellStyle name="Normal 9 10 4 5" xfId="54434"/>
    <cellStyle name="Normal 9 10 4 5 2" xfId="54435"/>
    <cellStyle name="Normal 9 10 4 6" xfId="54436"/>
    <cellStyle name="Normal 9 10 4 6 2" xfId="54437"/>
    <cellStyle name="Normal 9 10 4 7" xfId="54438"/>
    <cellStyle name="Normal 9 10 4 7 2" xfId="54439"/>
    <cellStyle name="Normal 9 10 4 8" xfId="54440"/>
    <cellStyle name="Normal 9 10 4 9" xfId="54441"/>
    <cellStyle name="Normal 9 10 5" xfId="54442"/>
    <cellStyle name="Normal 9 10 5 10" xfId="54443"/>
    <cellStyle name="Normal 9 10 5 11" xfId="54444"/>
    <cellStyle name="Normal 9 10 5 12" xfId="54445"/>
    <cellStyle name="Normal 9 10 5 13" xfId="54446"/>
    <cellStyle name="Normal 9 10 5 14" xfId="54447"/>
    <cellStyle name="Normal 9 10 5 15" xfId="54448"/>
    <cellStyle name="Normal 9 10 5 16" xfId="54449"/>
    <cellStyle name="Normal 9 10 5 17" xfId="54450"/>
    <cellStyle name="Normal 9 10 5 2" xfId="54451"/>
    <cellStyle name="Normal 9 10 5 2 10" xfId="54452"/>
    <cellStyle name="Normal 9 10 5 2 11" xfId="54453"/>
    <cellStyle name="Normal 9 10 5 2 12" xfId="54454"/>
    <cellStyle name="Normal 9 10 5 2 13" xfId="54455"/>
    <cellStyle name="Normal 9 10 5 2 2" xfId="54456"/>
    <cellStyle name="Normal 9 10 5 2 2 2" xfId="54457"/>
    <cellStyle name="Normal 9 10 5 2 2 2 2" xfId="54458"/>
    <cellStyle name="Normal 9 10 5 2 2 3" xfId="54459"/>
    <cellStyle name="Normal 9 10 5 2 2 4" xfId="54460"/>
    <cellStyle name="Normal 9 10 5 2 2 5" xfId="54461"/>
    <cellStyle name="Normal 9 10 5 2 3" xfId="54462"/>
    <cellStyle name="Normal 9 10 5 2 3 2" xfId="54463"/>
    <cellStyle name="Normal 9 10 5 2 4" xfId="54464"/>
    <cellStyle name="Normal 9 10 5 2 4 2" xfId="54465"/>
    <cellStyle name="Normal 9 10 5 2 5" xfId="54466"/>
    <cellStyle name="Normal 9 10 5 2 5 2" xfId="54467"/>
    <cellStyle name="Normal 9 10 5 2 6" xfId="54468"/>
    <cellStyle name="Normal 9 10 5 2 6 2" xfId="54469"/>
    <cellStyle name="Normal 9 10 5 2 7" xfId="54470"/>
    <cellStyle name="Normal 9 10 5 2 8" xfId="54471"/>
    <cellStyle name="Normal 9 10 5 2 9" xfId="54472"/>
    <cellStyle name="Normal 9 10 5 3" xfId="54473"/>
    <cellStyle name="Normal 9 10 5 3 2" xfId="54474"/>
    <cellStyle name="Normal 9 10 5 3 2 2" xfId="54475"/>
    <cellStyle name="Normal 9 10 5 3 3" xfId="54476"/>
    <cellStyle name="Normal 9 10 5 3 4" xfId="54477"/>
    <cellStyle name="Normal 9 10 5 3 5" xfId="54478"/>
    <cellStyle name="Normal 9 10 5 4" xfId="54479"/>
    <cellStyle name="Normal 9 10 5 4 2" xfId="54480"/>
    <cellStyle name="Normal 9 10 5 5" xfId="54481"/>
    <cellStyle name="Normal 9 10 5 5 2" xfId="54482"/>
    <cellStyle name="Normal 9 10 5 6" xfId="54483"/>
    <cellStyle name="Normal 9 10 5 6 2" xfId="54484"/>
    <cellStyle name="Normal 9 10 5 7" xfId="54485"/>
    <cellStyle name="Normal 9 10 5 7 2" xfId="54486"/>
    <cellStyle name="Normal 9 10 5 8" xfId="54487"/>
    <cellStyle name="Normal 9 10 5 9" xfId="54488"/>
    <cellStyle name="Normal 9 10 6" xfId="54489"/>
    <cellStyle name="Normal 9 10 6 10" xfId="54490"/>
    <cellStyle name="Normal 9 10 6 11" xfId="54491"/>
    <cellStyle name="Normal 9 10 6 12" xfId="54492"/>
    <cellStyle name="Normal 9 10 6 13" xfId="54493"/>
    <cellStyle name="Normal 9 10 6 14" xfId="54494"/>
    <cellStyle name="Normal 9 10 6 15" xfId="54495"/>
    <cellStyle name="Normal 9 10 6 16" xfId="54496"/>
    <cellStyle name="Normal 9 10 6 17" xfId="54497"/>
    <cellStyle name="Normal 9 10 6 2" xfId="54498"/>
    <cellStyle name="Normal 9 10 6 2 10" xfId="54499"/>
    <cellStyle name="Normal 9 10 6 2 11" xfId="54500"/>
    <cellStyle name="Normal 9 10 6 2 12" xfId="54501"/>
    <cellStyle name="Normal 9 10 6 2 13" xfId="54502"/>
    <cellStyle name="Normal 9 10 6 2 2" xfId="54503"/>
    <cellStyle name="Normal 9 10 6 2 2 2" xfId="54504"/>
    <cellStyle name="Normal 9 10 6 2 2 2 2" xfId="54505"/>
    <cellStyle name="Normal 9 10 6 2 2 3" xfId="54506"/>
    <cellStyle name="Normal 9 10 6 2 2 4" xfId="54507"/>
    <cellStyle name="Normal 9 10 6 2 2 5" xfId="54508"/>
    <cellStyle name="Normal 9 10 6 2 3" xfId="54509"/>
    <cellStyle name="Normal 9 10 6 2 3 2" xfId="54510"/>
    <cellStyle name="Normal 9 10 6 2 4" xfId="54511"/>
    <cellStyle name="Normal 9 10 6 2 4 2" xfId="54512"/>
    <cellStyle name="Normal 9 10 6 2 5" xfId="54513"/>
    <cellStyle name="Normal 9 10 6 2 5 2" xfId="54514"/>
    <cellStyle name="Normal 9 10 6 2 6" xfId="54515"/>
    <cellStyle name="Normal 9 10 6 2 6 2" xfId="54516"/>
    <cellStyle name="Normal 9 10 6 2 7" xfId="54517"/>
    <cellStyle name="Normal 9 10 6 2 8" xfId="54518"/>
    <cellStyle name="Normal 9 10 6 2 9" xfId="54519"/>
    <cellStyle name="Normal 9 10 6 3" xfId="54520"/>
    <cellStyle name="Normal 9 10 6 3 2" xfId="54521"/>
    <cellStyle name="Normal 9 10 6 3 2 2" xfId="54522"/>
    <cellStyle name="Normal 9 10 6 3 3" xfId="54523"/>
    <cellStyle name="Normal 9 10 6 3 4" xfId="54524"/>
    <cellStyle name="Normal 9 10 6 3 5" xfId="54525"/>
    <cellStyle name="Normal 9 10 6 4" xfId="54526"/>
    <cellStyle name="Normal 9 10 6 4 2" xfId="54527"/>
    <cellStyle name="Normal 9 10 6 5" xfId="54528"/>
    <cellStyle name="Normal 9 10 6 5 2" xfId="54529"/>
    <cellStyle name="Normal 9 10 6 6" xfId="54530"/>
    <cellStyle name="Normal 9 10 6 6 2" xfId="54531"/>
    <cellStyle name="Normal 9 10 6 7" xfId="54532"/>
    <cellStyle name="Normal 9 10 6 7 2" xfId="54533"/>
    <cellStyle name="Normal 9 10 6 8" xfId="54534"/>
    <cellStyle name="Normal 9 10 6 9" xfId="54535"/>
    <cellStyle name="Normal 9 10 7" xfId="54536"/>
    <cellStyle name="Normal 9 10 7 10" xfId="54537"/>
    <cellStyle name="Normal 9 10 7 11" xfId="54538"/>
    <cellStyle name="Normal 9 10 7 12" xfId="54539"/>
    <cellStyle name="Normal 9 10 7 13" xfId="54540"/>
    <cellStyle name="Normal 9 10 7 14" xfId="54541"/>
    <cellStyle name="Normal 9 10 7 15" xfId="54542"/>
    <cellStyle name="Normal 9 10 7 16" xfId="54543"/>
    <cellStyle name="Normal 9 10 7 17" xfId="54544"/>
    <cellStyle name="Normal 9 10 7 2" xfId="54545"/>
    <cellStyle name="Normal 9 10 7 2 10" xfId="54546"/>
    <cellStyle name="Normal 9 10 7 2 11" xfId="54547"/>
    <cellStyle name="Normal 9 10 7 2 12" xfId="54548"/>
    <cellStyle name="Normal 9 10 7 2 13" xfId="54549"/>
    <cellStyle name="Normal 9 10 7 2 2" xfId="54550"/>
    <cellStyle name="Normal 9 10 7 2 2 2" xfId="54551"/>
    <cellStyle name="Normal 9 10 7 2 2 2 2" xfId="54552"/>
    <cellStyle name="Normal 9 10 7 2 2 3" xfId="54553"/>
    <cellStyle name="Normal 9 10 7 2 2 4" xfId="54554"/>
    <cellStyle name="Normal 9 10 7 2 2 5" xfId="54555"/>
    <cellStyle name="Normal 9 10 7 2 3" xfId="54556"/>
    <cellStyle name="Normal 9 10 7 2 3 2" xfId="54557"/>
    <cellStyle name="Normal 9 10 7 2 4" xfId="54558"/>
    <cellStyle name="Normal 9 10 7 2 4 2" xfId="54559"/>
    <cellStyle name="Normal 9 10 7 2 5" xfId="54560"/>
    <cellStyle name="Normal 9 10 7 2 5 2" xfId="54561"/>
    <cellStyle name="Normal 9 10 7 2 6" xfId="54562"/>
    <cellStyle name="Normal 9 10 7 2 6 2" xfId="54563"/>
    <cellStyle name="Normal 9 10 7 2 7" xfId="54564"/>
    <cellStyle name="Normal 9 10 7 2 8" xfId="54565"/>
    <cellStyle name="Normal 9 10 7 2 9" xfId="54566"/>
    <cellStyle name="Normal 9 10 7 3" xfId="54567"/>
    <cellStyle name="Normal 9 10 7 3 2" xfId="54568"/>
    <cellStyle name="Normal 9 10 7 3 2 2" xfId="54569"/>
    <cellStyle name="Normal 9 10 7 3 3" xfId="54570"/>
    <cellStyle name="Normal 9 10 7 3 4" xfId="54571"/>
    <cellStyle name="Normal 9 10 7 3 5" xfId="54572"/>
    <cellStyle name="Normal 9 10 7 4" xfId="54573"/>
    <cellStyle name="Normal 9 10 7 4 2" xfId="54574"/>
    <cellStyle name="Normal 9 10 7 5" xfId="54575"/>
    <cellStyle name="Normal 9 10 7 5 2" xfId="54576"/>
    <cellStyle name="Normal 9 10 7 6" xfId="54577"/>
    <cellStyle name="Normal 9 10 7 6 2" xfId="54578"/>
    <cellStyle name="Normal 9 10 7 7" xfId="54579"/>
    <cellStyle name="Normal 9 10 7 7 2" xfId="54580"/>
    <cellStyle name="Normal 9 10 7 8" xfId="54581"/>
    <cellStyle name="Normal 9 10 7 9" xfId="54582"/>
    <cellStyle name="Normal 9 10 8" xfId="54583"/>
    <cellStyle name="Normal 9 10 8 10" xfId="54584"/>
    <cellStyle name="Normal 9 10 8 11" xfId="54585"/>
    <cellStyle name="Normal 9 10 8 12" xfId="54586"/>
    <cellStyle name="Normal 9 10 8 13" xfId="54587"/>
    <cellStyle name="Normal 9 10 8 14" xfId="54588"/>
    <cellStyle name="Normal 9 10 8 15" xfId="54589"/>
    <cellStyle name="Normal 9 10 8 2" xfId="54590"/>
    <cellStyle name="Normal 9 10 8 2 2" xfId="54591"/>
    <cellStyle name="Normal 9 10 8 2 2 2" xfId="54592"/>
    <cellStyle name="Normal 9 10 8 2 3" xfId="54593"/>
    <cellStyle name="Normal 9 10 8 2 3 2" xfId="54594"/>
    <cellStyle name="Normal 9 10 8 2 4" xfId="54595"/>
    <cellStyle name="Normal 9 10 8 2 4 2" xfId="54596"/>
    <cellStyle name="Normal 9 10 8 2 5" xfId="54597"/>
    <cellStyle name="Normal 9 10 8 2 5 2" xfId="54598"/>
    <cellStyle name="Normal 9 10 8 2 6" xfId="54599"/>
    <cellStyle name="Normal 9 10 8 2 7" xfId="54600"/>
    <cellStyle name="Normal 9 10 8 2 8" xfId="54601"/>
    <cellStyle name="Normal 9 10 8 2 9" xfId="54602"/>
    <cellStyle name="Normal 9 10 8 3" xfId="54603"/>
    <cellStyle name="Normal 9 10 8 3 2" xfId="54604"/>
    <cellStyle name="Normal 9 10 8 3 2 2" xfId="54605"/>
    <cellStyle name="Normal 9 10 8 3 3" xfId="54606"/>
    <cellStyle name="Normal 9 10 8 3 4" xfId="54607"/>
    <cellStyle name="Normal 9 10 8 3 5" xfId="54608"/>
    <cellStyle name="Normal 9 10 8 4" xfId="54609"/>
    <cellStyle name="Normal 9 10 8 4 2" xfId="54610"/>
    <cellStyle name="Normal 9 10 8 5" xfId="54611"/>
    <cellStyle name="Normal 9 10 8 5 2" xfId="54612"/>
    <cellStyle name="Normal 9 10 8 6" xfId="54613"/>
    <cellStyle name="Normal 9 10 8 6 2" xfId="54614"/>
    <cellStyle name="Normal 9 10 8 7" xfId="54615"/>
    <cellStyle name="Normal 9 10 8 7 2" xfId="54616"/>
    <cellStyle name="Normal 9 10 8 8" xfId="54617"/>
    <cellStyle name="Normal 9 10 8 9" xfId="54618"/>
    <cellStyle name="Normal 9 10 9" xfId="54619"/>
    <cellStyle name="Normal 9 10 9 10" xfId="54620"/>
    <cellStyle name="Normal 9 10 9 11" xfId="54621"/>
    <cellStyle name="Normal 9 10 9 12" xfId="54622"/>
    <cellStyle name="Normal 9 10 9 13" xfId="54623"/>
    <cellStyle name="Normal 9 10 9 14" xfId="54624"/>
    <cellStyle name="Normal 9 10 9 15" xfId="54625"/>
    <cellStyle name="Normal 9 10 9 2" xfId="54626"/>
    <cellStyle name="Normal 9 10 9 2 2" xfId="54627"/>
    <cellStyle name="Normal 9 10 9 2 2 2" xfId="54628"/>
    <cellStyle name="Normal 9 10 9 2 3" xfId="54629"/>
    <cellStyle name="Normal 9 10 9 2 3 2" xfId="54630"/>
    <cellStyle name="Normal 9 10 9 2 4" xfId="54631"/>
    <cellStyle name="Normal 9 10 9 2 4 2" xfId="54632"/>
    <cellStyle name="Normal 9 10 9 2 5" xfId="54633"/>
    <cellStyle name="Normal 9 10 9 2 5 2" xfId="54634"/>
    <cellStyle name="Normal 9 10 9 2 6" xfId="54635"/>
    <cellStyle name="Normal 9 10 9 2 7" xfId="54636"/>
    <cellStyle name="Normal 9 10 9 2 8" xfId="54637"/>
    <cellStyle name="Normal 9 10 9 2 9" xfId="54638"/>
    <cellStyle name="Normal 9 10 9 3" xfId="54639"/>
    <cellStyle name="Normal 9 10 9 3 2" xfId="54640"/>
    <cellStyle name="Normal 9 10 9 3 2 2" xfId="54641"/>
    <cellStyle name="Normal 9 10 9 3 3" xfId="54642"/>
    <cellStyle name="Normal 9 10 9 3 4" xfId="54643"/>
    <cellStyle name="Normal 9 10 9 3 5" xfId="54644"/>
    <cellStyle name="Normal 9 10 9 4" xfId="54645"/>
    <cellStyle name="Normal 9 10 9 4 2" xfId="54646"/>
    <cellStyle name="Normal 9 10 9 5" xfId="54647"/>
    <cellStyle name="Normal 9 10 9 5 2" xfId="54648"/>
    <cellStyle name="Normal 9 10 9 6" xfId="54649"/>
    <cellStyle name="Normal 9 10 9 6 2" xfId="54650"/>
    <cellStyle name="Normal 9 10 9 7" xfId="54651"/>
    <cellStyle name="Normal 9 10 9 7 2" xfId="54652"/>
    <cellStyle name="Normal 9 10 9 8" xfId="54653"/>
    <cellStyle name="Normal 9 10 9 9" xfId="54654"/>
    <cellStyle name="Normal 9 11" xfId="54655"/>
    <cellStyle name="Normal 9 11 10" xfId="54656"/>
    <cellStyle name="Normal 9 11 11" xfId="54657"/>
    <cellStyle name="Normal 9 11 12" xfId="54658"/>
    <cellStyle name="Normal 9 11 13" xfId="54659"/>
    <cellStyle name="Normal 9 11 14" xfId="54660"/>
    <cellStyle name="Normal 9 11 15" xfId="54661"/>
    <cellStyle name="Normal 9 11 16" xfId="54662"/>
    <cellStyle name="Normal 9 11 17" xfId="54663"/>
    <cellStyle name="Normal 9 11 18" xfId="54664"/>
    <cellStyle name="Normal 9 11 2" xfId="54665"/>
    <cellStyle name="Normal 9 11 2 10" xfId="54666"/>
    <cellStyle name="Normal 9 11 2 11" xfId="54667"/>
    <cellStyle name="Normal 9 11 2 12" xfId="54668"/>
    <cellStyle name="Normal 9 11 2 13" xfId="54669"/>
    <cellStyle name="Normal 9 11 2 2" xfId="54670"/>
    <cellStyle name="Normal 9 11 2 2 2" xfId="54671"/>
    <cellStyle name="Normal 9 11 2 2 2 2" xfId="54672"/>
    <cellStyle name="Normal 9 11 2 2 3" xfId="54673"/>
    <cellStyle name="Normal 9 11 2 2 4" xfId="54674"/>
    <cellStyle name="Normal 9 11 2 2 5" xfId="54675"/>
    <cellStyle name="Normal 9 11 2 3" xfId="54676"/>
    <cellStyle name="Normal 9 11 2 3 2" xfId="54677"/>
    <cellStyle name="Normal 9 11 2 4" xfId="54678"/>
    <cellStyle name="Normal 9 11 2 4 2" xfId="54679"/>
    <cellStyle name="Normal 9 11 2 5" xfId="54680"/>
    <cellStyle name="Normal 9 11 2 5 2" xfId="54681"/>
    <cellStyle name="Normal 9 11 2 6" xfId="54682"/>
    <cellStyle name="Normal 9 11 2 6 2" xfId="54683"/>
    <cellStyle name="Normal 9 11 2 7" xfId="54684"/>
    <cellStyle name="Normal 9 11 2 8" xfId="54685"/>
    <cellStyle name="Normal 9 11 2 9" xfId="54686"/>
    <cellStyle name="Normal 9 11 3" xfId="54687"/>
    <cellStyle name="Normal 9 11 3 2" xfId="54688"/>
    <cellStyle name="Normal 9 11 3 2 2" xfId="54689"/>
    <cellStyle name="Normal 9 11 3 3" xfId="54690"/>
    <cellStyle name="Normal 9 11 3 4" xfId="54691"/>
    <cellStyle name="Normal 9 11 3 5" xfId="54692"/>
    <cellStyle name="Normal 9 11 4" xfId="54693"/>
    <cellStyle name="Normal 9 11 4 2" xfId="54694"/>
    <cellStyle name="Normal 9 11 5" xfId="54695"/>
    <cellStyle name="Normal 9 11 5 2" xfId="54696"/>
    <cellStyle name="Normal 9 11 6" xfId="54697"/>
    <cellStyle name="Normal 9 11 6 2" xfId="54698"/>
    <cellStyle name="Normal 9 11 7" xfId="54699"/>
    <cellStyle name="Normal 9 11 7 2" xfId="54700"/>
    <cellStyle name="Normal 9 11 8" xfId="54701"/>
    <cellStyle name="Normal 9 11 9" xfId="54702"/>
    <cellStyle name="Normal 9 12" xfId="54703"/>
    <cellStyle name="Normal 9 12 10" xfId="54704"/>
    <cellStyle name="Normal 9 12 11" xfId="54705"/>
    <cellStyle name="Normal 9 12 12" xfId="54706"/>
    <cellStyle name="Normal 9 12 13" xfId="54707"/>
    <cellStyle name="Normal 9 12 14" xfId="54708"/>
    <cellStyle name="Normal 9 12 15" xfId="54709"/>
    <cellStyle name="Normal 9 12 16" xfId="54710"/>
    <cellStyle name="Normal 9 12 17" xfId="54711"/>
    <cellStyle name="Normal 9 12 18" xfId="54712"/>
    <cellStyle name="Normal 9 12 2" xfId="54713"/>
    <cellStyle name="Normal 9 12 2 10" xfId="54714"/>
    <cellStyle name="Normal 9 12 2 11" xfId="54715"/>
    <cellStyle name="Normal 9 12 2 12" xfId="54716"/>
    <cellStyle name="Normal 9 12 2 13" xfId="54717"/>
    <cellStyle name="Normal 9 12 2 2" xfId="54718"/>
    <cellStyle name="Normal 9 12 2 2 2" xfId="54719"/>
    <cellStyle name="Normal 9 12 2 2 2 2" xfId="54720"/>
    <cellStyle name="Normal 9 12 2 2 3" xfId="54721"/>
    <cellStyle name="Normal 9 12 2 2 4" xfId="54722"/>
    <cellStyle name="Normal 9 12 2 2 5" xfId="54723"/>
    <cellStyle name="Normal 9 12 2 3" xfId="54724"/>
    <cellStyle name="Normal 9 12 2 3 2" xfId="54725"/>
    <cellStyle name="Normal 9 12 2 4" xfId="54726"/>
    <cellStyle name="Normal 9 12 2 4 2" xfId="54727"/>
    <cellStyle name="Normal 9 12 2 5" xfId="54728"/>
    <cellStyle name="Normal 9 12 2 5 2" xfId="54729"/>
    <cellStyle name="Normal 9 12 2 6" xfId="54730"/>
    <cellStyle name="Normal 9 12 2 6 2" xfId="54731"/>
    <cellStyle name="Normal 9 12 2 7" xfId="54732"/>
    <cellStyle name="Normal 9 12 2 8" xfId="54733"/>
    <cellStyle name="Normal 9 12 2 9" xfId="54734"/>
    <cellStyle name="Normal 9 12 3" xfId="54735"/>
    <cellStyle name="Normal 9 12 3 2" xfId="54736"/>
    <cellStyle name="Normal 9 12 3 2 2" xfId="54737"/>
    <cellStyle name="Normal 9 12 3 3" xfId="54738"/>
    <cellStyle name="Normal 9 12 3 4" xfId="54739"/>
    <cellStyle name="Normal 9 12 3 5" xfId="54740"/>
    <cellStyle name="Normal 9 12 4" xfId="54741"/>
    <cellStyle name="Normal 9 12 4 2" xfId="54742"/>
    <cellStyle name="Normal 9 12 5" xfId="54743"/>
    <cellStyle name="Normal 9 12 5 2" xfId="54744"/>
    <cellStyle name="Normal 9 12 6" xfId="54745"/>
    <cellStyle name="Normal 9 12 6 2" xfId="54746"/>
    <cellStyle name="Normal 9 12 7" xfId="54747"/>
    <cellStyle name="Normal 9 12 7 2" xfId="54748"/>
    <cellStyle name="Normal 9 12 8" xfId="54749"/>
    <cellStyle name="Normal 9 12 9" xfId="54750"/>
    <cellStyle name="Normal 9 13" xfId="54751"/>
    <cellStyle name="Normal 9 13 10" xfId="54752"/>
    <cellStyle name="Normal 9 13 11" xfId="54753"/>
    <cellStyle name="Normal 9 13 12" xfId="54754"/>
    <cellStyle name="Normal 9 13 13" xfId="54755"/>
    <cellStyle name="Normal 9 13 14" xfId="54756"/>
    <cellStyle name="Normal 9 13 15" xfId="54757"/>
    <cellStyle name="Normal 9 13 16" xfId="54758"/>
    <cellStyle name="Normal 9 13 17" xfId="54759"/>
    <cellStyle name="Normal 9 13 18" xfId="54760"/>
    <cellStyle name="Normal 9 13 2" xfId="54761"/>
    <cellStyle name="Normal 9 13 2 10" xfId="54762"/>
    <cellStyle name="Normal 9 13 2 11" xfId="54763"/>
    <cellStyle name="Normal 9 13 2 12" xfId="54764"/>
    <cellStyle name="Normal 9 13 2 13" xfId="54765"/>
    <cellStyle name="Normal 9 13 2 2" xfId="54766"/>
    <cellStyle name="Normal 9 13 2 2 2" xfId="54767"/>
    <cellStyle name="Normal 9 13 2 2 2 2" xfId="54768"/>
    <cellStyle name="Normal 9 13 2 2 3" xfId="54769"/>
    <cellStyle name="Normal 9 13 2 2 4" xfId="54770"/>
    <cellStyle name="Normal 9 13 2 2 5" xfId="54771"/>
    <cellStyle name="Normal 9 13 2 3" xfId="54772"/>
    <cellStyle name="Normal 9 13 2 3 2" xfId="54773"/>
    <cellStyle name="Normal 9 13 2 4" xfId="54774"/>
    <cellStyle name="Normal 9 13 2 4 2" xfId="54775"/>
    <cellStyle name="Normal 9 13 2 5" xfId="54776"/>
    <cellStyle name="Normal 9 13 2 5 2" xfId="54777"/>
    <cellStyle name="Normal 9 13 2 6" xfId="54778"/>
    <cellStyle name="Normal 9 13 2 6 2" xfId="54779"/>
    <cellStyle name="Normal 9 13 2 7" xfId="54780"/>
    <cellStyle name="Normal 9 13 2 8" xfId="54781"/>
    <cellStyle name="Normal 9 13 2 9" xfId="54782"/>
    <cellStyle name="Normal 9 13 3" xfId="54783"/>
    <cellStyle name="Normal 9 13 3 2" xfId="54784"/>
    <cellStyle name="Normal 9 13 3 2 2" xfId="54785"/>
    <cellStyle name="Normal 9 13 3 3" xfId="54786"/>
    <cellStyle name="Normal 9 13 3 4" xfId="54787"/>
    <cellStyle name="Normal 9 13 3 5" xfId="54788"/>
    <cellStyle name="Normal 9 13 4" xfId="54789"/>
    <cellStyle name="Normal 9 13 4 2" xfId="54790"/>
    <cellStyle name="Normal 9 13 5" xfId="54791"/>
    <cellStyle name="Normal 9 13 5 2" xfId="54792"/>
    <cellStyle name="Normal 9 13 6" xfId="54793"/>
    <cellStyle name="Normal 9 13 6 2" xfId="54794"/>
    <cellStyle name="Normal 9 13 7" xfId="54795"/>
    <cellStyle name="Normal 9 13 7 2" xfId="54796"/>
    <cellStyle name="Normal 9 13 8" xfId="54797"/>
    <cellStyle name="Normal 9 13 9" xfId="54798"/>
    <cellStyle name="Normal 9 14" xfId="54799"/>
    <cellStyle name="Normal 9 14 10" xfId="54800"/>
    <cellStyle name="Normal 9 14 11" xfId="54801"/>
    <cellStyle name="Normal 9 14 12" xfId="54802"/>
    <cellStyle name="Normal 9 14 13" xfId="54803"/>
    <cellStyle name="Normal 9 14 14" xfId="54804"/>
    <cellStyle name="Normal 9 14 15" xfId="54805"/>
    <cellStyle name="Normal 9 14 16" xfId="54806"/>
    <cellStyle name="Normal 9 14 17" xfId="54807"/>
    <cellStyle name="Normal 9 14 18" xfId="54808"/>
    <cellStyle name="Normal 9 14 2" xfId="54809"/>
    <cellStyle name="Normal 9 14 2 10" xfId="54810"/>
    <cellStyle name="Normal 9 14 2 11" xfId="54811"/>
    <cellStyle name="Normal 9 14 2 12" xfId="54812"/>
    <cellStyle name="Normal 9 14 2 13" xfId="54813"/>
    <cellStyle name="Normal 9 14 2 2" xfId="54814"/>
    <cellStyle name="Normal 9 14 2 2 2" xfId="54815"/>
    <cellStyle name="Normal 9 14 2 2 2 2" xfId="54816"/>
    <cellStyle name="Normal 9 14 2 2 3" xfId="54817"/>
    <cellStyle name="Normal 9 14 2 2 4" xfId="54818"/>
    <cellStyle name="Normal 9 14 2 2 5" xfId="54819"/>
    <cellStyle name="Normal 9 14 2 3" xfId="54820"/>
    <cellStyle name="Normal 9 14 2 3 2" xfId="54821"/>
    <cellStyle name="Normal 9 14 2 4" xfId="54822"/>
    <cellStyle name="Normal 9 14 2 4 2" xfId="54823"/>
    <cellStyle name="Normal 9 14 2 5" xfId="54824"/>
    <cellStyle name="Normal 9 14 2 5 2" xfId="54825"/>
    <cellStyle name="Normal 9 14 2 6" xfId="54826"/>
    <cellStyle name="Normal 9 14 2 6 2" xfId="54827"/>
    <cellStyle name="Normal 9 14 2 7" xfId="54828"/>
    <cellStyle name="Normal 9 14 2 8" xfId="54829"/>
    <cellStyle name="Normal 9 14 2 9" xfId="54830"/>
    <cellStyle name="Normal 9 14 3" xfId="54831"/>
    <cellStyle name="Normal 9 14 3 2" xfId="54832"/>
    <cellStyle name="Normal 9 14 3 2 2" xfId="54833"/>
    <cellStyle name="Normal 9 14 3 3" xfId="54834"/>
    <cellStyle name="Normal 9 14 3 4" xfId="54835"/>
    <cellStyle name="Normal 9 14 3 5" xfId="54836"/>
    <cellStyle name="Normal 9 14 4" xfId="54837"/>
    <cellStyle name="Normal 9 14 4 2" xfId="54838"/>
    <cellStyle name="Normal 9 14 5" xfId="54839"/>
    <cellStyle name="Normal 9 14 5 2" xfId="54840"/>
    <cellStyle name="Normal 9 14 6" xfId="54841"/>
    <cellStyle name="Normal 9 14 6 2" xfId="54842"/>
    <cellStyle name="Normal 9 14 7" xfId="54843"/>
    <cellStyle name="Normal 9 14 7 2" xfId="54844"/>
    <cellStyle name="Normal 9 14 8" xfId="54845"/>
    <cellStyle name="Normal 9 14 9" xfId="54846"/>
    <cellStyle name="Normal 9 15" xfId="54847"/>
    <cellStyle name="Normal 9 15 10" xfId="54848"/>
    <cellStyle name="Normal 9 15 11" xfId="54849"/>
    <cellStyle name="Normal 9 15 12" xfId="54850"/>
    <cellStyle name="Normal 9 15 13" xfId="54851"/>
    <cellStyle name="Normal 9 15 14" xfId="54852"/>
    <cellStyle name="Normal 9 15 15" xfId="54853"/>
    <cellStyle name="Normal 9 15 16" xfId="54854"/>
    <cellStyle name="Normal 9 15 17" xfId="54855"/>
    <cellStyle name="Normal 9 15 18" xfId="54856"/>
    <cellStyle name="Normal 9 15 2" xfId="54857"/>
    <cellStyle name="Normal 9 15 2 10" xfId="54858"/>
    <cellStyle name="Normal 9 15 2 11" xfId="54859"/>
    <cellStyle name="Normal 9 15 2 12" xfId="54860"/>
    <cellStyle name="Normal 9 15 2 13" xfId="54861"/>
    <cellStyle name="Normal 9 15 2 2" xfId="54862"/>
    <cellStyle name="Normal 9 15 2 2 2" xfId="54863"/>
    <cellStyle name="Normal 9 15 2 2 2 2" xfId="54864"/>
    <cellStyle name="Normal 9 15 2 2 3" xfId="54865"/>
    <cellStyle name="Normal 9 15 2 2 4" xfId="54866"/>
    <cellStyle name="Normal 9 15 2 2 5" xfId="54867"/>
    <cellStyle name="Normal 9 15 2 3" xfId="54868"/>
    <cellStyle name="Normal 9 15 2 3 2" xfId="54869"/>
    <cellStyle name="Normal 9 15 2 4" xfId="54870"/>
    <cellStyle name="Normal 9 15 2 4 2" xfId="54871"/>
    <cellStyle name="Normal 9 15 2 5" xfId="54872"/>
    <cellStyle name="Normal 9 15 2 5 2" xfId="54873"/>
    <cellStyle name="Normal 9 15 2 6" xfId="54874"/>
    <cellStyle name="Normal 9 15 2 6 2" xfId="54875"/>
    <cellStyle name="Normal 9 15 2 7" xfId="54876"/>
    <cellStyle name="Normal 9 15 2 8" xfId="54877"/>
    <cellStyle name="Normal 9 15 2 9" xfId="54878"/>
    <cellStyle name="Normal 9 15 3" xfId="54879"/>
    <cellStyle name="Normal 9 15 3 2" xfId="54880"/>
    <cellStyle name="Normal 9 15 3 2 2" xfId="54881"/>
    <cellStyle name="Normal 9 15 3 3" xfId="54882"/>
    <cellStyle name="Normal 9 15 3 4" xfId="54883"/>
    <cellStyle name="Normal 9 15 3 5" xfId="54884"/>
    <cellStyle name="Normal 9 15 4" xfId="54885"/>
    <cellStyle name="Normal 9 15 4 2" xfId="54886"/>
    <cellStyle name="Normal 9 15 5" xfId="54887"/>
    <cellStyle name="Normal 9 15 5 2" xfId="54888"/>
    <cellStyle name="Normal 9 15 6" xfId="54889"/>
    <cellStyle name="Normal 9 15 6 2" xfId="54890"/>
    <cellStyle name="Normal 9 15 7" xfId="54891"/>
    <cellStyle name="Normal 9 15 7 2" xfId="54892"/>
    <cellStyle name="Normal 9 15 8" xfId="54893"/>
    <cellStyle name="Normal 9 15 9" xfId="54894"/>
    <cellStyle name="Normal 9 16" xfId="54895"/>
    <cellStyle name="Normal 9 16 10" xfId="54896"/>
    <cellStyle name="Normal 9 16 11" xfId="54897"/>
    <cellStyle name="Normal 9 16 12" xfId="54898"/>
    <cellStyle name="Normal 9 16 13" xfId="54899"/>
    <cellStyle name="Normal 9 16 14" xfId="54900"/>
    <cellStyle name="Normal 9 16 15" xfId="54901"/>
    <cellStyle name="Normal 9 16 16" xfId="54902"/>
    <cellStyle name="Normal 9 16 17" xfId="54903"/>
    <cellStyle name="Normal 9 16 2" xfId="54904"/>
    <cellStyle name="Normal 9 16 2 10" xfId="54905"/>
    <cellStyle name="Normal 9 16 2 11" xfId="54906"/>
    <cellStyle name="Normal 9 16 2 12" xfId="54907"/>
    <cellStyle name="Normal 9 16 2 13" xfId="54908"/>
    <cellStyle name="Normal 9 16 2 2" xfId="54909"/>
    <cellStyle name="Normal 9 16 2 2 2" xfId="54910"/>
    <cellStyle name="Normal 9 16 2 2 2 2" xfId="54911"/>
    <cellStyle name="Normal 9 16 2 2 3" xfId="54912"/>
    <cellStyle name="Normal 9 16 2 2 4" xfId="54913"/>
    <cellStyle name="Normal 9 16 2 2 5" xfId="54914"/>
    <cellStyle name="Normal 9 16 2 3" xfId="54915"/>
    <cellStyle name="Normal 9 16 2 3 2" xfId="54916"/>
    <cellStyle name="Normal 9 16 2 4" xfId="54917"/>
    <cellStyle name="Normal 9 16 2 4 2" xfId="54918"/>
    <cellStyle name="Normal 9 16 2 5" xfId="54919"/>
    <cellStyle name="Normal 9 16 2 5 2" xfId="54920"/>
    <cellStyle name="Normal 9 16 2 6" xfId="54921"/>
    <cellStyle name="Normal 9 16 2 6 2" xfId="54922"/>
    <cellStyle name="Normal 9 16 2 7" xfId="54923"/>
    <cellStyle name="Normal 9 16 2 8" xfId="54924"/>
    <cellStyle name="Normal 9 16 2 9" xfId="54925"/>
    <cellStyle name="Normal 9 16 3" xfId="54926"/>
    <cellStyle name="Normal 9 16 3 2" xfId="54927"/>
    <cellStyle name="Normal 9 16 3 2 2" xfId="54928"/>
    <cellStyle name="Normal 9 16 3 3" xfId="54929"/>
    <cellStyle name="Normal 9 16 3 4" xfId="54930"/>
    <cellStyle name="Normal 9 16 3 5" xfId="54931"/>
    <cellStyle name="Normal 9 16 4" xfId="54932"/>
    <cellStyle name="Normal 9 16 4 2" xfId="54933"/>
    <cellStyle name="Normal 9 16 5" xfId="54934"/>
    <cellStyle name="Normal 9 16 5 2" xfId="54935"/>
    <cellStyle name="Normal 9 16 6" xfId="54936"/>
    <cellStyle name="Normal 9 16 6 2" xfId="54937"/>
    <cellStyle name="Normal 9 16 7" xfId="54938"/>
    <cellStyle name="Normal 9 16 7 2" xfId="54939"/>
    <cellStyle name="Normal 9 16 8" xfId="54940"/>
    <cellStyle name="Normal 9 16 9" xfId="54941"/>
    <cellStyle name="Normal 9 17" xfId="54942"/>
    <cellStyle name="Normal 9 17 10" xfId="54943"/>
    <cellStyle name="Normal 9 17 11" xfId="54944"/>
    <cellStyle name="Normal 9 17 12" xfId="54945"/>
    <cellStyle name="Normal 9 17 13" xfId="54946"/>
    <cellStyle name="Normal 9 17 14" xfId="54947"/>
    <cellStyle name="Normal 9 17 15" xfId="54948"/>
    <cellStyle name="Normal 9 17 2" xfId="54949"/>
    <cellStyle name="Normal 9 17 2 2" xfId="54950"/>
    <cellStyle name="Normal 9 17 2 2 2" xfId="54951"/>
    <cellStyle name="Normal 9 17 2 3" xfId="54952"/>
    <cellStyle name="Normal 9 17 2 3 2" xfId="54953"/>
    <cellStyle name="Normal 9 17 2 4" xfId="54954"/>
    <cellStyle name="Normal 9 17 2 4 2" xfId="54955"/>
    <cellStyle name="Normal 9 17 2 5" xfId="54956"/>
    <cellStyle name="Normal 9 17 2 5 2" xfId="54957"/>
    <cellStyle name="Normal 9 17 2 6" xfId="54958"/>
    <cellStyle name="Normal 9 17 2 7" xfId="54959"/>
    <cellStyle name="Normal 9 17 2 8" xfId="54960"/>
    <cellStyle name="Normal 9 17 2 9" xfId="54961"/>
    <cellStyle name="Normal 9 17 3" xfId="54962"/>
    <cellStyle name="Normal 9 17 3 2" xfId="54963"/>
    <cellStyle name="Normal 9 17 3 2 2" xfId="54964"/>
    <cellStyle name="Normal 9 17 3 3" xfId="54965"/>
    <cellStyle name="Normal 9 17 3 4" xfId="54966"/>
    <cellStyle name="Normal 9 17 3 5" xfId="54967"/>
    <cellStyle name="Normal 9 17 4" xfId="54968"/>
    <cellStyle name="Normal 9 17 4 2" xfId="54969"/>
    <cellStyle name="Normal 9 17 5" xfId="54970"/>
    <cellStyle name="Normal 9 17 5 2" xfId="54971"/>
    <cellStyle name="Normal 9 17 6" xfId="54972"/>
    <cellStyle name="Normal 9 17 6 2" xfId="54973"/>
    <cellStyle name="Normal 9 17 7" xfId="54974"/>
    <cellStyle name="Normal 9 17 7 2" xfId="54975"/>
    <cellStyle name="Normal 9 17 8" xfId="54976"/>
    <cellStyle name="Normal 9 17 9" xfId="54977"/>
    <cellStyle name="Normal 9 18" xfId="54978"/>
    <cellStyle name="Normal 9 18 10" xfId="54979"/>
    <cellStyle name="Normal 9 18 11" xfId="54980"/>
    <cellStyle name="Normal 9 18 12" xfId="54981"/>
    <cellStyle name="Normal 9 18 13" xfId="54982"/>
    <cellStyle name="Normal 9 18 14" xfId="54983"/>
    <cellStyle name="Normal 9 18 15" xfId="54984"/>
    <cellStyle name="Normal 9 18 2" xfId="54985"/>
    <cellStyle name="Normal 9 18 2 2" xfId="54986"/>
    <cellStyle name="Normal 9 18 2 2 2" xfId="54987"/>
    <cellStyle name="Normal 9 18 2 3" xfId="54988"/>
    <cellStyle name="Normal 9 18 2 3 2" xfId="54989"/>
    <cellStyle name="Normal 9 18 2 4" xfId="54990"/>
    <cellStyle name="Normal 9 18 2 4 2" xfId="54991"/>
    <cellStyle name="Normal 9 18 2 5" xfId="54992"/>
    <cellStyle name="Normal 9 18 2 5 2" xfId="54993"/>
    <cellStyle name="Normal 9 18 2 6" xfId="54994"/>
    <cellStyle name="Normal 9 18 2 7" xfId="54995"/>
    <cellStyle name="Normal 9 18 2 8" xfId="54996"/>
    <cellStyle name="Normal 9 18 2 9" xfId="54997"/>
    <cellStyle name="Normal 9 18 3" xfId="54998"/>
    <cellStyle name="Normal 9 18 3 2" xfId="54999"/>
    <cellStyle name="Normal 9 18 3 2 2" xfId="55000"/>
    <cellStyle name="Normal 9 18 3 3" xfId="55001"/>
    <cellStyle name="Normal 9 18 3 4" xfId="55002"/>
    <cellStyle name="Normal 9 18 3 5" xfId="55003"/>
    <cellStyle name="Normal 9 18 4" xfId="55004"/>
    <cellStyle name="Normal 9 18 4 2" xfId="55005"/>
    <cellStyle name="Normal 9 18 5" xfId="55006"/>
    <cellStyle name="Normal 9 18 5 2" xfId="55007"/>
    <cellStyle name="Normal 9 18 6" xfId="55008"/>
    <cellStyle name="Normal 9 18 6 2" xfId="55009"/>
    <cellStyle name="Normal 9 18 7" xfId="55010"/>
    <cellStyle name="Normal 9 18 7 2" xfId="55011"/>
    <cellStyle name="Normal 9 18 8" xfId="55012"/>
    <cellStyle name="Normal 9 18 9" xfId="55013"/>
    <cellStyle name="Normal 9 19" xfId="55014"/>
    <cellStyle name="Normal 9 19 10" xfId="55015"/>
    <cellStyle name="Normal 9 19 11" xfId="55016"/>
    <cellStyle name="Normal 9 19 12" xfId="55017"/>
    <cellStyle name="Normal 9 19 13" xfId="55018"/>
    <cellStyle name="Normal 9 19 14" xfId="55019"/>
    <cellStyle name="Normal 9 19 2" xfId="55020"/>
    <cellStyle name="Normal 9 19 2 2" xfId="55021"/>
    <cellStyle name="Normal 9 19 2 2 2" xfId="55022"/>
    <cellStyle name="Normal 9 19 2 3" xfId="55023"/>
    <cellStyle name="Normal 9 19 2 3 2" xfId="55024"/>
    <cellStyle name="Normal 9 19 2 4" xfId="55025"/>
    <cellStyle name="Normal 9 19 2 4 2" xfId="55026"/>
    <cellStyle name="Normal 9 19 2 5" xfId="55027"/>
    <cellStyle name="Normal 9 19 2 5 2" xfId="55028"/>
    <cellStyle name="Normal 9 19 2 6" xfId="55029"/>
    <cellStyle name="Normal 9 19 2 7" xfId="55030"/>
    <cellStyle name="Normal 9 19 2 8" xfId="55031"/>
    <cellStyle name="Normal 9 19 2 9" xfId="55032"/>
    <cellStyle name="Normal 9 19 3" xfId="55033"/>
    <cellStyle name="Normal 9 19 3 2" xfId="55034"/>
    <cellStyle name="Normal 9 19 3 2 2" xfId="55035"/>
    <cellStyle name="Normal 9 19 3 3" xfId="55036"/>
    <cellStyle name="Normal 9 19 3 4" xfId="55037"/>
    <cellStyle name="Normal 9 19 3 5" xfId="55038"/>
    <cellStyle name="Normal 9 19 4" xfId="55039"/>
    <cellStyle name="Normal 9 19 4 2" xfId="55040"/>
    <cellStyle name="Normal 9 19 5" xfId="55041"/>
    <cellStyle name="Normal 9 19 5 2" xfId="55042"/>
    <cellStyle name="Normal 9 19 6" xfId="55043"/>
    <cellStyle name="Normal 9 19 6 2" xfId="55044"/>
    <cellStyle name="Normal 9 19 7" xfId="55045"/>
    <cellStyle name="Normal 9 19 7 2" xfId="55046"/>
    <cellStyle name="Normal 9 19 8" xfId="55047"/>
    <cellStyle name="Normal 9 19 9" xfId="55048"/>
    <cellStyle name="Normal 9 2" xfId="1007"/>
    <cellStyle name="Normal 9 2 10" xfId="55050"/>
    <cellStyle name="Normal 9 2 10 10" xfId="55051"/>
    <cellStyle name="Normal 9 2 10 11" xfId="55052"/>
    <cellStyle name="Normal 9 2 10 12" xfId="55053"/>
    <cellStyle name="Normal 9 2 10 13" xfId="55054"/>
    <cellStyle name="Normal 9 2 10 14" xfId="55055"/>
    <cellStyle name="Normal 9 2 10 15" xfId="55056"/>
    <cellStyle name="Normal 9 2 10 2" xfId="55057"/>
    <cellStyle name="Normal 9 2 10 2 2" xfId="55058"/>
    <cellStyle name="Normal 9 2 10 2 2 2" xfId="55059"/>
    <cellStyle name="Normal 9 2 10 2 3" xfId="55060"/>
    <cellStyle name="Normal 9 2 10 2 3 2" xfId="55061"/>
    <cellStyle name="Normal 9 2 10 2 4" xfId="55062"/>
    <cellStyle name="Normal 9 2 10 2 4 2" xfId="55063"/>
    <cellStyle name="Normal 9 2 10 2 5" xfId="55064"/>
    <cellStyle name="Normal 9 2 10 2 5 2" xfId="55065"/>
    <cellStyle name="Normal 9 2 10 2 6" xfId="55066"/>
    <cellStyle name="Normal 9 2 10 2 7" xfId="55067"/>
    <cellStyle name="Normal 9 2 10 2 8" xfId="55068"/>
    <cellStyle name="Normal 9 2 10 2 9" xfId="55069"/>
    <cellStyle name="Normal 9 2 10 3" xfId="55070"/>
    <cellStyle name="Normal 9 2 10 3 2" xfId="55071"/>
    <cellStyle name="Normal 9 2 10 3 2 2" xfId="55072"/>
    <cellStyle name="Normal 9 2 10 3 3" xfId="55073"/>
    <cellStyle name="Normal 9 2 10 3 4" xfId="55074"/>
    <cellStyle name="Normal 9 2 10 3 5" xfId="55075"/>
    <cellStyle name="Normal 9 2 10 4" xfId="55076"/>
    <cellStyle name="Normal 9 2 10 4 2" xfId="55077"/>
    <cellStyle name="Normal 9 2 10 5" xfId="55078"/>
    <cellStyle name="Normal 9 2 10 5 2" xfId="55079"/>
    <cellStyle name="Normal 9 2 10 6" xfId="55080"/>
    <cellStyle name="Normal 9 2 10 6 2" xfId="55081"/>
    <cellStyle name="Normal 9 2 10 7" xfId="55082"/>
    <cellStyle name="Normal 9 2 10 7 2" xfId="55083"/>
    <cellStyle name="Normal 9 2 10 8" xfId="55084"/>
    <cellStyle name="Normal 9 2 10 9" xfId="55085"/>
    <cellStyle name="Normal 9 2 11" xfId="55086"/>
    <cellStyle name="Normal 9 2 11 2" xfId="55087"/>
    <cellStyle name="Normal 9 2 11 2 2" xfId="55088"/>
    <cellStyle name="Normal 9 2 11 3" xfId="55089"/>
    <cellStyle name="Normal 9 2 11 3 2" xfId="55090"/>
    <cellStyle name="Normal 9 2 11 4" xfId="55091"/>
    <cellStyle name="Normal 9 2 11 4 2" xfId="55092"/>
    <cellStyle name="Normal 9 2 11 5" xfId="55093"/>
    <cellStyle name="Normal 9 2 11 5 2" xfId="55094"/>
    <cellStyle name="Normal 9 2 11 6" xfId="55095"/>
    <cellStyle name="Normal 9 2 11 7" xfId="55096"/>
    <cellStyle name="Normal 9 2 11 8" xfId="55097"/>
    <cellStyle name="Normal 9 2 11 9" xfId="55098"/>
    <cellStyle name="Normal 9 2 12" xfId="55099"/>
    <cellStyle name="Normal 9 2 12 2" xfId="55100"/>
    <cellStyle name="Normal 9 2 12 2 2" xfId="55101"/>
    <cellStyle name="Normal 9 2 12 3" xfId="55102"/>
    <cellStyle name="Normal 9 2 12 4" xfId="55103"/>
    <cellStyle name="Normal 9 2 12 5" xfId="55104"/>
    <cellStyle name="Normal 9 2 13" xfId="55105"/>
    <cellStyle name="Normal 9 2 13 2" xfId="55106"/>
    <cellStyle name="Normal 9 2 14" xfId="55107"/>
    <cellStyle name="Normal 9 2 14 2" xfId="55108"/>
    <cellStyle name="Normal 9 2 15" xfId="55109"/>
    <cellStyle name="Normal 9 2 15 2" xfId="55110"/>
    <cellStyle name="Normal 9 2 16" xfId="55111"/>
    <cellStyle name="Normal 9 2 16 2" xfId="55112"/>
    <cellStyle name="Normal 9 2 17" xfId="55113"/>
    <cellStyle name="Normal 9 2 18" xfId="55114"/>
    <cellStyle name="Normal 9 2 19" xfId="55115"/>
    <cellStyle name="Normal 9 2 2" xfId="55049"/>
    <cellStyle name="Normal 9 2 2 10" xfId="55116"/>
    <cellStyle name="Normal 9 2 2 10 2" xfId="55117"/>
    <cellStyle name="Normal 9 2 2 11" xfId="55118"/>
    <cellStyle name="Normal 9 2 2 11 2" xfId="55119"/>
    <cellStyle name="Normal 9 2 2 12" xfId="55120"/>
    <cellStyle name="Normal 9 2 2 13" xfId="55121"/>
    <cellStyle name="Normal 9 2 2 14" xfId="55122"/>
    <cellStyle name="Normal 9 2 2 15" xfId="55123"/>
    <cellStyle name="Normal 9 2 2 16" xfId="55124"/>
    <cellStyle name="Normal 9 2 2 17" xfId="55125"/>
    <cellStyle name="Normal 9 2 2 18" xfId="55126"/>
    <cellStyle name="Normal 9 2 2 19" xfId="55127"/>
    <cellStyle name="Normal 9 2 2 2" xfId="55128"/>
    <cellStyle name="Normal 9 2 2 2 10" xfId="55129"/>
    <cellStyle name="Normal 9 2 2 2 11" xfId="55130"/>
    <cellStyle name="Normal 9 2 2 2 12" xfId="55131"/>
    <cellStyle name="Normal 9 2 2 2 13" xfId="55132"/>
    <cellStyle name="Normal 9 2 2 2 14" xfId="55133"/>
    <cellStyle name="Normal 9 2 2 2 15" xfId="55134"/>
    <cellStyle name="Normal 9 2 2 2 16" xfId="55135"/>
    <cellStyle name="Normal 9 2 2 2 2" xfId="55136"/>
    <cellStyle name="Normal 9 2 2 2 2 2" xfId="55137"/>
    <cellStyle name="Normal 9 2 2 2 2 2 2" xfId="55138"/>
    <cellStyle name="Normal 9 2 2 2 2 3" xfId="55139"/>
    <cellStyle name="Normal 9 2 2 2 2 3 2" xfId="55140"/>
    <cellStyle name="Normal 9 2 2 2 2 4" xfId="55141"/>
    <cellStyle name="Normal 9 2 2 2 2 4 2" xfId="55142"/>
    <cellStyle name="Normal 9 2 2 2 2 5" xfId="55143"/>
    <cellStyle name="Normal 9 2 2 2 2 5 2" xfId="55144"/>
    <cellStyle name="Normal 9 2 2 2 2 6" xfId="55145"/>
    <cellStyle name="Normal 9 2 2 2 2 7" xfId="55146"/>
    <cellStyle name="Normal 9 2 2 2 2 8" xfId="55147"/>
    <cellStyle name="Normal 9 2 2 2 2 9" xfId="55148"/>
    <cellStyle name="Normal 9 2 2 2 3" xfId="55149"/>
    <cellStyle name="Normal 9 2 2 2 3 2" xfId="55150"/>
    <cellStyle name="Normal 9 2 2 2 3 2 2" xfId="55151"/>
    <cellStyle name="Normal 9 2 2 2 3 3" xfId="55152"/>
    <cellStyle name="Normal 9 2 2 2 3 4" xfId="55153"/>
    <cellStyle name="Normal 9 2 2 2 3 5" xfId="55154"/>
    <cellStyle name="Normal 9 2 2 2 4" xfId="55155"/>
    <cellStyle name="Normal 9 2 2 2 4 2" xfId="55156"/>
    <cellStyle name="Normal 9 2 2 2 5" xfId="55157"/>
    <cellStyle name="Normal 9 2 2 2 5 2" xfId="55158"/>
    <cellStyle name="Normal 9 2 2 2 6" xfId="55159"/>
    <cellStyle name="Normal 9 2 2 2 6 2" xfId="55160"/>
    <cellStyle name="Normal 9 2 2 2 7" xfId="55161"/>
    <cellStyle name="Normal 9 2 2 2 7 2" xfId="55162"/>
    <cellStyle name="Normal 9 2 2 2 8" xfId="55163"/>
    <cellStyle name="Normal 9 2 2 2 9" xfId="55164"/>
    <cellStyle name="Normal 9 2 2 20" xfId="55165"/>
    <cellStyle name="Normal 9 2 2 3" xfId="55166"/>
    <cellStyle name="Normal 9 2 2 3 10" xfId="55167"/>
    <cellStyle name="Normal 9 2 2 3 11" xfId="55168"/>
    <cellStyle name="Normal 9 2 2 3 12" xfId="55169"/>
    <cellStyle name="Normal 9 2 2 3 13" xfId="55170"/>
    <cellStyle name="Normal 9 2 2 3 14" xfId="55171"/>
    <cellStyle name="Normal 9 2 2 3 15" xfId="55172"/>
    <cellStyle name="Normal 9 2 2 3 16" xfId="55173"/>
    <cellStyle name="Normal 9 2 2 3 2" xfId="55174"/>
    <cellStyle name="Normal 9 2 2 3 2 2" xfId="55175"/>
    <cellStyle name="Normal 9 2 2 3 2 2 2" xfId="55176"/>
    <cellStyle name="Normal 9 2 2 3 2 3" xfId="55177"/>
    <cellStyle name="Normal 9 2 2 3 2 3 2" xfId="55178"/>
    <cellStyle name="Normal 9 2 2 3 2 4" xfId="55179"/>
    <cellStyle name="Normal 9 2 2 3 2 4 2" xfId="55180"/>
    <cellStyle name="Normal 9 2 2 3 2 5" xfId="55181"/>
    <cellStyle name="Normal 9 2 2 3 2 5 2" xfId="55182"/>
    <cellStyle name="Normal 9 2 2 3 2 6" xfId="55183"/>
    <cellStyle name="Normal 9 2 2 3 2 7" xfId="55184"/>
    <cellStyle name="Normal 9 2 2 3 2 8" xfId="55185"/>
    <cellStyle name="Normal 9 2 2 3 2 9" xfId="55186"/>
    <cellStyle name="Normal 9 2 2 3 3" xfId="55187"/>
    <cellStyle name="Normal 9 2 2 3 3 2" xfId="55188"/>
    <cellStyle name="Normal 9 2 2 3 3 2 2" xfId="55189"/>
    <cellStyle name="Normal 9 2 2 3 3 3" xfId="55190"/>
    <cellStyle name="Normal 9 2 2 3 3 4" xfId="55191"/>
    <cellStyle name="Normal 9 2 2 3 3 5" xfId="55192"/>
    <cellStyle name="Normal 9 2 2 3 4" xfId="55193"/>
    <cellStyle name="Normal 9 2 2 3 4 2" xfId="55194"/>
    <cellStyle name="Normal 9 2 2 3 5" xfId="55195"/>
    <cellStyle name="Normal 9 2 2 3 5 2" xfId="55196"/>
    <cellStyle name="Normal 9 2 2 3 6" xfId="55197"/>
    <cellStyle name="Normal 9 2 2 3 6 2" xfId="55198"/>
    <cellStyle name="Normal 9 2 2 3 7" xfId="55199"/>
    <cellStyle name="Normal 9 2 2 3 7 2" xfId="55200"/>
    <cellStyle name="Normal 9 2 2 3 8" xfId="55201"/>
    <cellStyle name="Normal 9 2 2 3 9" xfId="55202"/>
    <cellStyle name="Normal 9 2 2 4" xfId="55203"/>
    <cellStyle name="Normal 9 2 2 4 10" xfId="55204"/>
    <cellStyle name="Normal 9 2 2 4 11" xfId="55205"/>
    <cellStyle name="Normal 9 2 2 4 12" xfId="55206"/>
    <cellStyle name="Normal 9 2 2 4 13" xfId="55207"/>
    <cellStyle name="Normal 9 2 2 4 14" xfId="55208"/>
    <cellStyle name="Normal 9 2 2 4 15" xfId="55209"/>
    <cellStyle name="Normal 9 2 2 4 2" xfId="55210"/>
    <cellStyle name="Normal 9 2 2 4 2 2" xfId="55211"/>
    <cellStyle name="Normal 9 2 2 4 2 2 2" xfId="55212"/>
    <cellStyle name="Normal 9 2 2 4 2 3" xfId="55213"/>
    <cellStyle name="Normal 9 2 2 4 2 3 2" xfId="55214"/>
    <cellStyle name="Normal 9 2 2 4 2 4" xfId="55215"/>
    <cellStyle name="Normal 9 2 2 4 2 4 2" xfId="55216"/>
    <cellStyle name="Normal 9 2 2 4 2 5" xfId="55217"/>
    <cellStyle name="Normal 9 2 2 4 2 5 2" xfId="55218"/>
    <cellStyle name="Normal 9 2 2 4 2 6" xfId="55219"/>
    <cellStyle name="Normal 9 2 2 4 2 7" xfId="55220"/>
    <cellStyle name="Normal 9 2 2 4 2 8" xfId="55221"/>
    <cellStyle name="Normal 9 2 2 4 2 9" xfId="55222"/>
    <cellStyle name="Normal 9 2 2 4 3" xfId="55223"/>
    <cellStyle name="Normal 9 2 2 4 3 2" xfId="55224"/>
    <cellStyle name="Normal 9 2 2 4 3 2 2" xfId="55225"/>
    <cellStyle name="Normal 9 2 2 4 3 3" xfId="55226"/>
    <cellStyle name="Normal 9 2 2 4 3 4" xfId="55227"/>
    <cellStyle name="Normal 9 2 2 4 3 5" xfId="55228"/>
    <cellStyle name="Normal 9 2 2 4 4" xfId="55229"/>
    <cellStyle name="Normal 9 2 2 4 4 2" xfId="55230"/>
    <cellStyle name="Normal 9 2 2 4 5" xfId="55231"/>
    <cellStyle name="Normal 9 2 2 4 5 2" xfId="55232"/>
    <cellStyle name="Normal 9 2 2 4 6" xfId="55233"/>
    <cellStyle name="Normal 9 2 2 4 6 2" xfId="55234"/>
    <cellStyle name="Normal 9 2 2 4 7" xfId="55235"/>
    <cellStyle name="Normal 9 2 2 4 7 2" xfId="55236"/>
    <cellStyle name="Normal 9 2 2 4 8" xfId="55237"/>
    <cellStyle name="Normal 9 2 2 4 9" xfId="55238"/>
    <cellStyle name="Normal 9 2 2 5" xfId="55239"/>
    <cellStyle name="Normal 9 2 2 5 10" xfId="55240"/>
    <cellStyle name="Normal 9 2 2 5 11" xfId="55241"/>
    <cellStyle name="Normal 9 2 2 5 12" xfId="55242"/>
    <cellStyle name="Normal 9 2 2 5 13" xfId="55243"/>
    <cellStyle name="Normal 9 2 2 5 14" xfId="55244"/>
    <cellStyle name="Normal 9 2 2 5 2" xfId="55245"/>
    <cellStyle name="Normal 9 2 2 5 2 2" xfId="55246"/>
    <cellStyle name="Normal 9 2 2 5 2 2 2" xfId="55247"/>
    <cellStyle name="Normal 9 2 2 5 2 3" xfId="55248"/>
    <cellStyle name="Normal 9 2 2 5 2 3 2" xfId="55249"/>
    <cellStyle name="Normal 9 2 2 5 2 4" xfId="55250"/>
    <cellStyle name="Normal 9 2 2 5 2 4 2" xfId="55251"/>
    <cellStyle name="Normal 9 2 2 5 2 5" xfId="55252"/>
    <cellStyle name="Normal 9 2 2 5 2 5 2" xfId="55253"/>
    <cellStyle name="Normal 9 2 2 5 2 6" xfId="55254"/>
    <cellStyle name="Normal 9 2 2 5 2 7" xfId="55255"/>
    <cellStyle name="Normal 9 2 2 5 2 8" xfId="55256"/>
    <cellStyle name="Normal 9 2 2 5 2 9" xfId="55257"/>
    <cellStyle name="Normal 9 2 2 5 3" xfId="55258"/>
    <cellStyle name="Normal 9 2 2 5 3 2" xfId="55259"/>
    <cellStyle name="Normal 9 2 2 5 3 2 2" xfId="55260"/>
    <cellStyle name="Normal 9 2 2 5 3 3" xfId="55261"/>
    <cellStyle name="Normal 9 2 2 5 3 4" xfId="55262"/>
    <cellStyle name="Normal 9 2 2 5 3 5" xfId="55263"/>
    <cellStyle name="Normal 9 2 2 5 4" xfId="55264"/>
    <cellStyle name="Normal 9 2 2 5 4 2" xfId="55265"/>
    <cellStyle name="Normal 9 2 2 5 5" xfId="55266"/>
    <cellStyle name="Normal 9 2 2 5 5 2" xfId="55267"/>
    <cellStyle name="Normal 9 2 2 5 6" xfId="55268"/>
    <cellStyle name="Normal 9 2 2 5 6 2" xfId="55269"/>
    <cellStyle name="Normal 9 2 2 5 7" xfId="55270"/>
    <cellStyle name="Normal 9 2 2 5 7 2" xfId="55271"/>
    <cellStyle name="Normal 9 2 2 5 8" xfId="55272"/>
    <cellStyle name="Normal 9 2 2 5 9" xfId="55273"/>
    <cellStyle name="Normal 9 2 2 6" xfId="55274"/>
    <cellStyle name="Normal 9 2 2 6 2" xfId="55275"/>
    <cellStyle name="Normal 9 2 2 6 2 2" xfId="55276"/>
    <cellStyle name="Normal 9 2 2 6 3" xfId="55277"/>
    <cellStyle name="Normal 9 2 2 6 3 2" xfId="55278"/>
    <cellStyle name="Normal 9 2 2 6 4" xfId="55279"/>
    <cellStyle name="Normal 9 2 2 6 4 2" xfId="55280"/>
    <cellStyle name="Normal 9 2 2 6 5" xfId="55281"/>
    <cellStyle name="Normal 9 2 2 6 5 2" xfId="55282"/>
    <cellStyle name="Normal 9 2 2 6 6" xfId="55283"/>
    <cellStyle name="Normal 9 2 2 6 7" xfId="55284"/>
    <cellStyle name="Normal 9 2 2 6 8" xfId="55285"/>
    <cellStyle name="Normal 9 2 2 6 9" xfId="55286"/>
    <cellStyle name="Normal 9 2 2 7" xfId="55287"/>
    <cellStyle name="Normal 9 2 2 7 2" xfId="55288"/>
    <cellStyle name="Normal 9 2 2 7 2 2" xfId="55289"/>
    <cellStyle name="Normal 9 2 2 7 3" xfId="55290"/>
    <cellStyle name="Normal 9 2 2 7 4" xfId="55291"/>
    <cellStyle name="Normal 9 2 2 7 5" xfId="55292"/>
    <cellStyle name="Normal 9 2 2 8" xfId="55293"/>
    <cellStyle name="Normal 9 2 2 8 2" xfId="55294"/>
    <cellStyle name="Normal 9 2 2 9" xfId="55295"/>
    <cellStyle name="Normal 9 2 2 9 2" xfId="55296"/>
    <cellStyle name="Normal 9 2 20" xfId="55297"/>
    <cellStyle name="Normal 9 2 21" xfId="55298"/>
    <cellStyle name="Normal 9 2 22" xfId="55299"/>
    <cellStyle name="Normal 9 2 23" xfId="55300"/>
    <cellStyle name="Normal 9 2 24" xfId="55301"/>
    <cellStyle name="Normal 9 2 25" xfId="55302"/>
    <cellStyle name="Normal 9 2 26" xfId="55303"/>
    <cellStyle name="Normal 9 2 3" xfId="55304"/>
    <cellStyle name="Normal 9 2 3 10" xfId="55305"/>
    <cellStyle name="Normal 9 2 3 11" xfId="55306"/>
    <cellStyle name="Normal 9 2 3 12" xfId="55307"/>
    <cellStyle name="Normal 9 2 3 13" xfId="55308"/>
    <cellStyle name="Normal 9 2 3 14" xfId="55309"/>
    <cellStyle name="Normal 9 2 3 15" xfId="55310"/>
    <cellStyle name="Normal 9 2 3 16" xfId="55311"/>
    <cellStyle name="Normal 9 2 3 17" xfId="55312"/>
    <cellStyle name="Normal 9 2 3 18" xfId="55313"/>
    <cellStyle name="Normal 9 2 3 2" xfId="55314"/>
    <cellStyle name="Normal 9 2 3 2 10" xfId="55315"/>
    <cellStyle name="Normal 9 2 3 2 11" xfId="55316"/>
    <cellStyle name="Normal 9 2 3 2 12" xfId="55317"/>
    <cellStyle name="Normal 9 2 3 2 13" xfId="55318"/>
    <cellStyle name="Normal 9 2 3 2 2" xfId="55319"/>
    <cellStyle name="Normal 9 2 3 2 2 2" xfId="55320"/>
    <cellStyle name="Normal 9 2 3 2 2 2 2" xfId="55321"/>
    <cellStyle name="Normal 9 2 3 2 2 3" xfId="55322"/>
    <cellStyle name="Normal 9 2 3 2 2 4" xfId="55323"/>
    <cellStyle name="Normal 9 2 3 2 2 5" xfId="55324"/>
    <cellStyle name="Normal 9 2 3 2 3" xfId="55325"/>
    <cellStyle name="Normal 9 2 3 2 3 2" xfId="55326"/>
    <cellStyle name="Normal 9 2 3 2 4" xfId="55327"/>
    <cellStyle name="Normal 9 2 3 2 4 2" xfId="55328"/>
    <cellStyle name="Normal 9 2 3 2 5" xfId="55329"/>
    <cellStyle name="Normal 9 2 3 2 5 2" xfId="55330"/>
    <cellStyle name="Normal 9 2 3 2 6" xfId="55331"/>
    <cellStyle name="Normal 9 2 3 2 6 2" xfId="55332"/>
    <cellStyle name="Normal 9 2 3 2 7" xfId="55333"/>
    <cellStyle name="Normal 9 2 3 2 8" xfId="55334"/>
    <cellStyle name="Normal 9 2 3 2 9" xfId="55335"/>
    <cellStyle name="Normal 9 2 3 3" xfId="55336"/>
    <cellStyle name="Normal 9 2 3 3 2" xfId="55337"/>
    <cellStyle name="Normal 9 2 3 3 2 2" xfId="55338"/>
    <cellStyle name="Normal 9 2 3 3 3" xfId="55339"/>
    <cellStyle name="Normal 9 2 3 3 4" xfId="55340"/>
    <cellStyle name="Normal 9 2 3 3 5" xfId="55341"/>
    <cellStyle name="Normal 9 2 3 4" xfId="55342"/>
    <cellStyle name="Normal 9 2 3 4 2" xfId="55343"/>
    <cellStyle name="Normal 9 2 3 5" xfId="55344"/>
    <cellStyle name="Normal 9 2 3 5 2" xfId="55345"/>
    <cellStyle name="Normal 9 2 3 6" xfId="55346"/>
    <cellStyle name="Normal 9 2 3 6 2" xfId="55347"/>
    <cellStyle name="Normal 9 2 3 7" xfId="55348"/>
    <cellStyle name="Normal 9 2 3 7 2" xfId="55349"/>
    <cellStyle name="Normal 9 2 3 8" xfId="55350"/>
    <cellStyle name="Normal 9 2 3 9" xfId="55351"/>
    <cellStyle name="Normal 9 2 4" xfId="55352"/>
    <cellStyle name="Normal 9 2 4 10" xfId="55353"/>
    <cellStyle name="Normal 9 2 4 11" xfId="55354"/>
    <cellStyle name="Normal 9 2 4 12" xfId="55355"/>
    <cellStyle name="Normal 9 2 4 13" xfId="55356"/>
    <cellStyle name="Normal 9 2 4 14" xfId="55357"/>
    <cellStyle name="Normal 9 2 4 15" xfId="55358"/>
    <cellStyle name="Normal 9 2 4 16" xfId="55359"/>
    <cellStyle name="Normal 9 2 4 17" xfId="55360"/>
    <cellStyle name="Normal 9 2 4 18" xfId="55361"/>
    <cellStyle name="Normal 9 2 4 2" xfId="55362"/>
    <cellStyle name="Normal 9 2 4 2 10" xfId="55363"/>
    <cellStyle name="Normal 9 2 4 2 11" xfId="55364"/>
    <cellStyle name="Normal 9 2 4 2 12" xfId="55365"/>
    <cellStyle name="Normal 9 2 4 2 13" xfId="55366"/>
    <cellStyle name="Normal 9 2 4 2 2" xfId="55367"/>
    <cellStyle name="Normal 9 2 4 2 2 2" xfId="55368"/>
    <cellStyle name="Normal 9 2 4 2 2 2 2" xfId="55369"/>
    <cellStyle name="Normal 9 2 4 2 2 3" xfId="55370"/>
    <cellStyle name="Normal 9 2 4 2 2 4" xfId="55371"/>
    <cellStyle name="Normal 9 2 4 2 2 5" xfId="55372"/>
    <cellStyle name="Normal 9 2 4 2 3" xfId="55373"/>
    <cellStyle name="Normal 9 2 4 2 3 2" xfId="55374"/>
    <cellStyle name="Normal 9 2 4 2 4" xfId="55375"/>
    <cellStyle name="Normal 9 2 4 2 4 2" xfId="55376"/>
    <cellStyle name="Normal 9 2 4 2 5" xfId="55377"/>
    <cellStyle name="Normal 9 2 4 2 5 2" xfId="55378"/>
    <cellStyle name="Normal 9 2 4 2 6" xfId="55379"/>
    <cellStyle name="Normal 9 2 4 2 6 2" xfId="55380"/>
    <cellStyle name="Normal 9 2 4 2 7" xfId="55381"/>
    <cellStyle name="Normal 9 2 4 2 8" xfId="55382"/>
    <cellStyle name="Normal 9 2 4 2 9" xfId="55383"/>
    <cellStyle name="Normal 9 2 4 3" xfId="55384"/>
    <cellStyle name="Normal 9 2 4 3 2" xfId="55385"/>
    <cellStyle name="Normal 9 2 4 3 2 2" xfId="55386"/>
    <cellStyle name="Normal 9 2 4 3 3" xfId="55387"/>
    <cellStyle name="Normal 9 2 4 3 4" xfId="55388"/>
    <cellStyle name="Normal 9 2 4 3 5" xfId="55389"/>
    <cellStyle name="Normal 9 2 4 4" xfId="55390"/>
    <cellStyle name="Normal 9 2 4 4 2" xfId="55391"/>
    <cellStyle name="Normal 9 2 4 5" xfId="55392"/>
    <cellStyle name="Normal 9 2 4 5 2" xfId="55393"/>
    <cellStyle name="Normal 9 2 4 6" xfId="55394"/>
    <cellStyle name="Normal 9 2 4 6 2" xfId="55395"/>
    <cellStyle name="Normal 9 2 4 7" xfId="55396"/>
    <cellStyle name="Normal 9 2 4 7 2" xfId="55397"/>
    <cellStyle name="Normal 9 2 4 8" xfId="55398"/>
    <cellStyle name="Normal 9 2 4 9" xfId="55399"/>
    <cellStyle name="Normal 9 2 5" xfId="55400"/>
    <cellStyle name="Normal 9 2 5 10" xfId="55401"/>
    <cellStyle name="Normal 9 2 5 11" xfId="55402"/>
    <cellStyle name="Normal 9 2 5 12" xfId="55403"/>
    <cellStyle name="Normal 9 2 5 13" xfId="55404"/>
    <cellStyle name="Normal 9 2 5 14" xfId="55405"/>
    <cellStyle name="Normal 9 2 5 15" xfId="55406"/>
    <cellStyle name="Normal 9 2 5 16" xfId="55407"/>
    <cellStyle name="Normal 9 2 5 17" xfId="55408"/>
    <cellStyle name="Normal 9 2 5 18" xfId="55409"/>
    <cellStyle name="Normal 9 2 5 2" xfId="55410"/>
    <cellStyle name="Normal 9 2 5 2 10" xfId="55411"/>
    <cellStyle name="Normal 9 2 5 2 11" xfId="55412"/>
    <cellStyle name="Normal 9 2 5 2 12" xfId="55413"/>
    <cellStyle name="Normal 9 2 5 2 13" xfId="55414"/>
    <cellStyle name="Normal 9 2 5 2 2" xfId="55415"/>
    <cellStyle name="Normal 9 2 5 2 2 2" xfId="55416"/>
    <cellStyle name="Normal 9 2 5 2 2 2 2" xfId="55417"/>
    <cellStyle name="Normal 9 2 5 2 2 3" xfId="55418"/>
    <cellStyle name="Normal 9 2 5 2 2 4" xfId="55419"/>
    <cellStyle name="Normal 9 2 5 2 2 5" xfId="55420"/>
    <cellStyle name="Normal 9 2 5 2 3" xfId="55421"/>
    <cellStyle name="Normal 9 2 5 2 3 2" xfId="55422"/>
    <cellStyle name="Normal 9 2 5 2 4" xfId="55423"/>
    <cellStyle name="Normal 9 2 5 2 4 2" xfId="55424"/>
    <cellStyle name="Normal 9 2 5 2 5" xfId="55425"/>
    <cellStyle name="Normal 9 2 5 2 5 2" xfId="55426"/>
    <cellStyle name="Normal 9 2 5 2 6" xfId="55427"/>
    <cellStyle name="Normal 9 2 5 2 6 2" xfId="55428"/>
    <cellStyle name="Normal 9 2 5 2 7" xfId="55429"/>
    <cellStyle name="Normal 9 2 5 2 8" xfId="55430"/>
    <cellStyle name="Normal 9 2 5 2 9" xfId="55431"/>
    <cellStyle name="Normal 9 2 5 3" xfId="55432"/>
    <cellStyle name="Normal 9 2 5 3 2" xfId="55433"/>
    <cellStyle name="Normal 9 2 5 3 2 2" xfId="55434"/>
    <cellStyle name="Normal 9 2 5 3 3" xfId="55435"/>
    <cellStyle name="Normal 9 2 5 3 4" xfId="55436"/>
    <cellStyle name="Normal 9 2 5 3 5" xfId="55437"/>
    <cellStyle name="Normal 9 2 5 4" xfId="55438"/>
    <cellStyle name="Normal 9 2 5 4 2" xfId="55439"/>
    <cellStyle name="Normal 9 2 5 5" xfId="55440"/>
    <cellStyle name="Normal 9 2 5 5 2" xfId="55441"/>
    <cellStyle name="Normal 9 2 5 6" xfId="55442"/>
    <cellStyle name="Normal 9 2 5 6 2" xfId="55443"/>
    <cellStyle name="Normal 9 2 5 7" xfId="55444"/>
    <cellStyle name="Normal 9 2 5 7 2" xfId="55445"/>
    <cellStyle name="Normal 9 2 5 8" xfId="55446"/>
    <cellStyle name="Normal 9 2 5 9" xfId="55447"/>
    <cellStyle name="Normal 9 2 6" xfId="55448"/>
    <cellStyle name="Normal 9 2 6 10" xfId="55449"/>
    <cellStyle name="Normal 9 2 6 11" xfId="55450"/>
    <cellStyle name="Normal 9 2 6 12" xfId="55451"/>
    <cellStyle name="Normal 9 2 6 13" xfId="55452"/>
    <cellStyle name="Normal 9 2 6 14" xfId="55453"/>
    <cellStyle name="Normal 9 2 6 15" xfId="55454"/>
    <cellStyle name="Normal 9 2 6 16" xfId="55455"/>
    <cellStyle name="Normal 9 2 6 17" xfId="55456"/>
    <cellStyle name="Normal 9 2 6 18" xfId="55457"/>
    <cellStyle name="Normal 9 2 6 2" xfId="55458"/>
    <cellStyle name="Normal 9 2 6 2 10" xfId="55459"/>
    <cellStyle name="Normal 9 2 6 2 11" xfId="55460"/>
    <cellStyle name="Normal 9 2 6 2 12" xfId="55461"/>
    <cellStyle name="Normal 9 2 6 2 13" xfId="55462"/>
    <cellStyle name="Normal 9 2 6 2 2" xfId="55463"/>
    <cellStyle name="Normal 9 2 6 2 2 2" xfId="55464"/>
    <cellStyle name="Normal 9 2 6 2 2 2 2" xfId="55465"/>
    <cellStyle name="Normal 9 2 6 2 2 3" xfId="55466"/>
    <cellStyle name="Normal 9 2 6 2 2 4" xfId="55467"/>
    <cellStyle name="Normal 9 2 6 2 2 5" xfId="55468"/>
    <cellStyle name="Normal 9 2 6 2 3" xfId="55469"/>
    <cellStyle name="Normal 9 2 6 2 3 2" xfId="55470"/>
    <cellStyle name="Normal 9 2 6 2 4" xfId="55471"/>
    <cellStyle name="Normal 9 2 6 2 4 2" xfId="55472"/>
    <cellStyle name="Normal 9 2 6 2 5" xfId="55473"/>
    <cellStyle name="Normal 9 2 6 2 5 2" xfId="55474"/>
    <cellStyle name="Normal 9 2 6 2 6" xfId="55475"/>
    <cellStyle name="Normal 9 2 6 2 6 2" xfId="55476"/>
    <cellStyle name="Normal 9 2 6 2 7" xfId="55477"/>
    <cellStyle name="Normal 9 2 6 2 8" xfId="55478"/>
    <cellStyle name="Normal 9 2 6 2 9" xfId="55479"/>
    <cellStyle name="Normal 9 2 6 3" xfId="55480"/>
    <cellStyle name="Normal 9 2 6 3 2" xfId="55481"/>
    <cellStyle name="Normal 9 2 6 3 2 2" xfId="55482"/>
    <cellStyle name="Normal 9 2 6 3 3" xfId="55483"/>
    <cellStyle name="Normal 9 2 6 3 4" xfId="55484"/>
    <cellStyle name="Normal 9 2 6 3 5" xfId="55485"/>
    <cellStyle name="Normal 9 2 6 4" xfId="55486"/>
    <cellStyle name="Normal 9 2 6 4 2" xfId="55487"/>
    <cellStyle name="Normal 9 2 6 5" xfId="55488"/>
    <cellStyle name="Normal 9 2 6 5 2" xfId="55489"/>
    <cellStyle name="Normal 9 2 6 6" xfId="55490"/>
    <cellStyle name="Normal 9 2 6 6 2" xfId="55491"/>
    <cellStyle name="Normal 9 2 6 7" xfId="55492"/>
    <cellStyle name="Normal 9 2 6 7 2" xfId="55493"/>
    <cellStyle name="Normal 9 2 6 8" xfId="55494"/>
    <cellStyle name="Normal 9 2 6 9" xfId="55495"/>
    <cellStyle name="Normal 9 2 7" xfId="55496"/>
    <cellStyle name="Normal 9 2 7 10" xfId="55497"/>
    <cellStyle name="Normal 9 2 7 11" xfId="55498"/>
    <cellStyle name="Normal 9 2 7 12" xfId="55499"/>
    <cellStyle name="Normal 9 2 7 13" xfId="55500"/>
    <cellStyle name="Normal 9 2 7 14" xfId="55501"/>
    <cellStyle name="Normal 9 2 7 15" xfId="55502"/>
    <cellStyle name="Normal 9 2 7 16" xfId="55503"/>
    <cellStyle name="Normal 9 2 7 17" xfId="55504"/>
    <cellStyle name="Normal 9 2 7 18" xfId="55505"/>
    <cellStyle name="Normal 9 2 7 2" xfId="55506"/>
    <cellStyle name="Normal 9 2 7 2 10" xfId="55507"/>
    <cellStyle name="Normal 9 2 7 2 11" xfId="55508"/>
    <cellStyle name="Normal 9 2 7 2 12" xfId="55509"/>
    <cellStyle name="Normal 9 2 7 2 13" xfId="55510"/>
    <cellStyle name="Normal 9 2 7 2 2" xfId="55511"/>
    <cellStyle name="Normal 9 2 7 2 2 2" xfId="55512"/>
    <cellStyle name="Normal 9 2 7 2 2 2 2" xfId="55513"/>
    <cellStyle name="Normal 9 2 7 2 2 3" xfId="55514"/>
    <cellStyle name="Normal 9 2 7 2 2 4" xfId="55515"/>
    <cellStyle name="Normal 9 2 7 2 2 5" xfId="55516"/>
    <cellStyle name="Normal 9 2 7 2 3" xfId="55517"/>
    <cellStyle name="Normal 9 2 7 2 3 2" xfId="55518"/>
    <cellStyle name="Normal 9 2 7 2 4" xfId="55519"/>
    <cellStyle name="Normal 9 2 7 2 4 2" xfId="55520"/>
    <cellStyle name="Normal 9 2 7 2 5" xfId="55521"/>
    <cellStyle name="Normal 9 2 7 2 5 2" xfId="55522"/>
    <cellStyle name="Normal 9 2 7 2 6" xfId="55523"/>
    <cellStyle name="Normal 9 2 7 2 6 2" xfId="55524"/>
    <cellStyle name="Normal 9 2 7 2 7" xfId="55525"/>
    <cellStyle name="Normal 9 2 7 2 8" xfId="55526"/>
    <cellStyle name="Normal 9 2 7 2 9" xfId="55527"/>
    <cellStyle name="Normal 9 2 7 3" xfId="55528"/>
    <cellStyle name="Normal 9 2 7 3 2" xfId="55529"/>
    <cellStyle name="Normal 9 2 7 3 2 2" xfId="55530"/>
    <cellStyle name="Normal 9 2 7 3 3" xfId="55531"/>
    <cellStyle name="Normal 9 2 7 3 4" xfId="55532"/>
    <cellStyle name="Normal 9 2 7 3 5" xfId="55533"/>
    <cellStyle name="Normal 9 2 7 4" xfId="55534"/>
    <cellStyle name="Normal 9 2 7 4 2" xfId="55535"/>
    <cellStyle name="Normal 9 2 7 5" xfId="55536"/>
    <cellStyle name="Normal 9 2 7 5 2" xfId="55537"/>
    <cellStyle name="Normal 9 2 7 6" xfId="55538"/>
    <cellStyle name="Normal 9 2 7 6 2" xfId="55539"/>
    <cellStyle name="Normal 9 2 7 7" xfId="55540"/>
    <cellStyle name="Normal 9 2 7 7 2" xfId="55541"/>
    <cellStyle name="Normal 9 2 7 8" xfId="55542"/>
    <cellStyle name="Normal 9 2 7 9" xfId="55543"/>
    <cellStyle name="Normal 9 2 8" xfId="55544"/>
    <cellStyle name="Normal 9 2 8 10" xfId="55545"/>
    <cellStyle name="Normal 9 2 8 11" xfId="55546"/>
    <cellStyle name="Normal 9 2 8 12" xfId="55547"/>
    <cellStyle name="Normal 9 2 8 13" xfId="55548"/>
    <cellStyle name="Normal 9 2 8 14" xfId="55549"/>
    <cellStyle name="Normal 9 2 8 15" xfId="55550"/>
    <cellStyle name="Normal 9 2 8 16" xfId="55551"/>
    <cellStyle name="Normal 9 2 8 2" xfId="55552"/>
    <cellStyle name="Normal 9 2 8 2 2" xfId="55553"/>
    <cellStyle name="Normal 9 2 8 2 2 2" xfId="55554"/>
    <cellStyle name="Normal 9 2 8 2 3" xfId="55555"/>
    <cellStyle name="Normal 9 2 8 2 3 2" xfId="55556"/>
    <cellStyle name="Normal 9 2 8 2 4" xfId="55557"/>
    <cellStyle name="Normal 9 2 8 2 4 2" xfId="55558"/>
    <cellStyle name="Normal 9 2 8 2 5" xfId="55559"/>
    <cellStyle name="Normal 9 2 8 2 5 2" xfId="55560"/>
    <cellStyle name="Normal 9 2 8 2 6" xfId="55561"/>
    <cellStyle name="Normal 9 2 8 2 7" xfId="55562"/>
    <cellStyle name="Normal 9 2 8 2 8" xfId="55563"/>
    <cellStyle name="Normal 9 2 8 2 9" xfId="55564"/>
    <cellStyle name="Normal 9 2 8 3" xfId="55565"/>
    <cellStyle name="Normal 9 2 8 3 2" xfId="55566"/>
    <cellStyle name="Normal 9 2 8 3 2 2" xfId="55567"/>
    <cellStyle name="Normal 9 2 8 3 3" xfId="55568"/>
    <cellStyle name="Normal 9 2 8 3 4" xfId="55569"/>
    <cellStyle name="Normal 9 2 8 3 5" xfId="55570"/>
    <cellStyle name="Normal 9 2 8 4" xfId="55571"/>
    <cellStyle name="Normal 9 2 8 4 2" xfId="55572"/>
    <cellStyle name="Normal 9 2 8 5" xfId="55573"/>
    <cellStyle name="Normal 9 2 8 5 2" xfId="55574"/>
    <cellStyle name="Normal 9 2 8 6" xfId="55575"/>
    <cellStyle name="Normal 9 2 8 6 2" xfId="55576"/>
    <cellStyle name="Normal 9 2 8 7" xfId="55577"/>
    <cellStyle name="Normal 9 2 8 7 2" xfId="55578"/>
    <cellStyle name="Normal 9 2 8 8" xfId="55579"/>
    <cellStyle name="Normal 9 2 8 9" xfId="55580"/>
    <cellStyle name="Normal 9 2 9" xfId="55581"/>
    <cellStyle name="Normal 9 2 9 10" xfId="55582"/>
    <cellStyle name="Normal 9 2 9 11" xfId="55583"/>
    <cellStyle name="Normal 9 2 9 12" xfId="55584"/>
    <cellStyle name="Normal 9 2 9 13" xfId="55585"/>
    <cellStyle name="Normal 9 2 9 14" xfId="55586"/>
    <cellStyle name="Normal 9 2 9 15" xfId="55587"/>
    <cellStyle name="Normal 9 2 9 16" xfId="55588"/>
    <cellStyle name="Normal 9 2 9 2" xfId="55589"/>
    <cellStyle name="Normal 9 2 9 2 2" xfId="55590"/>
    <cellStyle name="Normal 9 2 9 2 2 2" xfId="55591"/>
    <cellStyle name="Normal 9 2 9 2 3" xfId="55592"/>
    <cellStyle name="Normal 9 2 9 2 3 2" xfId="55593"/>
    <cellStyle name="Normal 9 2 9 2 4" xfId="55594"/>
    <cellStyle name="Normal 9 2 9 2 4 2" xfId="55595"/>
    <cellStyle name="Normal 9 2 9 2 5" xfId="55596"/>
    <cellStyle name="Normal 9 2 9 2 5 2" xfId="55597"/>
    <cellStyle name="Normal 9 2 9 2 6" xfId="55598"/>
    <cellStyle name="Normal 9 2 9 2 7" xfId="55599"/>
    <cellStyle name="Normal 9 2 9 2 8" xfId="55600"/>
    <cellStyle name="Normal 9 2 9 2 9" xfId="55601"/>
    <cellStyle name="Normal 9 2 9 3" xfId="55602"/>
    <cellStyle name="Normal 9 2 9 3 2" xfId="55603"/>
    <cellStyle name="Normal 9 2 9 3 2 2" xfId="55604"/>
    <cellStyle name="Normal 9 2 9 3 3" xfId="55605"/>
    <cellStyle name="Normal 9 2 9 3 4" xfId="55606"/>
    <cellStyle name="Normal 9 2 9 3 5" xfId="55607"/>
    <cellStyle name="Normal 9 2 9 4" xfId="55608"/>
    <cellStyle name="Normal 9 2 9 4 2" xfId="55609"/>
    <cellStyle name="Normal 9 2 9 5" xfId="55610"/>
    <cellStyle name="Normal 9 2 9 5 2" xfId="55611"/>
    <cellStyle name="Normal 9 2 9 6" xfId="55612"/>
    <cellStyle name="Normal 9 2 9 6 2" xfId="55613"/>
    <cellStyle name="Normal 9 2 9 7" xfId="55614"/>
    <cellStyle name="Normal 9 2 9 7 2" xfId="55615"/>
    <cellStyle name="Normal 9 2 9 8" xfId="55616"/>
    <cellStyle name="Normal 9 2 9 9" xfId="55617"/>
    <cellStyle name="Normal 9 20" xfId="55618"/>
    <cellStyle name="Normal 9 20 2" xfId="55619"/>
    <cellStyle name="Normal 9 20 2 2" xfId="55620"/>
    <cellStyle name="Normal 9 20 3" xfId="55621"/>
    <cellStyle name="Normal 9 20 3 2" xfId="55622"/>
    <cellStyle name="Normal 9 20 4" xfId="55623"/>
    <cellStyle name="Normal 9 20 4 2" xfId="55624"/>
    <cellStyle name="Normal 9 20 5" xfId="55625"/>
    <cellStyle name="Normal 9 20 5 2" xfId="55626"/>
    <cellStyle name="Normal 9 20 6" xfId="55627"/>
    <cellStyle name="Normal 9 20 7" xfId="55628"/>
    <cellStyle name="Normal 9 20 8" xfId="55629"/>
    <cellStyle name="Normal 9 20 9" xfId="55630"/>
    <cellStyle name="Normal 9 21" xfId="55631"/>
    <cellStyle name="Normal 9 21 2" xfId="55632"/>
    <cellStyle name="Normal 9 21 2 2" xfId="55633"/>
    <cellStyle name="Normal 9 21 3" xfId="55634"/>
    <cellStyle name="Normal 9 21 4" xfId="55635"/>
    <cellStyle name="Normal 9 21 5" xfId="55636"/>
    <cellStyle name="Normal 9 22" xfId="55637"/>
    <cellStyle name="Normal 9 22 2" xfId="55638"/>
    <cellStyle name="Normal 9 23" xfId="55639"/>
    <cellStyle name="Normal 9 23 2" xfId="55640"/>
    <cellStyle name="Normal 9 24" xfId="55641"/>
    <cellStyle name="Normal 9 24 2" xfId="55642"/>
    <cellStyle name="Normal 9 25" xfId="55643"/>
    <cellStyle name="Normal 9 25 2" xfId="55644"/>
    <cellStyle name="Normal 9 26" xfId="55645"/>
    <cellStyle name="Normal 9 27" xfId="55646"/>
    <cellStyle name="Normal 9 28" xfId="55647"/>
    <cellStyle name="Normal 9 29" xfId="55648"/>
    <cellStyle name="Normal 9 3" xfId="1018"/>
    <cellStyle name="Normal 9 3 10" xfId="55650"/>
    <cellStyle name="Normal 9 3 10 10" xfId="55651"/>
    <cellStyle name="Normal 9 3 10 11" xfId="55652"/>
    <cellStyle name="Normal 9 3 10 12" xfId="55653"/>
    <cellStyle name="Normal 9 3 10 13" xfId="55654"/>
    <cellStyle name="Normal 9 3 10 14" xfId="55655"/>
    <cellStyle name="Normal 9 3 10 2" xfId="55656"/>
    <cellStyle name="Normal 9 3 10 2 2" xfId="55657"/>
    <cellStyle name="Normal 9 3 10 2 2 2" xfId="55658"/>
    <cellStyle name="Normal 9 3 10 2 3" xfId="55659"/>
    <cellStyle name="Normal 9 3 10 2 3 2" xfId="55660"/>
    <cellStyle name="Normal 9 3 10 2 4" xfId="55661"/>
    <cellStyle name="Normal 9 3 10 2 4 2" xfId="55662"/>
    <cellStyle name="Normal 9 3 10 2 5" xfId="55663"/>
    <cellStyle name="Normal 9 3 10 2 5 2" xfId="55664"/>
    <cellStyle name="Normal 9 3 10 2 6" xfId="55665"/>
    <cellStyle name="Normal 9 3 10 2 7" xfId="55666"/>
    <cellStyle name="Normal 9 3 10 2 8" xfId="55667"/>
    <cellStyle name="Normal 9 3 10 2 9" xfId="55668"/>
    <cellStyle name="Normal 9 3 10 3" xfId="55669"/>
    <cellStyle name="Normal 9 3 10 3 2" xfId="55670"/>
    <cellStyle name="Normal 9 3 10 3 2 2" xfId="55671"/>
    <cellStyle name="Normal 9 3 10 3 3" xfId="55672"/>
    <cellStyle name="Normal 9 3 10 3 4" xfId="55673"/>
    <cellStyle name="Normal 9 3 10 3 5" xfId="55674"/>
    <cellStyle name="Normal 9 3 10 4" xfId="55675"/>
    <cellStyle name="Normal 9 3 10 4 2" xfId="55676"/>
    <cellStyle name="Normal 9 3 10 5" xfId="55677"/>
    <cellStyle name="Normal 9 3 10 5 2" xfId="55678"/>
    <cellStyle name="Normal 9 3 10 6" xfId="55679"/>
    <cellStyle name="Normal 9 3 10 6 2" xfId="55680"/>
    <cellStyle name="Normal 9 3 10 7" xfId="55681"/>
    <cellStyle name="Normal 9 3 10 7 2" xfId="55682"/>
    <cellStyle name="Normal 9 3 10 8" xfId="55683"/>
    <cellStyle name="Normal 9 3 10 9" xfId="55684"/>
    <cellStyle name="Normal 9 3 11" xfId="55685"/>
    <cellStyle name="Normal 9 3 11 2" xfId="55686"/>
    <cellStyle name="Normal 9 3 11 2 2" xfId="55687"/>
    <cellStyle name="Normal 9 3 11 3" xfId="55688"/>
    <cellStyle name="Normal 9 3 11 3 2" xfId="55689"/>
    <cellStyle name="Normal 9 3 11 4" xfId="55690"/>
    <cellStyle name="Normal 9 3 11 4 2" xfId="55691"/>
    <cellStyle name="Normal 9 3 11 5" xfId="55692"/>
    <cellStyle name="Normal 9 3 11 5 2" xfId="55693"/>
    <cellStyle name="Normal 9 3 11 6" xfId="55694"/>
    <cellStyle name="Normal 9 3 11 7" xfId="55695"/>
    <cellStyle name="Normal 9 3 11 8" xfId="55696"/>
    <cellStyle name="Normal 9 3 11 9" xfId="55697"/>
    <cellStyle name="Normal 9 3 12" xfId="55698"/>
    <cellStyle name="Normal 9 3 12 2" xfId="55699"/>
    <cellStyle name="Normal 9 3 12 2 2" xfId="55700"/>
    <cellStyle name="Normal 9 3 12 3" xfId="55701"/>
    <cellStyle name="Normal 9 3 12 4" xfId="55702"/>
    <cellStyle name="Normal 9 3 12 5" xfId="55703"/>
    <cellStyle name="Normal 9 3 13" xfId="55704"/>
    <cellStyle name="Normal 9 3 13 2" xfId="55705"/>
    <cellStyle name="Normal 9 3 14" xfId="55706"/>
    <cellStyle name="Normal 9 3 14 2" xfId="55707"/>
    <cellStyle name="Normal 9 3 15" xfId="55708"/>
    <cellStyle name="Normal 9 3 15 2" xfId="55709"/>
    <cellStyle name="Normal 9 3 16" xfId="55710"/>
    <cellStyle name="Normal 9 3 16 2" xfId="55711"/>
    <cellStyle name="Normal 9 3 17" xfId="55712"/>
    <cellStyle name="Normal 9 3 18" xfId="55713"/>
    <cellStyle name="Normal 9 3 19" xfId="55714"/>
    <cellStyle name="Normal 9 3 2" xfId="55649"/>
    <cellStyle name="Normal 9 3 2 10" xfId="55715"/>
    <cellStyle name="Normal 9 3 2 10 2" xfId="55716"/>
    <cellStyle name="Normal 9 3 2 11" xfId="55717"/>
    <cellStyle name="Normal 9 3 2 11 2" xfId="55718"/>
    <cellStyle name="Normal 9 3 2 12" xfId="55719"/>
    <cellStyle name="Normal 9 3 2 13" xfId="55720"/>
    <cellStyle name="Normal 9 3 2 14" xfId="55721"/>
    <cellStyle name="Normal 9 3 2 15" xfId="55722"/>
    <cellStyle name="Normal 9 3 2 16" xfId="55723"/>
    <cellStyle name="Normal 9 3 2 17" xfId="55724"/>
    <cellStyle name="Normal 9 3 2 18" xfId="55725"/>
    <cellStyle name="Normal 9 3 2 19" xfId="55726"/>
    <cellStyle name="Normal 9 3 2 2" xfId="55727"/>
    <cellStyle name="Normal 9 3 2 2 10" xfId="55728"/>
    <cellStyle name="Normal 9 3 2 2 11" xfId="55729"/>
    <cellStyle name="Normal 9 3 2 2 12" xfId="55730"/>
    <cellStyle name="Normal 9 3 2 2 13" xfId="55731"/>
    <cellStyle name="Normal 9 3 2 2 14" xfId="55732"/>
    <cellStyle name="Normal 9 3 2 2 15" xfId="55733"/>
    <cellStyle name="Normal 9 3 2 2 16" xfId="55734"/>
    <cellStyle name="Normal 9 3 2 2 2" xfId="55735"/>
    <cellStyle name="Normal 9 3 2 2 2 2" xfId="55736"/>
    <cellStyle name="Normal 9 3 2 2 2 2 2" xfId="55737"/>
    <cellStyle name="Normal 9 3 2 2 2 3" xfId="55738"/>
    <cellStyle name="Normal 9 3 2 2 2 3 2" xfId="55739"/>
    <cellStyle name="Normal 9 3 2 2 2 4" xfId="55740"/>
    <cellStyle name="Normal 9 3 2 2 2 4 2" xfId="55741"/>
    <cellStyle name="Normal 9 3 2 2 2 5" xfId="55742"/>
    <cellStyle name="Normal 9 3 2 2 2 5 2" xfId="55743"/>
    <cellStyle name="Normal 9 3 2 2 2 6" xfId="55744"/>
    <cellStyle name="Normal 9 3 2 2 2 7" xfId="55745"/>
    <cellStyle name="Normal 9 3 2 2 2 8" xfId="55746"/>
    <cellStyle name="Normal 9 3 2 2 2 9" xfId="55747"/>
    <cellStyle name="Normal 9 3 2 2 3" xfId="55748"/>
    <cellStyle name="Normal 9 3 2 2 3 2" xfId="55749"/>
    <cellStyle name="Normal 9 3 2 2 3 2 2" xfId="55750"/>
    <cellStyle name="Normal 9 3 2 2 3 3" xfId="55751"/>
    <cellStyle name="Normal 9 3 2 2 3 4" xfId="55752"/>
    <cellStyle name="Normal 9 3 2 2 3 5" xfId="55753"/>
    <cellStyle name="Normal 9 3 2 2 4" xfId="55754"/>
    <cellStyle name="Normal 9 3 2 2 4 2" xfId="55755"/>
    <cellStyle name="Normal 9 3 2 2 5" xfId="55756"/>
    <cellStyle name="Normal 9 3 2 2 5 2" xfId="55757"/>
    <cellStyle name="Normal 9 3 2 2 6" xfId="55758"/>
    <cellStyle name="Normal 9 3 2 2 6 2" xfId="55759"/>
    <cellStyle name="Normal 9 3 2 2 7" xfId="55760"/>
    <cellStyle name="Normal 9 3 2 2 7 2" xfId="55761"/>
    <cellStyle name="Normal 9 3 2 2 8" xfId="55762"/>
    <cellStyle name="Normal 9 3 2 2 9" xfId="55763"/>
    <cellStyle name="Normal 9 3 2 20" xfId="55764"/>
    <cellStyle name="Normal 9 3 2 3" xfId="55765"/>
    <cellStyle name="Normal 9 3 2 3 10" xfId="55766"/>
    <cellStyle name="Normal 9 3 2 3 11" xfId="55767"/>
    <cellStyle name="Normal 9 3 2 3 12" xfId="55768"/>
    <cellStyle name="Normal 9 3 2 3 13" xfId="55769"/>
    <cellStyle name="Normal 9 3 2 3 14" xfId="55770"/>
    <cellStyle name="Normal 9 3 2 3 15" xfId="55771"/>
    <cellStyle name="Normal 9 3 2 3 16" xfId="55772"/>
    <cellStyle name="Normal 9 3 2 3 2" xfId="55773"/>
    <cellStyle name="Normal 9 3 2 3 2 2" xfId="55774"/>
    <cellStyle name="Normal 9 3 2 3 2 2 2" xfId="55775"/>
    <cellStyle name="Normal 9 3 2 3 2 3" xfId="55776"/>
    <cellStyle name="Normal 9 3 2 3 2 3 2" xfId="55777"/>
    <cellStyle name="Normal 9 3 2 3 2 4" xfId="55778"/>
    <cellStyle name="Normal 9 3 2 3 2 4 2" xfId="55779"/>
    <cellStyle name="Normal 9 3 2 3 2 5" xfId="55780"/>
    <cellStyle name="Normal 9 3 2 3 2 5 2" xfId="55781"/>
    <cellStyle name="Normal 9 3 2 3 2 6" xfId="55782"/>
    <cellStyle name="Normal 9 3 2 3 2 7" xfId="55783"/>
    <cellStyle name="Normal 9 3 2 3 2 8" xfId="55784"/>
    <cellStyle name="Normal 9 3 2 3 2 9" xfId="55785"/>
    <cellStyle name="Normal 9 3 2 3 3" xfId="55786"/>
    <cellStyle name="Normal 9 3 2 3 3 2" xfId="55787"/>
    <cellStyle name="Normal 9 3 2 3 3 2 2" xfId="55788"/>
    <cellStyle name="Normal 9 3 2 3 3 3" xfId="55789"/>
    <cellStyle name="Normal 9 3 2 3 3 4" xfId="55790"/>
    <cellStyle name="Normal 9 3 2 3 3 5" xfId="55791"/>
    <cellStyle name="Normal 9 3 2 3 4" xfId="55792"/>
    <cellStyle name="Normal 9 3 2 3 4 2" xfId="55793"/>
    <cellStyle name="Normal 9 3 2 3 5" xfId="55794"/>
    <cellStyle name="Normal 9 3 2 3 5 2" xfId="55795"/>
    <cellStyle name="Normal 9 3 2 3 6" xfId="55796"/>
    <cellStyle name="Normal 9 3 2 3 6 2" xfId="55797"/>
    <cellStyle name="Normal 9 3 2 3 7" xfId="55798"/>
    <cellStyle name="Normal 9 3 2 3 7 2" xfId="55799"/>
    <cellStyle name="Normal 9 3 2 3 8" xfId="55800"/>
    <cellStyle name="Normal 9 3 2 3 9" xfId="55801"/>
    <cellStyle name="Normal 9 3 2 4" xfId="55802"/>
    <cellStyle name="Normal 9 3 2 4 10" xfId="55803"/>
    <cellStyle name="Normal 9 3 2 4 11" xfId="55804"/>
    <cellStyle name="Normal 9 3 2 4 12" xfId="55805"/>
    <cellStyle name="Normal 9 3 2 4 13" xfId="55806"/>
    <cellStyle name="Normal 9 3 2 4 14" xfId="55807"/>
    <cellStyle name="Normal 9 3 2 4 15" xfId="55808"/>
    <cellStyle name="Normal 9 3 2 4 2" xfId="55809"/>
    <cellStyle name="Normal 9 3 2 4 2 2" xfId="55810"/>
    <cellStyle name="Normal 9 3 2 4 2 2 2" xfId="55811"/>
    <cellStyle name="Normal 9 3 2 4 2 3" xfId="55812"/>
    <cellStyle name="Normal 9 3 2 4 2 3 2" xfId="55813"/>
    <cellStyle name="Normal 9 3 2 4 2 4" xfId="55814"/>
    <cellStyle name="Normal 9 3 2 4 2 4 2" xfId="55815"/>
    <cellStyle name="Normal 9 3 2 4 2 5" xfId="55816"/>
    <cellStyle name="Normal 9 3 2 4 2 5 2" xfId="55817"/>
    <cellStyle name="Normal 9 3 2 4 2 6" xfId="55818"/>
    <cellStyle name="Normal 9 3 2 4 2 7" xfId="55819"/>
    <cellStyle name="Normal 9 3 2 4 2 8" xfId="55820"/>
    <cellStyle name="Normal 9 3 2 4 2 9" xfId="55821"/>
    <cellStyle name="Normal 9 3 2 4 3" xfId="55822"/>
    <cellStyle name="Normal 9 3 2 4 3 2" xfId="55823"/>
    <cellStyle name="Normal 9 3 2 4 3 2 2" xfId="55824"/>
    <cellStyle name="Normal 9 3 2 4 3 3" xfId="55825"/>
    <cellStyle name="Normal 9 3 2 4 3 4" xfId="55826"/>
    <cellStyle name="Normal 9 3 2 4 3 5" xfId="55827"/>
    <cellStyle name="Normal 9 3 2 4 4" xfId="55828"/>
    <cellStyle name="Normal 9 3 2 4 4 2" xfId="55829"/>
    <cellStyle name="Normal 9 3 2 4 5" xfId="55830"/>
    <cellStyle name="Normal 9 3 2 4 5 2" xfId="55831"/>
    <cellStyle name="Normal 9 3 2 4 6" xfId="55832"/>
    <cellStyle name="Normal 9 3 2 4 6 2" xfId="55833"/>
    <cellStyle name="Normal 9 3 2 4 7" xfId="55834"/>
    <cellStyle name="Normal 9 3 2 4 7 2" xfId="55835"/>
    <cellStyle name="Normal 9 3 2 4 8" xfId="55836"/>
    <cellStyle name="Normal 9 3 2 4 9" xfId="55837"/>
    <cellStyle name="Normal 9 3 2 5" xfId="55838"/>
    <cellStyle name="Normal 9 3 2 5 10" xfId="55839"/>
    <cellStyle name="Normal 9 3 2 5 11" xfId="55840"/>
    <cellStyle name="Normal 9 3 2 5 12" xfId="55841"/>
    <cellStyle name="Normal 9 3 2 5 13" xfId="55842"/>
    <cellStyle name="Normal 9 3 2 5 14" xfId="55843"/>
    <cellStyle name="Normal 9 3 2 5 2" xfId="55844"/>
    <cellStyle name="Normal 9 3 2 5 2 2" xfId="55845"/>
    <cellStyle name="Normal 9 3 2 5 2 2 2" xfId="55846"/>
    <cellStyle name="Normal 9 3 2 5 2 3" xfId="55847"/>
    <cellStyle name="Normal 9 3 2 5 2 3 2" xfId="55848"/>
    <cellStyle name="Normal 9 3 2 5 2 4" xfId="55849"/>
    <cellStyle name="Normal 9 3 2 5 2 4 2" xfId="55850"/>
    <cellStyle name="Normal 9 3 2 5 2 5" xfId="55851"/>
    <cellStyle name="Normal 9 3 2 5 2 5 2" xfId="55852"/>
    <cellStyle name="Normal 9 3 2 5 2 6" xfId="55853"/>
    <cellStyle name="Normal 9 3 2 5 2 7" xfId="55854"/>
    <cellStyle name="Normal 9 3 2 5 2 8" xfId="55855"/>
    <cellStyle name="Normal 9 3 2 5 2 9" xfId="55856"/>
    <cellStyle name="Normal 9 3 2 5 3" xfId="55857"/>
    <cellStyle name="Normal 9 3 2 5 3 2" xfId="55858"/>
    <cellStyle name="Normal 9 3 2 5 3 2 2" xfId="55859"/>
    <cellStyle name="Normal 9 3 2 5 3 3" xfId="55860"/>
    <cellStyle name="Normal 9 3 2 5 3 4" xfId="55861"/>
    <cellStyle name="Normal 9 3 2 5 3 5" xfId="55862"/>
    <cellStyle name="Normal 9 3 2 5 4" xfId="55863"/>
    <cellStyle name="Normal 9 3 2 5 4 2" xfId="55864"/>
    <cellStyle name="Normal 9 3 2 5 5" xfId="55865"/>
    <cellStyle name="Normal 9 3 2 5 5 2" xfId="55866"/>
    <cellStyle name="Normal 9 3 2 5 6" xfId="55867"/>
    <cellStyle name="Normal 9 3 2 5 6 2" xfId="55868"/>
    <cellStyle name="Normal 9 3 2 5 7" xfId="55869"/>
    <cellStyle name="Normal 9 3 2 5 7 2" xfId="55870"/>
    <cellStyle name="Normal 9 3 2 5 8" xfId="55871"/>
    <cellStyle name="Normal 9 3 2 5 9" xfId="55872"/>
    <cellStyle name="Normal 9 3 2 6" xfId="55873"/>
    <cellStyle name="Normal 9 3 2 6 2" xfId="55874"/>
    <cellStyle name="Normal 9 3 2 6 2 2" xfId="55875"/>
    <cellStyle name="Normal 9 3 2 6 3" xfId="55876"/>
    <cellStyle name="Normal 9 3 2 6 3 2" xfId="55877"/>
    <cellStyle name="Normal 9 3 2 6 4" xfId="55878"/>
    <cellStyle name="Normal 9 3 2 6 4 2" xfId="55879"/>
    <cellStyle name="Normal 9 3 2 6 5" xfId="55880"/>
    <cellStyle name="Normal 9 3 2 6 5 2" xfId="55881"/>
    <cellStyle name="Normal 9 3 2 6 6" xfId="55882"/>
    <cellStyle name="Normal 9 3 2 6 7" xfId="55883"/>
    <cellStyle name="Normal 9 3 2 6 8" xfId="55884"/>
    <cellStyle name="Normal 9 3 2 6 9" xfId="55885"/>
    <cellStyle name="Normal 9 3 2 7" xfId="55886"/>
    <cellStyle name="Normal 9 3 2 7 2" xfId="55887"/>
    <cellStyle name="Normal 9 3 2 7 2 2" xfId="55888"/>
    <cellStyle name="Normal 9 3 2 7 3" xfId="55889"/>
    <cellStyle name="Normal 9 3 2 7 4" xfId="55890"/>
    <cellStyle name="Normal 9 3 2 7 5" xfId="55891"/>
    <cellStyle name="Normal 9 3 2 8" xfId="55892"/>
    <cellStyle name="Normal 9 3 2 8 2" xfId="55893"/>
    <cellStyle name="Normal 9 3 2 9" xfId="55894"/>
    <cellStyle name="Normal 9 3 2 9 2" xfId="55895"/>
    <cellStyle name="Normal 9 3 20" xfId="55896"/>
    <cellStyle name="Normal 9 3 21" xfId="55897"/>
    <cellStyle name="Normal 9 3 22" xfId="55898"/>
    <cellStyle name="Normal 9 3 23" xfId="55899"/>
    <cellStyle name="Normal 9 3 24" xfId="55900"/>
    <cellStyle name="Normal 9 3 25" xfId="55901"/>
    <cellStyle name="Normal 9 3 3" xfId="55902"/>
    <cellStyle name="Normal 9 3 3 10" xfId="55903"/>
    <cellStyle name="Normal 9 3 3 11" xfId="55904"/>
    <cellStyle name="Normal 9 3 3 12" xfId="55905"/>
    <cellStyle name="Normal 9 3 3 13" xfId="55906"/>
    <cellStyle name="Normal 9 3 3 14" xfId="55907"/>
    <cellStyle name="Normal 9 3 3 15" xfId="55908"/>
    <cellStyle name="Normal 9 3 3 16" xfId="55909"/>
    <cellStyle name="Normal 9 3 3 17" xfId="55910"/>
    <cellStyle name="Normal 9 3 3 18" xfId="55911"/>
    <cellStyle name="Normal 9 3 3 2" xfId="55912"/>
    <cellStyle name="Normal 9 3 3 2 10" xfId="55913"/>
    <cellStyle name="Normal 9 3 3 2 11" xfId="55914"/>
    <cellStyle name="Normal 9 3 3 2 12" xfId="55915"/>
    <cellStyle name="Normal 9 3 3 2 13" xfId="55916"/>
    <cellStyle name="Normal 9 3 3 2 2" xfId="55917"/>
    <cellStyle name="Normal 9 3 3 2 2 2" xfId="55918"/>
    <cellStyle name="Normal 9 3 3 2 2 2 2" xfId="55919"/>
    <cellStyle name="Normal 9 3 3 2 2 3" xfId="55920"/>
    <cellStyle name="Normal 9 3 3 2 2 4" xfId="55921"/>
    <cellStyle name="Normal 9 3 3 2 2 5" xfId="55922"/>
    <cellStyle name="Normal 9 3 3 2 3" xfId="55923"/>
    <cellStyle name="Normal 9 3 3 2 3 2" xfId="55924"/>
    <cellStyle name="Normal 9 3 3 2 4" xfId="55925"/>
    <cellStyle name="Normal 9 3 3 2 4 2" xfId="55926"/>
    <cellStyle name="Normal 9 3 3 2 5" xfId="55927"/>
    <cellStyle name="Normal 9 3 3 2 5 2" xfId="55928"/>
    <cellStyle name="Normal 9 3 3 2 6" xfId="55929"/>
    <cellStyle name="Normal 9 3 3 2 6 2" xfId="55930"/>
    <cellStyle name="Normal 9 3 3 2 7" xfId="55931"/>
    <cellStyle name="Normal 9 3 3 2 8" xfId="55932"/>
    <cellStyle name="Normal 9 3 3 2 9" xfId="55933"/>
    <cellStyle name="Normal 9 3 3 3" xfId="55934"/>
    <cellStyle name="Normal 9 3 3 3 2" xfId="55935"/>
    <cellStyle name="Normal 9 3 3 3 2 2" xfId="55936"/>
    <cellStyle name="Normal 9 3 3 3 3" xfId="55937"/>
    <cellStyle name="Normal 9 3 3 3 4" xfId="55938"/>
    <cellStyle name="Normal 9 3 3 3 5" xfId="55939"/>
    <cellStyle name="Normal 9 3 3 4" xfId="55940"/>
    <cellStyle name="Normal 9 3 3 4 2" xfId="55941"/>
    <cellStyle name="Normal 9 3 3 5" xfId="55942"/>
    <cellStyle name="Normal 9 3 3 5 2" xfId="55943"/>
    <cellStyle name="Normal 9 3 3 6" xfId="55944"/>
    <cellStyle name="Normal 9 3 3 6 2" xfId="55945"/>
    <cellStyle name="Normal 9 3 3 7" xfId="55946"/>
    <cellStyle name="Normal 9 3 3 7 2" xfId="55947"/>
    <cellStyle name="Normal 9 3 3 8" xfId="55948"/>
    <cellStyle name="Normal 9 3 3 9" xfId="55949"/>
    <cellStyle name="Normal 9 3 4" xfId="55950"/>
    <cellStyle name="Normal 9 3 4 10" xfId="55951"/>
    <cellStyle name="Normal 9 3 4 11" xfId="55952"/>
    <cellStyle name="Normal 9 3 4 12" xfId="55953"/>
    <cellStyle name="Normal 9 3 4 13" xfId="55954"/>
    <cellStyle name="Normal 9 3 4 14" xfId="55955"/>
    <cellStyle name="Normal 9 3 4 15" xfId="55956"/>
    <cellStyle name="Normal 9 3 4 16" xfId="55957"/>
    <cellStyle name="Normal 9 3 4 17" xfId="55958"/>
    <cellStyle name="Normal 9 3 4 18" xfId="55959"/>
    <cellStyle name="Normal 9 3 4 2" xfId="55960"/>
    <cellStyle name="Normal 9 3 4 2 10" xfId="55961"/>
    <cellStyle name="Normal 9 3 4 2 11" xfId="55962"/>
    <cellStyle name="Normal 9 3 4 2 12" xfId="55963"/>
    <cellStyle name="Normal 9 3 4 2 13" xfId="55964"/>
    <cellStyle name="Normal 9 3 4 2 2" xfId="55965"/>
    <cellStyle name="Normal 9 3 4 2 2 2" xfId="55966"/>
    <cellStyle name="Normal 9 3 4 2 2 2 2" xfId="55967"/>
    <cellStyle name="Normal 9 3 4 2 2 3" xfId="55968"/>
    <cellStyle name="Normal 9 3 4 2 2 4" xfId="55969"/>
    <cellStyle name="Normal 9 3 4 2 2 5" xfId="55970"/>
    <cellStyle name="Normal 9 3 4 2 3" xfId="55971"/>
    <cellStyle name="Normal 9 3 4 2 3 2" xfId="55972"/>
    <cellStyle name="Normal 9 3 4 2 4" xfId="55973"/>
    <cellStyle name="Normal 9 3 4 2 4 2" xfId="55974"/>
    <cellStyle name="Normal 9 3 4 2 5" xfId="55975"/>
    <cellStyle name="Normal 9 3 4 2 5 2" xfId="55976"/>
    <cellStyle name="Normal 9 3 4 2 6" xfId="55977"/>
    <cellStyle name="Normal 9 3 4 2 6 2" xfId="55978"/>
    <cellStyle name="Normal 9 3 4 2 7" xfId="55979"/>
    <cellStyle name="Normal 9 3 4 2 8" xfId="55980"/>
    <cellStyle name="Normal 9 3 4 2 9" xfId="55981"/>
    <cellStyle name="Normal 9 3 4 3" xfId="55982"/>
    <cellStyle name="Normal 9 3 4 3 2" xfId="55983"/>
    <cellStyle name="Normal 9 3 4 3 2 2" xfId="55984"/>
    <cellStyle name="Normal 9 3 4 3 3" xfId="55985"/>
    <cellStyle name="Normal 9 3 4 3 4" xfId="55986"/>
    <cellStyle name="Normal 9 3 4 3 5" xfId="55987"/>
    <cellStyle name="Normal 9 3 4 4" xfId="55988"/>
    <cellStyle name="Normal 9 3 4 4 2" xfId="55989"/>
    <cellStyle name="Normal 9 3 4 5" xfId="55990"/>
    <cellStyle name="Normal 9 3 4 5 2" xfId="55991"/>
    <cellStyle name="Normal 9 3 4 6" xfId="55992"/>
    <cellStyle name="Normal 9 3 4 6 2" xfId="55993"/>
    <cellStyle name="Normal 9 3 4 7" xfId="55994"/>
    <cellStyle name="Normal 9 3 4 7 2" xfId="55995"/>
    <cellStyle name="Normal 9 3 4 8" xfId="55996"/>
    <cellStyle name="Normal 9 3 4 9" xfId="55997"/>
    <cellStyle name="Normal 9 3 5" xfId="55998"/>
    <cellStyle name="Normal 9 3 5 10" xfId="55999"/>
    <cellStyle name="Normal 9 3 5 11" xfId="56000"/>
    <cellStyle name="Normal 9 3 5 12" xfId="56001"/>
    <cellStyle name="Normal 9 3 5 13" xfId="56002"/>
    <cellStyle name="Normal 9 3 5 14" xfId="56003"/>
    <cellStyle name="Normal 9 3 5 15" xfId="56004"/>
    <cellStyle name="Normal 9 3 5 16" xfId="56005"/>
    <cellStyle name="Normal 9 3 5 17" xfId="56006"/>
    <cellStyle name="Normal 9 3 5 18" xfId="56007"/>
    <cellStyle name="Normal 9 3 5 2" xfId="56008"/>
    <cellStyle name="Normal 9 3 5 2 10" xfId="56009"/>
    <cellStyle name="Normal 9 3 5 2 11" xfId="56010"/>
    <cellStyle name="Normal 9 3 5 2 12" xfId="56011"/>
    <cellStyle name="Normal 9 3 5 2 13" xfId="56012"/>
    <cellStyle name="Normal 9 3 5 2 2" xfId="56013"/>
    <cellStyle name="Normal 9 3 5 2 2 2" xfId="56014"/>
    <cellStyle name="Normal 9 3 5 2 2 2 2" xfId="56015"/>
    <cellStyle name="Normal 9 3 5 2 2 3" xfId="56016"/>
    <cellStyle name="Normal 9 3 5 2 2 4" xfId="56017"/>
    <cellStyle name="Normal 9 3 5 2 2 5" xfId="56018"/>
    <cellStyle name="Normal 9 3 5 2 3" xfId="56019"/>
    <cellStyle name="Normal 9 3 5 2 3 2" xfId="56020"/>
    <cellStyle name="Normal 9 3 5 2 4" xfId="56021"/>
    <cellStyle name="Normal 9 3 5 2 4 2" xfId="56022"/>
    <cellStyle name="Normal 9 3 5 2 5" xfId="56023"/>
    <cellStyle name="Normal 9 3 5 2 5 2" xfId="56024"/>
    <cellStyle name="Normal 9 3 5 2 6" xfId="56025"/>
    <cellStyle name="Normal 9 3 5 2 6 2" xfId="56026"/>
    <cellStyle name="Normal 9 3 5 2 7" xfId="56027"/>
    <cellStyle name="Normal 9 3 5 2 8" xfId="56028"/>
    <cellStyle name="Normal 9 3 5 2 9" xfId="56029"/>
    <cellStyle name="Normal 9 3 5 3" xfId="56030"/>
    <cellStyle name="Normal 9 3 5 3 2" xfId="56031"/>
    <cellStyle name="Normal 9 3 5 3 2 2" xfId="56032"/>
    <cellStyle name="Normal 9 3 5 3 3" xfId="56033"/>
    <cellStyle name="Normal 9 3 5 3 4" xfId="56034"/>
    <cellStyle name="Normal 9 3 5 3 5" xfId="56035"/>
    <cellStyle name="Normal 9 3 5 4" xfId="56036"/>
    <cellStyle name="Normal 9 3 5 4 2" xfId="56037"/>
    <cellStyle name="Normal 9 3 5 5" xfId="56038"/>
    <cellStyle name="Normal 9 3 5 5 2" xfId="56039"/>
    <cellStyle name="Normal 9 3 5 6" xfId="56040"/>
    <cellStyle name="Normal 9 3 5 6 2" xfId="56041"/>
    <cellStyle name="Normal 9 3 5 7" xfId="56042"/>
    <cellStyle name="Normal 9 3 5 7 2" xfId="56043"/>
    <cellStyle name="Normal 9 3 5 8" xfId="56044"/>
    <cellStyle name="Normal 9 3 5 9" xfId="56045"/>
    <cellStyle name="Normal 9 3 6" xfId="56046"/>
    <cellStyle name="Normal 9 3 6 10" xfId="56047"/>
    <cellStyle name="Normal 9 3 6 11" xfId="56048"/>
    <cellStyle name="Normal 9 3 6 12" xfId="56049"/>
    <cellStyle name="Normal 9 3 6 13" xfId="56050"/>
    <cellStyle name="Normal 9 3 6 14" xfId="56051"/>
    <cellStyle name="Normal 9 3 6 15" xfId="56052"/>
    <cellStyle name="Normal 9 3 6 16" xfId="56053"/>
    <cellStyle name="Normal 9 3 6 17" xfId="56054"/>
    <cellStyle name="Normal 9 3 6 18" xfId="56055"/>
    <cellStyle name="Normal 9 3 6 2" xfId="56056"/>
    <cellStyle name="Normal 9 3 6 2 10" xfId="56057"/>
    <cellStyle name="Normal 9 3 6 2 11" xfId="56058"/>
    <cellStyle name="Normal 9 3 6 2 12" xfId="56059"/>
    <cellStyle name="Normal 9 3 6 2 13" xfId="56060"/>
    <cellStyle name="Normal 9 3 6 2 2" xfId="56061"/>
    <cellStyle name="Normal 9 3 6 2 2 2" xfId="56062"/>
    <cellStyle name="Normal 9 3 6 2 2 2 2" xfId="56063"/>
    <cellStyle name="Normal 9 3 6 2 2 3" xfId="56064"/>
    <cellStyle name="Normal 9 3 6 2 2 4" xfId="56065"/>
    <cellStyle name="Normal 9 3 6 2 2 5" xfId="56066"/>
    <cellStyle name="Normal 9 3 6 2 3" xfId="56067"/>
    <cellStyle name="Normal 9 3 6 2 3 2" xfId="56068"/>
    <cellStyle name="Normal 9 3 6 2 4" xfId="56069"/>
    <cellStyle name="Normal 9 3 6 2 4 2" xfId="56070"/>
    <cellStyle name="Normal 9 3 6 2 5" xfId="56071"/>
    <cellStyle name="Normal 9 3 6 2 5 2" xfId="56072"/>
    <cellStyle name="Normal 9 3 6 2 6" xfId="56073"/>
    <cellStyle name="Normal 9 3 6 2 6 2" xfId="56074"/>
    <cellStyle name="Normal 9 3 6 2 7" xfId="56075"/>
    <cellStyle name="Normal 9 3 6 2 8" xfId="56076"/>
    <cellStyle name="Normal 9 3 6 2 9" xfId="56077"/>
    <cellStyle name="Normal 9 3 6 3" xfId="56078"/>
    <cellStyle name="Normal 9 3 6 3 2" xfId="56079"/>
    <cellStyle name="Normal 9 3 6 3 2 2" xfId="56080"/>
    <cellStyle name="Normal 9 3 6 3 3" xfId="56081"/>
    <cellStyle name="Normal 9 3 6 3 4" xfId="56082"/>
    <cellStyle name="Normal 9 3 6 3 5" xfId="56083"/>
    <cellStyle name="Normal 9 3 6 4" xfId="56084"/>
    <cellStyle name="Normal 9 3 6 4 2" xfId="56085"/>
    <cellStyle name="Normal 9 3 6 5" xfId="56086"/>
    <cellStyle name="Normal 9 3 6 5 2" xfId="56087"/>
    <cellStyle name="Normal 9 3 6 6" xfId="56088"/>
    <cellStyle name="Normal 9 3 6 6 2" xfId="56089"/>
    <cellStyle name="Normal 9 3 6 7" xfId="56090"/>
    <cellStyle name="Normal 9 3 6 7 2" xfId="56091"/>
    <cellStyle name="Normal 9 3 6 8" xfId="56092"/>
    <cellStyle name="Normal 9 3 6 9" xfId="56093"/>
    <cellStyle name="Normal 9 3 7" xfId="56094"/>
    <cellStyle name="Normal 9 3 7 10" xfId="56095"/>
    <cellStyle name="Normal 9 3 7 11" xfId="56096"/>
    <cellStyle name="Normal 9 3 7 12" xfId="56097"/>
    <cellStyle name="Normal 9 3 7 13" xfId="56098"/>
    <cellStyle name="Normal 9 3 7 14" xfId="56099"/>
    <cellStyle name="Normal 9 3 7 15" xfId="56100"/>
    <cellStyle name="Normal 9 3 7 16" xfId="56101"/>
    <cellStyle name="Normal 9 3 7 17" xfId="56102"/>
    <cellStyle name="Normal 9 3 7 18" xfId="56103"/>
    <cellStyle name="Normal 9 3 7 2" xfId="56104"/>
    <cellStyle name="Normal 9 3 7 2 10" xfId="56105"/>
    <cellStyle name="Normal 9 3 7 2 11" xfId="56106"/>
    <cellStyle name="Normal 9 3 7 2 12" xfId="56107"/>
    <cellStyle name="Normal 9 3 7 2 13" xfId="56108"/>
    <cellStyle name="Normal 9 3 7 2 2" xfId="56109"/>
    <cellStyle name="Normal 9 3 7 2 2 2" xfId="56110"/>
    <cellStyle name="Normal 9 3 7 2 2 2 2" xfId="56111"/>
    <cellStyle name="Normal 9 3 7 2 2 3" xfId="56112"/>
    <cellStyle name="Normal 9 3 7 2 2 4" xfId="56113"/>
    <cellStyle name="Normal 9 3 7 2 2 5" xfId="56114"/>
    <cellStyle name="Normal 9 3 7 2 3" xfId="56115"/>
    <cellStyle name="Normal 9 3 7 2 3 2" xfId="56116"/>
    <cellStyle name="Normal 9 3 7 2 4" xfId="56117"/>
    <cellStyle name="Normal 9 3 7 2 4 2" xfId="56118"/>
    <cellStyle name="Normal 9 3 7 2 5" xfId="56119"/>
    <cellStyle name="Normal 9 3 7 2 5 2" xfId="56120"/>
    <cellStyle name="Normal 9 3 7 2 6" xfId="56121"/>
    <cellStyle name="Normal 9 3 7 2 6 2" xfId="56122"/>
    <cellStyle name="Normal 9 3 7 2 7" xfId="56123"/>
    <cellStyle name="Normal 9 3 7 2 8" xfId="56124"/>
    <cellStyle name="Normal 9 3 7 2 9" xfId="56125"/>
    <cellStyle name="Normal 9 3 7 3" xfId="56126"/>
    <cellStyle name="Normal 9 3 7 3 2" xfId="56127"/>
    <cellStyle name="Normal 9 3 7 3 2 2" xfId="56128"/>
    <cellStyle name="Normal 9 3 7 3 3" xfId="56129"/>
    <cellStyle name="Normal 9 3 7 3 4" xfId="56130"/>
    <cellStyle name="Normal 9 3 7 3 5" xfId="56131"/>
    <cellStyle name="Normal 9 3 7 4" xfId="56132"/>
    <cellStyle name="Normal 9 3 7 4 2" xfId="56133"/>
    <cellStyle name="Normal 9 3 7 5" xfId="56134"/>
    <cellStyle name="Normal 9 3 7 5 2" xfId="56135"/>
    <cellStyle name="Normal 9 3 7 6" xfId="56136"/>
    <cellStyle name="Normal 9 3 7 6 2" xfId="56137"/>
    <cellStyle name="Normal 9 3 7 7" xfId="56138"/>
    <cellStyle name="Normal 9 3 7 7 2" xfId="56139"/>
    <cellStyle name="Normal 9 3 7 8" xfId="56140"/>
    <cellStyle name="Normal 9 3 7 9" xfId="56141"/>
    <cellStyle name="Normal 9 3 8" xfId="56142"/>
    <cellStyle name="Normal 9 3 8 10" xfId="56143"/>
    <cellStyle name="Normal 9 3 8 11" xfId="56144"/>
    <cellStyle name="Normal 9 3 8 12" xfId="56145"/>
    <cellStyle name="Normal 9 3 8 13" xfId="56146"/>
    <cellStyle name="Normal 9 3 8 14" xfId="56147"/>
    <cellStyle name="Normal 9 3 8 15" xfId="56148"/>
    <cellStyle name="Normal 9 3 8 16" xfId="56149"/>
    <cellStyle name="Normal 9 3 8 2" xfId="56150"/>
    <cellStyle name="Normal 9 3 8 2 2" xfId="56151"/>
    <cellStyle name="Normal 9 3 8 2 2 2" xfId="56152"/>
    <cellStyle name="Normal 9 3 8 2 3" xfId="56153"/>
    <cellStyle name="Normal 9 3 8 2 3 2" xfId="56154"/>
    <cellStyle name="Normal 9 3 8 2 4" xfId="56155"/>
    <cellStyle name="Normal 9 3 8 2 4 2" xfId="56156"/>
    <cellStyle name="Normal 9 3 8 2 5" xfId="56157"/>
    <cellStyle name="Normal 9 3 8 2 5 2" xfId="56158"/>
    <cellStyle name="Normal 9 3 8 2 6" xfId="56159"/>
    <cellStyle name="Normal 9 3 8 2 7" xfId="56160"/>
    <cellStyle name="Normal 9 3 8 2 8" xfId="56161"/>
    <cellStyle name="Normal 9 3 8 2 9" xfId="56162"/>
    <cellStyle name="Normal 9 3 8 3" xfId="56163"/>
    <cellStyle name="Normal 9 3 8 3 2" xfId="56164"/>
    <cellStyle name="Normal 9 3 8 3 2 2" xfId="56165"/>
    <cellStyle name="Normal 9 3 8 3 3" xfId="56166"/>
    <cellStyle name="Normal 9 3 8 3 4" xfId="56167"/>
    <cellStyle name="Normal 9 3 8 3 5" xfId="56168"/>
    <cellStyle name="Normal 9 3 8 4" xfId="56169"/>
    <cellStyle name="Normal 9 3 8 4 2" xfId="56170"/>
    <cellStyle name="Normal 9 3 8 5" xfId="56171"/>
    <cellStyle name="Normal 9 3 8 5 2" xfId="56172"/>
    <cellStyle name="Normal 9 3 8 6" xfId="56173"/>
    <cellStyle name="Normal 9 3 8 6 2" xfId="56174"/>
    <cellStyle name="Normal 9 3 8 7" xfId="56175"/>
    <cellStyle name="Normal 9 3 8 7 2" xfId="56176"/>
    <cellStyle name="Normal 9 3 8 8" xfId="56177"/>
    <cellStyle name="Normal 9 3 8 9" xfId="56178"/>
    <cellStyle name="Normal 9 3 9" xfId="56179"/>
    <cellStyle name="Normal 9 3 9 10" xfId="56180"/>
    <cellStyle name="Normal 9 3 9 11" xfId="56181"/>
    <cellStyle name="Normal 9 3 9 12" xfId="56182"/>
    <cellStyle name="Normal 9 3 9 13" xfId="56183"/>
    <cellStyle name="Normal 9 3 9 14" xfId="56184"/>
    <cellStyle name="Normal 9 3 9 15" xfId="56185"/>
    <cellStyle name="Normal 9 3 9 2" xfId="56186"/>
    <cellStyle name="Normal 9 3 9 2 2" xfId="56187"/>
    <cellStyle name="Normal 9 3 9 2 2 2" xfId="56188"/>
    <cellStyle name="Normal 9 3 9 2 3" xfId="56189"/>
    <cellStyle name="Normal 9 3 9 2 3 2" xfId="56190"/>
    <cellStyle name="Normal 9 3 9 2 4" xfId="56191"/>
    <cellStyle name="Normal 9 3 9 2 4 2" xfId="56192"/>
    <cellStyle name="Normal 9 3 9 2 5" xfId="56193"/>
    <cellStyle name="Normal 9 3 9 2 5 2" xfId="56194"/>
    <cellStyle name="Normal 9 3 9 2 6" xfId="56195"/>
    <cellStyle name="Normal 9 3 9 2 7" xfId="56196"/>
    <cellStyle name="Normal 9 3 9 2 8" xfId="56197"/>
    <cellStyle name="Normal 9 3 9 2 9" xfId="56198"/>
    <cellStyle name="Normal 9 3 9 3" xfId="56199"/>
    <cellStyle name="Normal 9 3 9 3 2" xfId="56200"/>
    <cellStyle name="Normal 9 3 9 3 2 2" xfId="56201"/>
    <cellStyle name="Normal 9 3 9 3 3" xfId="56202"/>
    <cellStyle name="Normal 9 3 9 3 4" xfId="56203"/>
    <cellStyle name="Normal 9 3 9 3 5" xfId="56204"/>
    <cellStyle name="Normal 9 3 9 4" xfId="56205"/>
    <cellStyle name="Normal 9 3 9 4 2" xfId="56206"/>
    <cellStyle name="Normal 9 3 9 5" xfId="56207"/>
    <cellStyle name="Normal 9 3 9 5 2" xfId="56208"/>
    <cellStyle name="Normal 9 3 9 6" xfId="56209"/>
    <cellStyle name="Normal 9 3 9 6 2" xfId="56210"/>
    <cellStyle name="Normal 9 3 9 7" xfId="56211"/>
    <cellStyle name="Normal 9 3 9 7 2" xfId="56212"/>
    <cellStyle name="Normal 9 3 9 8" xfId="56213"/>
    <cellStyle name="Normal 9 3 9 9" xfId="56214"/>
    <cellStyle name="Normal 9 30" xfId="56215"/>
    <cellStyle name="Normal 9 31" xfId="56216"/>
    <cellStyle name="Normal 9 32" xfId="56217"/>
    <cellStyle name="Normal 9 33" xfId="56218"/>
    <cellStyle name="Normal 9 34" xfId="56219"/>
    <cellStyle name="Normal 9 35" xfId="56220"/>
    <cellStyle name="Normal 9 36" xfId="56221"/>
    <cellStyle name="Normal 9 37" xfId="56222"/>
    <cellStyle name="Normal 9 38" xfId="56223"/>
    <cellStyle name="Normal 9 39" xfId="56224"/>
    <cellStyle name="Normal 9 4" xfId="1032"/>
    <cellStyle name="Normal 9 4 10" xfId="56225"/>
    <cellStyle name="Normal 9 4 10 10" xfId="56226"/>
    <cellStyle name="Normal 9 4 10 11" xfId="56227"/>
    <cellStyle name="Normal 9 4 10 12" xfId="56228"/>
    <cellStyle name="Normal 9 4 10 13" xfId="56229"/>
    <cellStyle name="Normal 9 4 10 14" xfId="56230"/>
    <cellStyle name="Normal 9 4 10 2" xfId="56231"/>
    <cellStyle name="Normal 9 4 10 2 2" xfId="56232"/>
    <cellStyle name="Normal 9 4 10 2 2 2" xfId="56233"/>
    <cellStyle name="Normal 9 4 10 2 3" xfId="56234"/>
    <cellStyle name="Normal 9 4 10 2 3 2" xfId="56235"/>
    <cellStyle name="Normal 9 4 10 2 4" xfId="56236"/>
    <cellStyle name="Normal 9 4 10 2 4 2" xfId="56237"/>
    <cellStyle name="Normal 9 4 10 2 5" xfId="56238"/>
    <cellStyle name="Normal 9 4 10 2 5 2" xfId="56239"/>
    <cellStyle name="Normal 9 4 10 2 6" xfId="56240"/>
    <cellStyle name="Normal 9 4 10 2 7" xfId="56241"/>
    <cellStyle name="Normal 9 4 10 2 8" xfId="56242"/>
    <cellStyle name="Normal 9 4 10 2 9" xfId="56243"/>
    <cellStyle name="Normal 9 4 10 3" xfId="56244"/>
    <cellStyle name="Normal 9 4 10 3 2" xfId="56245"/>
    <cellStyle name="Normal 9 4 10 3 2 2" xfId="56246"/>
    <cellStyle name="Normal 9 4 10 3 3" xfId="56247"/>
    <cellStyle name="Normal 9 4 10 3 4" xfId="56248"/>
    <cellStyle name="Normal 9 4 10 3 5" xfId="56249"/>
    <cellStyle name="Normal 9 4 10 4" xfId="56250"/>
    <cellStyle name="Normal 9 4 10 4 2" xfId="56251"/>
    <cellStyle name="Normal 9 4 10 5" xfId="56252"/>
    <cellStyle name="Normal 9 4 10 5 2" xfId="56253"/>
    <cellStyle name="Normal 9 4 10 6" xfId="56254"/>
    <cellStyle name="Normal 9 4 10 6 2" xfId="56255"/>
    <cellStyle name="Normal 9 4 10 7" xfId="56256"/>
    <cellStyle name="Normal 9 4 10 7 2" xfId="56257"/>
    <cellStyle name="Normal 9 4 10 8" xfId="56258"/>
    <cellStyle name="Normal 9 4 10 9" xfId="56259"/>
    <cellStyle name="Normal 9 4 11" xfId="56260"/>
    <cellStyle name="Normal 9 4 11 2" xfId="56261"/>
    <cellStyle name="Normal 9 4 11 2 2" xfId="56262"/>
    <cellStyle name="Normal 9 4 11 3" xfId="56263"/>
    <cellStyle name="Normal 9 4 11 3 2" xfId="56264"/>
    <cellStyle name="Normal 9 4 11 4" xfId="56265"/>
    <cellStyle name="Normal 9 4 11 4 2" xfId="56266"/>
    <cellStyle name="Normal 9 4 11 5" xfId="56267"/>
    <cellStyle name="Normal 9 4 11 5 2" xfId="56268"/>
    <cellStyle name="Normal 9 4 11 6" xfId="56269"/>
    <cellStyle name="Normal 9 4 11 7" xfId="56270"/>
    <cellStyle name="Normal 9 4 11 8" xfId="56271"/>
    <cellStyle name="Normal 9 4 11 9" xfId="56272"/>
    <cellStyle name="Normal 9 4 12" xfId="56273"/>
    <cellStyle name="Normal 9 4 12 2" xfId="56274"/>
    <cellStyle name="Normal 9 4 12 2 2" xfId="56275"/>
    <cellStyle name="Normal 9 4 12 3" xfId="56276"/>
    <cellStyle name="Normal 9 4 12 4" xfId="56277"/>
    <cellStyle name="Normal 9 4 12 5" xfId="56278"/>
    <cellStyle name="Normal 9 4 13" xfId="56279"/>
    <cellStyle name="Normal 9 4 13 2" xfId="56280"/>
    <cellStyle name="Normal 9 4 14" xfId="56281"/>
    <cellStyle name="Normal 9 4 14 2" xfId="56282"/>
    <cellStyle name="Normal 9 4 15" xfId="56283"/>
    <cellStyle name="Normal 9 4 15 2" xfId="56284"/>
    <cellStyle name="Normal 9 4 16" xfId="56285"/>
    <cellStyle name="Normal 9 4 16 2" xfId="56286"/>
    <cellStyle name="Normal 9 4 17" xfId="56287"/>
    <cellStyle name="Normal 9 4 18" xfId="56288"/>
    <cellStyle name="Normal 9 4 19" xfId="56289"/>
    <cellStyle name="Normal 9 4 2" xfId="56290"/>
    <cellStyle name="Normal 9 4 2 10" xfId="56291"/>
    <cellStyle name="Normal 9 4 2 10 2" xfId="56292"/>
    <cellStyle name="Normal 9 4 2 11" xfId="56293"/>
    <cellStyle name="Normal 9 4 2 11 2" xfId="56294"/>
    <cellStyle name="Normal 9 4 2 12" xfId="56295"/>
    <cellStyle name="Normal 9 4 2 13" xfId="56296"/>
    <cellStyle name="Normal 9 4 2 14" xfId="56297"/>
    <cellStyle name="Normal 9 4 2 15" xfId="56298"/>
    <cellStyle name="Normal 9 4 2 16" xfId="56299"/>
    <cellStyle name="Normal 9 4 2 17" xfId="56300"/>
    <cellStyle name="Normal 9 4 2 18" xfId="56301"/>
    <cellStyle name="Normal 9 4 2 19" xfId="56302"/>
    <cellStyle name="Normal 9 4 2 2" xfId="56303"/>
    <cellStyle name="Normal 9 4 2 2 10" xfId="56304"/>
    <cellStyle name="Normal 9 4 2 2 11" xfId="56305"/>
    <cellStyle name="Normal 9 4 2 2 12" xfId="56306"/>
    <cellStyle name="Normal 9 4 2 2 13" xfId="56307"/>
    <cellStyle name="Normal 9 4 2 2 14" xfId="56308"/>
    <cellStyle name="Normal 9 4 2 2 15" xfId="56309"/>
    <cellStyle name="Normal 9 4 2 2 16" xfId="56310"/>
    <cellStyle name="Normal 9 4 2 2 2" xfId="56311"/>
    <cellStyle name="Normal 9 4 2 2 2 2" xfId="56312"/>
    <cellStyle name="Normal 9 4 2 2 2 2 2" xfId="56313"/>
    <cellStyle name="Normal 9 4 2 2 2 3" xfId="56314"/>
    <cellStyle name="Normal 9 4 2 2 2 3 2" xfId="56315"/>
    <cellStyle name="Normal 9 4 2 2 2 4" xfId="56316"/>
    <cellStyle name="Normal 9 4 2 2 2 4 2" xfId="56317"/>
    <cellStyle name="Normal 9 4 2 2 2 5" xfId="56318"/>
    <cellStyle name="Normal 9 4 2 2 2 5 2" xfId="56319"/>
    <cellStyle name="Normal 9 4 2 2 2 6" xfId="56320"/>
    <cellStyle name="Normal 9 4 2 2 2 7" xfId="56321"/>
    <cellStyle name="Normal 9 4 2 2 2 8" xfId="56322"/>
    <cellStyle name="Normal 9 4 2 2 2 9" xfId="56323"/>
    <cellStyle name="Normal 9 4 2 2 3" xfId="56324"/>
    <cellStyle name="Normal 9 4 2 2 3 2" xfId="56325"/>
    <cellStyle name="Normal 9 4 2 2 3 2 2" xfId="56326"/>
    <cellStyle name="Normal 9 4 2 2 3 3" xfId="56327"/>
    <cellStyle name="Normal 9 4 2 2 3 4" xfId="56328"/>
    <cellStyle name="Normal 9 4 2 2 3 5" xfId="56329"/>
    <cellStyle name="Normal 9 4 2 2 4" xfId="56330"/>
    <cellStyle name="Normal 9 4 2 2 4 2" xfId="56331"/>
    <cellStyle name="Normal 9 4 2 2 5" xfId="56332"/>
    <cellStyle name="Normal 9 4 2 2 5 2" xfId="56333"/>
    <cellStyle name="Normal 9 4 2 2 6" xfId="56334"/>
    <cellStyle name="Normal 9 4 2 2 6 2" xfId="56335"/>
    <cellStyle name="Normal 9 4 2 2 7" xfId="56336"/>
    <cellStyle name="Normal 9 4 2 2 7 2" xfId="56337"/>
    <cellStyle name="Normal 9 4 2 2 8" xfId="56338"/>
    <cellStyle name="Normal 9 4 2 2 9" xfId="56339"/>
    <cellStyle name="Normal 9 4 2 20" xfId="56340"/>
    <cellStyle name="Normal 9 4 2 3" xfId="56341"/>
    <cellStyle name="Normal 9 4 2 3 10" xfId="56342"/>
    <cellStyle name="Normal 9 4 2 3 11" xfId="56343"/>
    <cellStyle name="Normal 9 4 2 3 12" xfId="56344"/>
    <cellStyle name="Normal 9 4 2 3 13" xfId="56345"/>
    <cellStyle name="Normal 9 4 2 3 14" xfId="56346"/>
    <cellStyle name="Normal 9 4 2 3 15" xfId="56347"/>
    <cellStyle name="Normal 9 4 2 3 16" xfId="56348"/>
    <cellStyle name="Normal 9 4 2 3 2" xfId="56349"/>
    <cellStyle name="Normal 9 4 2 3 2 2" xfId="56350"/>
    <cellStyle name="Normal 9 4 2 3 2 2 2" xfId="56351"/>
    <cellStyle name="Normal 9 4 2 3 2 3" xfId="56352"/>
    <cellStyle name="Normal 9 4 2 3 2 3 2" xfId="56353"/>
    <cellStyle name="Normal 9 4 2 3 2 4" xfId="56354"/>
    <cellStyle name="Normal 9 4 2 3 2 4 2" xfId="56355"/>
    <cellStyle name="Normal 9 4 2 3 2 5" xfId="56356"/>
    <cellStyle name="Normal 9 4 2 3 2 5 2" xfId="56357"/>
    <cellStyle name="Normal 9 4 2 3 2 6" xfId="56358"/>
    <cellStyle name="Normal 9 4 2 3 2 7" xfId="56359"/>
    <cellStyle name="Normal 9 4 2 3 2 8" xfId="56360"/>
    <cellStyle name="Normal 9 4 2 3 2 9" xfId="56361"/>
    <cellStyle name="Normal 9 4 2 3 3" xfId="56362"/>
    <cellStyle name="Normal 9 4 2 3 3 2" xfId="56363"/>
    <cellStyle name="Normal 9 4 2 3 3 2 2" xfId="56364"/>
    <cellStyle name="Normal 9 4 2 3 3 3" xfId="56365"/>
    <cellStyle name="Normal 9 4 2 3 3 4" xfId="56366"/>
    <cellStyle name="Normal 9 4 2 3 3 5" xfId="56367"/>
    <cellStyle name="Normal 9 4 2 3 4" xfId="56368"/>
    <cellStyle name="Normal 9 4 2 3 4 2" xfId="56369"/>
    <cellStyle name="Normal 9 4 2 3 5" xfId="56370"/>
    <cellStyle name="Normal 9 4 2 3 5 2" xfId="56371"/>
    <cellStyle name="Normal 9 4 2 3 6" xfId="56372"/>
    <cellStyle name="Normal 9 4 2 3 6 2" xfId="56373"/>
    <cellStyle name="Normal 9 4 2 3 7" xfId="56374"/>
    <cellStyle name="Normal 9 4 2 3 7 2" xfId="56375"/>
    <cellStyle name="Normal 9 4 2 3 8" xfId="56376"/>
    <cellStyle name="Normal 9 4 2 3 9" xfId="56377"/>
    <cellStyle name="Normal 9 4 2 4" xfId="56378"/>
    <cellStyle name="Normal 9 4 2 4 10" xfId="56379"/>
    <cellStyle name="Normal 9 4 2 4 11" xfId="56380"/>
    <cellStyle name="Normal 9 4 2 4 12" xfId="56381"/>
    <cellStyle name="Normal 9 4 2 4 13" xfId="56382"/>
    <cellStyle name="Normal 9 4 2 4 14" xfId="56383"/>
    <cellStyle name="Normal 9 4 2 4 15" xfId="56384"/>
    <cellStyle name="Normal 9 4 2 4 2" xfId="56385"/>
    <cellStyle name="Normal 9 4 2 4 2 2" xfId="56386"/>
    <cellStyle name="Normal 9 4 2 4 2 2 2" xfId="56387"/>
    <cellStyle name="Normal 9 4 2 4 2 3" xfId="56388"/>
    <cellStyle name="Normal 9 4 2 4 2 3 2" xfId="56389"/>
    <cellStyle name="Normal 9 4 2 4 2 4" xfId="56390"/>
    <cellStyle name="Normal 9 4 2 4 2 4 2" xfId="56391"/>
    <cellStyle name="Normal 9 4 2 4 2 5" xfId="56392"/>
    <cellStyle name="Normal 9 4 2 4 2 5 2" xfId="56393"/>
    <cellStyle name="Normal 9 4 2 4 2 6" xfId="56394"/>
    <cellStyle name="Normal 9 4 2 4 2 7" xfId="56395"/>
    <cellStyle name="Normal 9 4 2 4 2 8" xfId="56396"/>
    <cellStyle name="Normal 9 4 2 4 2 9" xfId="56397"/>
    <cellStyle name="Normal 9 4 2 4 3" xfId="56398"/>
    <cellStyle name="Normal 9 4 2 4 3 2" xfId="56399"/>
    <cellStyle name="Normal 9 4 2 4 3 2 2" xfId="56400"/>
    <cellStyle name="Normal 9 4 2 4 3 3" xfId="56401"/>
    <cellStyle name="Normal 9 4 2 4 3 4" xfId="56402"/>
    <cellStyle name="Normal 9 4 2 4 3 5" xfId="56403"/>
    <cellStyle name="Normal 9 4 2 4 4" xfId="56404"/>
    <cellStyle name="Normal 9 4 2 4 4 2" xfId="56405"/>
    <cellStyle name="Normal 9 4 2 4 5" xfId="56406"/>
    <cellStyle name="Normal 9 4 2 4 5 2" xfId="56407"/>
    <cellStyle name="Normal 9 4 2 4 6" xfId="56408"/>
    <cellStyle name="Normal 9 4 2 4 6 2" xfId="56409"/>
    <cellStyle name="Normal 9 4 2 4 7" xfId="56410"/>
    <cellStyle name="Normal 9 4 2 4 7 2" xfId="56411"/>
    <cellStyle name="Normal 9 4 2 4 8" xfId="56412"/>
    <cellStyle name="Normal 9 4 2 4 9" xfId="56413"/>
    <cellStyle name="Normal 9 4 2 5" xfId="56414"/>
    <cellStyle name="Normal 9 4 2 5 10" xfId="56415"/>
    <cellStyle name="Normal 9 4 2 5 11" xfId="56416"/>
    <cellStyle name="Normal 9 4 2 5 12" xfId="56417"/>
    <cellStyle name="Normal 9 4 2 5 13" xfId="56418"/>
    <cellStyle name="Normal 9 4 2 5 14" xfId="56419"/>
    <cellStyle name="Normal 9 4 2 5 2" xfId="56420"/>
    <cellStyle name="Normal 9 4 2 5 2 2" xfId="56421"/>
    <cellStyle name="Normal 9 4 2 5 2 2 2" xfId="56422"/>
    <cellStyle name="Normal 9 4 2 5 2 3" xfId="56423"/>
    <cellStyle name="Normal 9 4 2 5 2 3 2" xfId="56424"/>
    <cellStyle name="Normal 9 4 2 5 2 4" xfId="56425"/>
    <cellStyle name="Normal 9 4 2 5 2 4 2" xfId="56426"/>
    <cellStyle name="Normal 9 4 2 5 2 5" xfId="56427"/>
    <cellStyle name="Normal 9 4 2 5 2 5 2" xfId="56428"/>
    <cellStyle name="Normal 9 4 2 5 2 6" xfId="56429"/>
    <cellStyle name="Normal 9 4 2 5 2 7" xfId="56430"/>
    <cellStyle name="Normal 9 4 2 5 2 8" xfId="56431"/>
    <cellStyle name="Normal 9 4 2 5 2 9" xfId="56432"/>
    <cellStyle name="Normal 9 4 2 5 3" xfId="56433"/>
    <cellStyle name="Normal 9 4 2 5 3 2" xfId="56434"/>
    <cellStyle name="Normal 9 4 2 5 3 2 2" xfId="56435"/>
    <cellStyle name="Normal 9 4 2 5 3 3" xfId="56436"/>
    <cellStyle name="Normal 9 4 2 5 3 4" xfId="56437"/>
    <cellStyle name="Normal 9 4 2 5 3 5" xfId="56438"/>
    <cellStyle name="Normal 9 4 2 5 4" xfId="56439"/>
    <cellStyle name="Normal 9 4 2 5 4 2" xfId="56440"/>
    <cellStyle name="Normal 9 4 2 5 5" xfId="56441"/>
    <cellStyle name="Normal 9 4 2 5 5 2" xfId="56442"/>
    <cellStyle name="Normal 9 4 2 5 6" xfId="56443"/>
    <cellStyle name="Normal 9 4 2 5 6 2" xfId="56444"/>
    <cellStyle name="Normal 9 4 2 5 7" xfId="56445"/>
    <cellStyle name="Normal 9 4 2 5 7 2" xfId="56446"/>
    <cellStyle name="Normal 9 4 2 5 8" xfId="56447"/>
    <cellStyle name="Normal 9 4 2 5 9" xfId="56448"/>
    <cellStyle name="Normal 9 4 2 6" xfId="56449"/>
    <cellStyle name="Normal 9 4 2 6 2" xfId="56450"/>
    <cellStyle name="Normal 9 4 2 6 2 2" xfId="56451"/>
    <cellStyle name="Normal 9 4 2 6 3" xfId="56452"/>
    <cellStyle name="Normal 9 4 2 6 3 2" xfId="56453"/>
    <cellStyle name="Normal 9 4 2 6 4" xfId="56454"/>
    <cellStyle name="Normal 9 4 2 6 4 2" xfId="56455"/>
    <cellStyle name="Normal 9 4 2 6 5" xfId="56456"/>
    <cellStyle name="Normal 9 4 2 6 5 2" xfId="56457"/>
    <cellStyle name="Normal 9 4 2 6 6" xfId="56458"/>
    <cellStyle name="Normal 9 4 2 6 7" xfId="56459"/>
    <cellStyle name="Normal 9 4 2 6 8" xfId="56460"/>
    <cellStyle name="Normal 9 4 2 6 9" xfId="56461"/>
    <cellStyle name="Normal 9 4 2 7" xfId="56462"/>
    <cellStyle name="Normal 9 4 2 7 2" xfId="56463"/>
    <cellStyle name="Normal 9 4 2 7 2 2" xfId="56464"/>
    <cellStyle name="Normal 9 4 2 7 3" xfId="56465"/>
    <cellStyle name="Normal 9 4 2 7 4" xfId="56466"/>
    <cellStyle name="Normal 9 4 2 7 5" xfId="56467"/>
    <cellStyle name="Normal 9 4 2 8" xfId="56468"/>
    <cellStyle name="Normal 9 4 2 8 2" xfId="56469"/>
    <cellStyle name="Normal 9 4 2 9" xfId="56470"/>
    <cellStyle name="Normal 9 4 2 9 2" xfId="56471"/>
    <cellStyle name="Normal 9 4 20" xfId="56472"/>
    <cellStyle name="Normal 9 4 21" xfId="56473"/>
    <cellStyle name="Normal 9 4 22" xfId="56474"/>
    <cellStyle name="Normal 9 4 23" xfId="56475"/>
    <cellStyle name="Normal 9 4 24" xfId="56476"/>
    <cellStyle name="Normal 9 4 25" xfId="56477"/>
    <cellStyle name="Normal 9 4 3" xfId="56478"/>
    <cellStyle name="Normal 9 4 3 10" xfId="56479"/>
    <cellStyle name="Normal 9 4 3 11" xfId="56480"/>
    <cellStyle name="Normal 9 4 3 12" xfId="56481"/>
    <cellStyle name="Normal 9 4 3 13" xfId="56482"/>
    <cellStyle name="Normal 9 4 3 14" xfId="56483"/>
    <cellStyle name="Normal 9 4 3 15" xfId="56484"/>
    <cellStyle name="Normal 9 4 3 16" xfId="56485"/>
    <cellStyle name="Normal 9 4 3 17" xfId="56486"/>
    <cellStyle name="Normal 9 4 3 18" xfId="56487"/>
    <cellStyle name="Normal 9 4 3 2" xfId="56488"/>
    <cellStyle name="Normal 9 4 3 2 10" xfId="56489"/>
    <cellStyle name="Normal 9 4 3 2 11" xfId="56490"/>
    <cellStyle name="Normal 9 4 3 2 12" xfId="56491"/>
    <cellStyle name="Normal 9 4 3 2 13" xfId="56492"/>
    <cellStyle name="Normal 9 4 3 2 2" xfId="56493"/>
    <cellStyle name="Normal 9 4 3 2 2 2" xfId="56494"/>
    <cellStyle name="Normal 9 4 3 2 2 2 2" xfId="56495"/>
    <cellStyle name="Normal 9 4 3 2 2 3" xfId="56496"/>
    <cellStyle name="Normal 9 4 3 2 2 4" xfId="56497"/>
    <cellStyle name="Normal 9 4 3 2 2 5" xfId="56498"/>
    <cellStyle name="Normal 9 4 3 2 3" xfId="56499"/>
    <cellStyle name="Normal 9 4 3 2 3 2" xfId="56500"/>
    <cellStyle name="Normal 9 4 3 2 4" xfId="56501"/>
    <cellStyle name="Normal 9 4 3 2 4 2" xfId="56502"/>
    <cellStyle name="Normal 9 4 3 2 5" xfId="56503"/>
    <cellStyle name="Normal 9 4 3 2 5 2" xfId="56504"/>
    <cellStyle name="Normal 9 4 3 2 6" xfId="56505"/>
    <cellStyle name="Normal 9 4 3 2 6 2" xfId="56506"/>
    <cellStyle name="Normal 9 4 3 2 7" xfId="56507"/>
    <cellStyle name="Normal 9 4 3 2 8" xfId="56508"/>
    <cellStyle name="Normal 9 4 3 2 9" xfId="56509"/>
    <cellStyle name="Normal 9 4 3 3" xfId="56510"/>
    <cellStyle name="Normal 9 4 3 3 2" xfId="56511"/>
    <cellStyle name="Normal 9 4 3 3 2 2" xfId="56512"/>
    <cellStyle name="Normal 9 4 3 3 3" xfId="56513"/>
    <cellStyle name="Normal 9 4 3 3 4" xfId="56514"/>
    <cellStyle name="Normal 9 4 3 3 5" xfId="56515"/>
    <cellStyle name="Normal 9 4 3 4" xfId="56516"/>
    <cellStyle name="Normal 9 4 3 4 2" xfId="56517"/>
    <cellStyle name="Normal 9 4 3 5" xfId="56518"/>
    <cellStyle name="Normal 9 4 3 5 2" xfId="56519"/>
    <cellStyle name="Normal 9 4 3 6" xfId="56520"/>
    <cellStyle name="Normal 9 4 3 6 2" xfId="56521"/>
    <cellStyle name="Normal 9 4 3 7" xfId="56522"/>
    <cellStyle name="Normal 9 4 3 7 2" xfId="56523"/>
    <cellStyle name="Normal 9 4 3 8" xfId="56524"/>
    <cellStyle name="Normal 9 4 3 9" xfId="56525"/>
    <cellStyle name="Normal 9 4 4" xfId="56526"/>
    <cellStyle name="Normal 9 4 4 10" xfId="56527"/>
    <cellStyle name="Normal 9 4 4 11" xfId="56528"/>
    <cellStyle name="Normal 9 4 4 12" xfId="56529"/>
    <cellStyle name="Normal 9 4 4 13" xfId="56530"/>
    <cellStyle name="Normal 9 4 4 14" xfId="56531"/>
    <cellStyle name="Normal 9 4 4 15" xfId="56532"/>
    <cellStyle name="Normal 9 4 4 16" xfId="56533"/>
    <cellStyle name="Normal 9 4 4 17" xfId="56534"/>
    <cellStyle name="Normal 9 4 4 18" xfId="56535"/>
    <cellStyle name="Normal 9 4 4 2" xfId="56536"/>
    <cellStyle name="Normal 9 4 4 2 10" xfId="56537"/>
    <cellStyle name="Normal 9 4 4 2 11" xfId="56538"/>
    <cellStyle name="Normal 9 4 4 2 12" xfId="56539"/>
    <cellStyle name="Normal 9 4 4 2 13" xfId="56540"/>
    <cellStyle name="Normal 9 4 4 2 2" xfId="56541"/>
    <cellStyle name="Normal 9 4 4 2 2 2" xfId="56542"/>
    <cellStyle name="Normal 9 4 4 2 2 2 2" xfId="56543"/>
    <cellStyle name="Normal 9 4 4 2 2 3" xfId="56544"/>
    <cellStyle name="Normal 9 4 4 2 2 4" xfId="56545"/>
    <cellStyle name="Normal 9 4 4 2 2 5" xfId="56546"/>
    <cellStyle name="Normal 9 4 4 2 3" xfId="56547"/>
    <cellStyle name="Normal 9 4 4 2 3 2" xfId="56548"/>
    <cellStyle name="Normal 9 4 4 2 4" xfId="56549"/>
    <cellStyle name="Normal 9 4 4 2 4 2" xfId="56550"/>
    <cellStyle name="Normal 9 4 4 2 5" xfId="56551"/>
    <cellStyle name="Normal 9 4 4 2 5 2" xfId="56552"/>
    <cellStyle name="Normal 9 4 4 2 6" xfId="56553"/>
    <cellStyle name="Normal 9 4 4 2 6 2" xfId="56554"/>
    <cellStyle name="Normal 9 4 4 2 7" xfId="56555"/>
    <cellStyle name="Normal 9 4 4 2 8" xfId="56556"/>
    <cellStyle name="Normal 9 4 4 2 9" xfId="56557"/>
    <cellStyle name="Normal 9 4 4 3" xfId="56558"/>
    <cellStyle name="Normal 9 4 4 3 2" xfId="56559"/>
    <cellStyle name="Normal 9 4 4 3 2 2" xfId="56560"/>
    <cellStyle name="Normal 9 4 4 3 3" xfId="56561"/>
    <cellStyle name="Normal 9 4 4 3 4" xfId="56562"/>
    <cellStyle name="Normal 9 4 4 3 5" xfId="56563"/>
    <cellStyle name="Normal 9 4 4 4" xfId="56564"/>
    <cellStyle name="Normal 9 4 4 4 2" xfId="56565"/>
    <cellStyle name="Normal 9 4 4 5" xfId="56566"/>
    <cellStyle name="Normal 9 4 4 5 2" xfId="56567"/>
    <cellStyle name="Normal 9 4 4 6" xfId="56568"/>
    <cellStyle name="Normal 9 4 4 6 2" xfId="56569"/>
    <cellStyle name="Normal 9 4 4 7" xfId="56570"/>
    <cellStyle name="Normal 9 4 4 7 2" xfId="56571"/>
    <cellStyle name="Normal 9 4 4 8" xfId="56572"/>
    <cellStyle name="Normal 9 4 4 9" xfId="56573"/>
    <cellStyle name="Normal 9 4 5" xfId="56574"/>
    <cellStyle name="Normal 9 4 5 10" xfId="56575"/>
    <cellStyle name="Normal 9 4 5 11" xfId="56576"/>
    <cellStyle name="Normal 9 4 5 12" xfId="56577"/>
    <cellStyle name="Normal 9 4 5 13" xfId="56578"/>
    <cellStyle name="Normal 9 4 5 14" xfId="56579"/>
    <cellStyle name="Normal 9 4 5 15" xfId="56580"/>
    <cellStyle name="Normal 9 4 5 16" xfId="56581"/>
    <cellStyle name="Normal 9 4 5 17" xfId="56582"/>
    <cellStyle name="Normal 9 4 5 18" xfId="56583"/>
    <cellStyle name="Normal 9 4 5 2" xfId="56584"/>
    <cellStyle name="Normal 9 4 5 2 10" xfId="56585"/>
    <cellStyle name="Normal 9 4 5 2 11" xfId="56586"/>
    <cellStyle name="Normal 9 4 5 2 12" xfId="56587"/>
    <cellStyle name="Normal 9 4 5 2 13" xfId="56588"/>
    <cellStyle name="Normal 9 4 5 2 2" xfId="56589"/>
    <cellStyle name="Normal 9 4 5 2 2 2" xfId="56590"/>
    <cellStyle name="Normal 9 4 5 2 2 2 2" xfId="56591"/>
    <cellStyle name="Normal 9 4 5 2 2 3" xfId="56592"/>
    <cellStyle name="Normal 9 4 5 2 2 4" xfId="56593"/>
    <cellStyle name="Normal 9 4 5 2 2 5" xfId="56594"/>
    <cellStyle name="Normal 9 4 5 2 3" xfId="56595"/>
    <cellStyle name="Normal 9 4 5 2 3 2" xfId="56596"/>
    <cellStyle name="Normal 9 4 5 2 4" xfId="56597"/>
    <cellStyle name="Normal 9 4 5 2 4 2" xfId="56598"/>
    <cellStyle name="Normal 9 4 5 2 5" xfId="56599"/>
    <cellStyle name="Normal 9 4 5 2 5 2" xfId="56600"/>
    <cellStyle name="Normal 9 4 5 2 6" xfId="56601"/>
    <cellStyle name="Normal 9 4 5 2 6 2" xfId="56602"/>
    <cellStyle name="Normal 9 4 5 2 7" xfId="56603"/>
    <cellStyle name="Normal 9 4 5 2 8" xfId="56604"/>
    <cellStyle name="Normal 9 4 5 2 9" xfId="56605"/>
    <cellStyle name="Normal 9 4 5 3" xfId="56606"/>
    <cellStyle name="Normal 9 4 5 3 2" xfId="56607"/>
    <cellStyle name="Normal 9 4 5 3 2 2" xfId="56608"/>
    <cellStyle name="Normal 9 4 5 3 3" xfId="56609"/>
    <cellStyle name="Normal 9 4 5 3 4" xfId="56610"/>
    <cellStyle name="Normal 9 4 5 3 5" xfId="56611"/>
    <cellStyle name="Normal 9 4 5 4" xfId="56612"/>
    <cellStyle name="Normal 9 4 5 4 2" xfId="56613"/>
    <cellStyle name="Normal 9 4 5 5" xfId="56614"/>
    <cellStyle name="Normal 9 4 5 5 2" xfId="56615"/>
    <cellStyle name="Normal 9 4 5 6" xfId="56616"/>
    <cellStyle name="Normal 9 4 5 6 2" xfId="56617"/>
    <cellStyle name="Normal 9 4 5 7" xfId="56618"/>
    <cellStyle name="Normal 9 4 5 7 2" xfId="56619"/>
    <cellStyle name="Normal 9 4 5 8" xfId="56620"/>
    <cellStyle name="Normal 9 4 5 9" xfId="56621"/>
    <cellStyle name="Normal 9 4 6" xfId="56622"/>
    <cellStyle name="Normal 9 4 6 10" xfId="56623"/>
    <cellStyle name="Normal 9 4 6 11" xfId="56624"/>
    <cellStyle name="Normal 9 4 6 12" xfId="56625"/>
    <cellStyle name="Normal 9 4 6 13" xfId="56626"/>
    <cellStyle name="Normal 9 4 6 14" xfId="56627"/>
    <cellStyle name="Normal 9 4 6 15" xfId="56628"/>
    <cellStyle name="Normal 9 4 6 16" xfId="56629"/>
    <cellStyle name="Normal 9 4 6 17" xfId="56630"/>
    <cellStyle name="Normal 9 4 6 18" xfId="56631"/>
    <cellStyle name="Normal 9 4 6 2" xfId="56632"/>
    <cellStyle name="Normal 9 4 6 2 10" xfId="56633"/>
    <cellStyle name="Normal 9 4 6 2 11" xfId="56634"/>
    <cellStyle name="Normal 9 4 6 2 12" xfId="56635"/>
    <cellStyle name="Normal 9 4 6 2 13" xfId="56636"/>
    <cellStyle name="Normal 9 4 6 2 2" xfId="56637"/>
    <cellStyle name="Normal 9 4 6 2 2 2" xfId="56638"/>
    <cellStyle name="Normal 9 4 6 2 2 2 2" xfId="56639"/>
    <cellStyle name="Normal 9 4 6 2 2 3" xfId="56640"/>
    <cellStyle name="Normal 9 4 6 2 2 4" xfId="56641"/>
    <cellStyle name="Normal 9 4 6 2 2 5" xfId="56642"/>
    <cellStyle name="Normal 9 4 6 2 3" xfId="56643"/>
    <cellStyle name="Normal 9 4 6 2 3 2" xfId="56644"/>
    <cellStyle name="Normal 9 4 6 2 4" xfId="56645"/>
    <cellStyle name="Normal 9 4 6 2 4 2" xfId="56646"/>
    <cellStyle name="Normal 9 4 6 2 5" xfId="56647"/>
    <cellStyle name="Normal 9 4 6 2 5 2" xfId="56648"/>
    <cellStyle name="Normal 9 4 6 2 6" xfId="56649"/>
    <cellStyle name="Normal 9 4 6 2 6 2" xfId="56650"/>
    <cellStyle name="Normal 9 4 6 2 7" xfId="56651"/>
    <cellStyle name="Normal 9 4 6 2 8" xfId="56652"/>
    <cellStyle name="Normal 9 4 6 2 9" xfId="56653"/>
    <cellStyle name="Normal 9 4 6 3" xfId="56654"/>
    <cellStyle name="Normal 9 4 6 3 2" xfId="56655"/>
    <cellStyle name="Normal 9 4 6 3 2 2" xfId="56656"/>
    <cellStyle name="Normal 9 4 6 3 3" xfId="56657"/>
    <cellStyle name="Normal 9 4 6 3 4" xfId="56658"/>
    <cellStyle name="Normal 9 4 6 3 5" xfId="56659"/>
    <cellStyle name="Normal 9 4 6 4" xfId="56660"/>
    <cellStyle name="Normal 9 4 6 4 2" xfId="56661"/>
    <cellStyle name="Normal 9 4 6 5" xfId="56662"/>
    <cellStyle name="Normal 9 4 6 5 2" xfId="56663"/>
    <cellStyle name="Normal 9 4 6 6" xfId="56664"/>
    <cellStyle name="Normal 9 4 6 6 2" xfId="56665"/>
    <cellStyle name="Normal 9 4 6 7" xfId="56666"/>
    <cellStyle name="Normal 9 4 6 7 2" xfId="56667"/>
    <cellStyle name="Normal 9 4 6 8" xfId="56668"/>
    <cellStyle name="Normal 9 4 6 9" xfId="56669"/>
    <cellStyle name="Normal 9 4 7" xfId="56670"/>
    <cellStyle name="Normal 9 4 7 10" xfId="56671"/>
    <cellStyle name="Normal 9 4 7 11" xfId="56672"/>
    <cellStyle name="Normal 9 4 7 12" xfId="56673"/>
    <cellStyle name="Normal 9 4 7 13" xfId="56674"/>
    <cellStyle name="Normal 9 4 7 14" xfId="56675"/>
    <cellStyle name="Normal 9 4 7 15" xfId="56676"/>
    <cellStyle name="Normal 9 4 7 16" xfId="56677"/>
    <cellStyle name="Normal 9 4 7 17" xfId="56678"/>
    <cellStyle name="Normal 9 4 7 18" xfId="56679"/>
    <cellStyle name="Normal 9 4 7 2" xfId="56680"/>
    <cellStyle name="Normal 9 4 7 2 10" xfId="56681"/>
    <cellStyle name="Normal 9 4 7 2 11" xfId="56682"/>
    <cellStyle name="Normal 9 4 7 2 12" xfId="56683"/>
    <cellStyle name="Normal 9 4 7 2 13" xfId="56684"/>
    <cellStyle name="Normal 9 4 7 2 2" xfId="56685"/>
    <cellStyle name="Normal 9 4 7 2 2 2" xfId="56686"/>
    <cellStyle name="Normal 9 4 7 2 2 2 2" xfId="56687"/>
    <cellStyle name="Normal 9 4 7 2 2 3" xfId="56688"/>
    <cellStyle name="Normal 9 4 7 2 2 4" xfId="56689"/>
    <cellStyle name="Normal 9 4 7 2 2 5" xfId="56690"/>
    <cellStyle name="Normal 9 4 7 2 3" xfId="56691"/>
    <cellStyle name="Normal 9 4 7 2 3 2" xfId="56692"/>
    <cellStyle name="Normal 9 4 7 2 4" xfId="56693"/>
    <cellStyle name="Normal 9 4 7 2 4 2" xfId="56694"/>
    <cellStyle name="Normal 9 4 7 2 5" xfId="56695"/>
    <cellStyle name="Normal 9 4 7 2 5 2" xfId="56696"/>
    <cellStyle name="Normal 9 4 7 2 6" xfId="56697"/>
    <cellStyle name="Normal 9 4 7 2 6 2" xfId="56698"/>
    <cellStyle name="Normal 9 4 7 2 7" xfId="56699"/>
    <cellStyle name="Normal 9 4 7 2 8" xfId="56700"/>
    <cellStyle name="Normal 9 4 7 2 9" xfId="56701"/>
    <cellStyle name="Normal 9 4 7 3" xfId="56702"/>
    <cellStyle name="Normal 9 4 7 3 2" xfId="56703"/>
    <cellStyle name="Normal 9 4 7 3 2 2" xfId="56704"/>
    <cellStyle name="Normal 9 4 7 3 3" xfId="56705"/>
    <cellStyle name="Normal 9 4 7 3 4" xfId="56706"/>
    <cellStyle name="Normal 9 4 7 3 5" xfId="56707"/>
    <cellStyle name="Normal 9 4 7 4" xfId="56708"/>
    <cellStyle name="Normal 9 4 7 4 2" xfId="56709"/>
    <cellStyle name="Normal 9 4 7 5" xfId="56710"/>
    <cellStyle name="Normal 9 4 7 5 2" xfId="56711"/>
    <cellStyle name="Normal 9 4 7 6" xfId="56712"/>
    <cellStyle name="Normal 9 4 7 6 2" xfId="56713"/>
    <cellStyle name="Normal 9 4 7 7" xfId="56714"/>
    <cellStyle name="Normal 9 4 7 7 2" xfId="56715"/>
    <cellStyle name="Normal 9 4 7 8" xfId="56716"/>
    <cellStyle name="Normal 9 4 7 9" xfId="56717"/>
    <cellStyle name="Normal 9 4 8" xfId="56718"/>
    <cellStyle name="Normal 9 4 8 10" xfId="56719"/>
    <cellStyle name="Normal 9 4 8 11" xfId="56720"/>
    <cellStyle name="Normal 9 4 8 12" xfId="56721"/>
    <cellStyle name="Normal 9 4 8 13" xfId="56722"/>
    <cellStyle name="Normal 9 4 8 14" xfId="56723"/>
    <cellStyle name="Normal 9 4 8 15" xfId="56724"/>
    <cellStyle name="Normal 9 4 8 16" xfId="56725"/>
    <cellStyle name="Normal 9 4 8 2" xfId="56726"/>
    <cellStyle name="Normal 9 4 8 2 2" xfId="56727"/>
    <cellStyle name="Normal 9 4 8 2 2 2" xfId="56728"/>
    <cellStyle name="Normal 9 4 8 2 3" xfId="56729"/>
    <cellStyle name="Normal 9 4 8 2 3 2" xfId="56730"/>
    <cellStyle name="Normal 9 4 8 2 4" xfId="56731"/>
    <cellStyle name="Normal 9 4 8 2 4 2" xfId="56732"/>
    <cellStyle name="Normal 9 4 8 2 5" xfId="56733"/>
    <cellStyle name="Normal 9 4 8 2 5 2" xfId="56734"/>
    <cellStyle name="Normal 9 4 8 2 6" xfId="56735"/>
    <cellStyle name="Normal 9 4 8 2 7" xfId="56736"/>
    <cellStyle name="Normal 9 4 8 2 8" xfId="56737"/>
    <cellStyle name="Normal 9 4 8 2 9" xfId="56738"/>
    <cellStyle name="Normal 9 4 8 3" xfId="56739"/>
    <cellStyle name="Normal 9 4 8 3 2" xfId="56740"/>
    <cellStyle name="Normal 9 4 8 3 2 2" xfId="56741"/>
    <cellStyle name="Normal 9 4 8 3 3" xfId="56742"/>
    <cellStyle name="Normal 9 4 8 3 4" xfId="56743"/>
    <cellStyle name="Normal 9 4 8 3 5" xfId="56744"/>
    <cellStyle name="Normal 9 4 8 4" xfId="56745"/>
    <cellStyle name="Normal 9 4 8 4 2" xfId="56746"/>
    <cellStyle name="Normal 9 4 8 5" xfId="56747"/>
    <cellStyle name="Normal 9 4 8 5 2" xfId="56748"/>
    <cellStyle name="Normal 9 4 8 6" xfId="56749"/>
    <cellStyle name="Normal 9 4 8 6 2" xfId="56750"/>
    <cellStyle name="Normal 9 4 8 7" xfId="56751"/>
    <cellStyle name="Normal 9 4 8 7 2" xfId="56752"/>
    <cellStyle name="Normal 9 4 8 8" xfId="56753"/>
    <cellStyle name="Normal 9 4 8 9" xfId="56754"/>
    <cellStyle name="Normal 9 4 9" xfId="56755"/>
    <cellStyle name="Normal 9 4 9 10" xfId="56756"/>
    <cellStyle name="Normal 9 4 9 11" xfId="56757"/>
    <cellStyle name="Normal 9 4 9 12" xfId="56758"/>
    <cellStyle name="Normal 9 4 9 13" xfId="56759"/>
    <cellStyle name="Normal 9 4 9 14" xfId="56760"/>
    <cellStyle name="Normal 9 4 9 15" xfId="56761"/>
    <cellStyle name="Normal 9 4 9 2" xfId="56762"/>
    <cellStyle name="Normal 9 4 9 2 2" xfId="56763"/>
    <cellStyle name="Normal 9 4 9 2 2 2" xfId="56764"/>
    <cellStyle name="Normal 9 4 9 2 3" xfId="56765"/>
    <cellStyle name="Normal 9 4 9 2 3 2" xfId="56766"/>
    <cellStyle name="Normal 9 4 9 2 4" xfId="56767"/>
    <cellStyle name="Normal 9 4 9 2 4 2" xfId="56768"/>
    <cellStyle name="Normal 9 4 9 2 5" xfId="56769"/>
    <cellStyle name="Normal 9 4 9 2 5 2" xfId="56770"/>
    <cellStyle name="Normal 9 4 9 2 6" xfId="56771"/>
    <cellStyle name="Normal 9 4 9 2 7" xfId="56772"/>
    <cellStyle name="Normal 9 4 9 2 8" xfId="56773"/>
    <cellStyle name="Normal 9 4 9 2 9" xfId="56774"/>
    <cellStyle name="Normal 9 4 9 3" xfId="56775"/>
    <cellStyle name="Normal 9 4 9 3 2" xfId="56776"/>
    <cellStyle name="Normal 9 4 9 3 2 2" xfId="56777"/>
    <cellStyle name="Normal 9 4 9 3 3" xfId="56778"/>
    <cellStyle name="Normal 9 4 9 3 4" xfId="56779"/>
    <cellStyle name="Normal 9 4 9 3 5" xfId="56780"/>
    <cellStyle name="Normal 9 4 9 4" xfId="56781"/>
    <cellStyle name="Normal 9 4 9 4 2" xfId="56782"/>
    <cellStyle name="Normal 9 4 9 5" xfId="56783"/>
    <cellStyle name="Normal 9 4 9 5 2" xfId="56784"/>
    <cellStyle name="Normal 9 4 9 6" xfId="56785"/>
    <cellStyle name="Normal 9 4 9 6 2" xfId="56786"/>
    <cellStyle name="Normal 9 4 9 7" xfId="56787"/>
    <cellStyle name="Normal 9 4 9 7 2" xfId="56788"/>
    <cellStyle name="Normal 9 4 9 8" xfId="56789"/>
    <cellStyle name="Normal 9 4 9 9" xfId="56790"/>
    <cellStyle name="Normal 9 5" xfId="54225"/>
    <cellStyle name="Normal 9 5 10" xfId="56792"/>
    <cellStyle name="Normal 9 5 10 10" xfId="56793"/>
    <cellStyle name="Normal 9 5 10 11" xfId="56794"/>
    <cellStyle name="Normal 9 5 10 12" xfId="56795"/>
    <cellStyle name="Normal 9 5 10 13" xfId="56796"/>
    <cellStyle name="Normal 9 5 10 14" xfId="56797"/>
    <cellStyle name="Normal 9 5 10 2" xfId="56798"/>
    <cellStyle name="Normal 9 5 10 2 2" xfId="56799"/>
    <cellStyle name="Normal 9 5 10 2 2 2" xfId="56800"/>
    <cellStyle name="Normal 9 5 10 2 3" xfId="56801"/>
    <cellStyle name="Normal 9 5 10 2 3 2" xfId="56802"/>
    <cellStyle name="Normal 9 5 10 2 4" xfId="56803"/>
    <cellStyle name="Normal 9 5 10 2 4 2" xfId="56804"/>
    <cellStyle name="Normal 9 5 10 2 5" xfId="56805"/>
    <cellStyle name="Normal 9 5 10 2 5 2" xfId="56806"/>
    <cellStyle name="Normal 9 5 10 2 6" xfId="56807"/>
    <cellStyle name="Normal 9 5 10 2 7" xfId="56808"/>
    <cellStyle name="Normal 9 5 10 2 8" xfId="56809"/>
    <cellStyle name="Normal 9 5 10 2 9" xfId="56810"/>
    <cellStyle name="Normal 9 5 10 3" xfId="56811"/>
    <cellStyle name="Normal 9 5 10 3 2" xfId="56812"/>
    <cellStyle name="Normal 9 5 10 3 2 2" xfId="56813"/>
    <cellStyle name="Normal 9 5 10 3 3" xfId="56814"/>
    <cellStyle name="Normal 9 5 10 3 4" xfId="56815"/>
    <cellStyle name="Normal 9 5 10 3 5" xfId="56816"/>
    <cellStyle name="Normal 9 5 10 4" xfId="56817"/>
    <cellStyle name="Normal 9 5 10 4 2" xfId="56818"/>
    <cellStyle name="Normal 9 5 10 5" xfId="56819"/>
    <cellStyle name="Normal 9 5 10 5 2" xfId="56820"/>
    <cellStyle name="Normal 9 5 10 6" xfId="56821"/>
    <cellStyle name="Normal 9 5 10 6 2" xfId="56822"/>
    <cellStyle name="Normal 9 5 10 7" xfId="56823"/>
    <cellStyle name="Normal 9 5 10 7 2" xfId="56824"/>
    <cellStyle name="Normal 9 5 10 8" xfId="56825"/>
    <cellStyle name="Normal 9 5 10 9" xfId="56826"/>
    <cellStyle name="Normal 9 5 11" xfId="56827"/>
    <cellStyle name="Normal 9 5 11 2" xfId="56828"/>
    <cellStyle name="Normal 9 5 11 2 2" xfId="56829"/>
    <cellStyle name="Normal 9 5 11 3" xfId="56830"/>
    <cellStyle name="Normal 9 5 11 3 2" xfId="56831"/>
    <cellStyle name="Normal 9 5 11 4" xfId="56832"/>
    <cellStyle name="Normal 9 5 11 4 2" xfId="56833"/>
    <cellStyle name="Normal 9 5 11 5" xfId="56834"/>
    <cellStyle name="Normal 9 5 11 5 2" xfId="56835"/>
    <cellStyle name="Normal 9 5 11 6" xfId="56836"/>
    <cellStyle name="Normal 9 5 11 7" xfId="56837"/>
    <cellStyle name="Normal 9 5 11 8" xfId="56838"/>
    <cellStyle name="Normal 9 5 11 9" xfId="56839"/>
    <cellStyle name="Normal 9 5 12" xfId="56840"/>
    <cellStyle name="Normal 9 5 12 2" xfId="56841"/>
    <cellStyle name="Normal 9 5 12 2 2" xfId="56842"/>
    <cellStyle name="Normal 9 5 12 3" xfId="56843"/>
    <cellStyle name="Normal 9 5 12 4" xfId="56844"/>
    <cellStyle name="Normal 9 5 12 5" xfId="56845"/>
    <cellStyle name="Normal 9 5 13" xfId="56846"/>
    <cellStyle name="Normal 9 5 13 2" xfId="56847"/>
    <cellStyle name="Normal 9 5 14" xfId="56848"/>
    <cellStyle name="Normal 9 5 14 2" xfId="56849"/>
    <cellStyle name="Normal 9 5 15" xfId="56850"/>
    <cellStyle name="Normal 9 5 15 2" xfId="56851"/>
    <cellStyle name="Normal 9 5 16" xfId="56852"/>
    <cellStyle name="Normal 9 5 16 2" xfId="56853"/>
    <cellStyle name="Normal 9 5 17" xfId="56854"/>
    <cellStyle name="Normal 9 5 18" xfId="56855"/>
    <cellStyle name="Normal 9 5 19" xfId="56856"/>
    <cellStyle name="Normal 9 5 2" xfId="56857"/>
    <cellStyle name="Normal 9 5 2 10" xfId="56858"/>
    <cellStyle name="Normal 9 5 2 10 2" xfId="56859"/>
    <cellStyle name="Normal 9 5 2 11" xfId="56860"/>
    <cellStyle name="Normal 9 5 2 11 2" xfId="56861"/>
    <cellStyle name="Normal 9 5 2 12" xfId="56862"/>
    <cellStyle name="Normal 9 5 2 13" xfId="56863"/>
    <cellStyle name="Normal 9 5 2 14" xfId="56864"/>
    <cellStyle name="Normal 9 5 2 15" xfId="56865"/>
    <cellStyle name="Normal 9 5 2 16" xfId="56866"/>
    <cellStyle name="Normal 9 5 2 17" xfId="56867"/>
    <cellStyle name="Normal 9 5 2 18" xfId="56868"/>
    <cellStyle name="Normal 9 5 2 19" xfId="56869"/>
    <cellStyle name="Normal 9 5 2 2" xfId="56870"/>
    <cellStyle name="Normal 9 5 2 2 10" xfId="56871"/>
    <cellStyle name="Normal 9 5 2 2 11" xfId="56872"/>
    <cellStyle name="Normal 9 5 2 2 12" xfId="56873"/>
    <cellStyle name="Normal 9 5 2 2 13" xfId="56874"/>
    <cellStyle name="Normal 9 5 2 2 14" xfId="56875"/>
    <cellStyle name="Normal 9 5 2 2 15" xfId="56876"/>
    <cellStyle name="Normal 9 5 2 2 16" xfId="56877"/>
    <cellStyle name="Normal 9 5 2 2 2" xfId="56878"/>
    <cellStyle name="Normal 9 5 2 2 2 2" xfId="56879"/>
    <cellStyle name="Normal 9 5 2 2 2 2 2" xfId="56880"/>
    <cellStyle name="Normal 9 5 2 2 2 3" xfId="56881"/>
    <cellStyle name="Normal 9 5 2 2 2 3 2" xfId="56882"/>
    <cellStyle name="Normal 9 5 2 2 2 4" xfId="56883"/>
    <cellStyle name="Normal 9 5 2 2 2 4 2" xfId="56884"/>
    <cellStyle name="Normal 9 5 2 2 2 5" xfId="56885"/>
    <cellStyle name="Normal 9 5 2 2 2 5 2" xfId="56886"/>
    <cellStyle name="Normal 9 5 2 2 2 6" xfId="56887"/>
    <cellStyle name="Normal 9 5 2 2 2 7" xfId="56888"/>
    <cellStyle name="Normal 9 5 2 2 2 8" xfId="56889"/>
    <cellStyle name="Normal 9 5 2 2 2 9" xfId="56890"/>
    <cellStyle name="Normal 9 5 2 2 3" xfId="56891"/>
    <cellStyle name="Normal 9 5 2 2 3 2" xfId="56892"/>
    <cellStyle name="Normal 9 5 2 2 3 2 2" xfId="56893"/>
    <cellStyle name="Normal 9 5 2 2 3 3" xfId="56894"/>
    <cellStyle name="Normal 9 5 2 2 3 4" xfId="56895"/>
    <cellStyle name="Normal 9 5 2 2 3 5" xfId="56896"/>
    <cellStyle name="Normal 9 5 2 2 4" xfId="56897"/>
    <cellStyle name="Normal 9 5 2 2 4 2" xfId="56898"/>
    <cellStyle name="Normal 9 5 2 2 5" xfId="56899"/>
    <cellStyle name="Normal 9 5 2 2 5 2" xfId="56900"/>
    <cellStyle name="Normal 9 5 2 2 6" xfId="56901"/>
    <cellStyle name="Normal 9 5 2 2 6 2" xfId="56902"/>
    <cellStyle name="Normal 9 5 2 2 7" xfId="56903"/>
    <cellStyle name="Normal 9 5 2 2 7 2" xfId="56904"/>
    <cellStyle name="Normal 9 5 2 2 8" xfId="56905"/>
    <cellStyle name="Normal 9 5 2 2 9" xfId="56906"/>
    <cellStyle name="Normal 9 5 2 20" xfId="56907"/>
    <cellStyle name="Normal 9 5 2 3" xfId="56908"/>
    <cellStyle name="Normal 9 5 2 3 10" xfId="56909"/>
    <cellStyle name="Normal 9 5 2 3 11" xfId="56910"/>
    <cellStyle name="Normal 9 5 2 3 12" xfId="56911"/>
    <cellStyle name="Normal 9 5 2 3 13" xfId="56912"/>
    <cellStyle name="Normal 9 5 2 3 14" xfId="56913"/>
    <cellStyle name="Normal 9 5 2 3 15" xfId="56914"/>
    <cellStyle name="Normal 9 5 2 3 16" xfId="56915"/>
    <cellStyle name="Normal 9 5 2 3 2" xfId="56916"/>
    <cellStyle name="Normal 9 5 2 3 2 2" xfId="56917"/>
    <cellStyle name="Normal 9 5 2 3 2 2 2" xfId="56918"/>
    <cellStyle name="Normal 9 5 2 3 2 3" xfId="56919"/>
    <cellStyle name="Normal 9 5 2 3 2 3 2" xfId="56920"/>
    <cellStyle name="Normal 9 5 2 3 2 4" xfId="56921"/>
    <cellStyle name="Normal 9 5 2 3 2 4 2" xfId="56922"/>
    <cellStyle name="Normal 9 5 2 3 2 5" xfId="56923"/>
    <cellStyle name="Normal 9 5 2 3 2 5 2" xfId="56924"/>
    <cellStyle name="Normal 9 5 2 3 2 6" xfId="56925"/>
    <cellStyle name="Normal 9 5 2 3 2 7" xfId="56926"/>
    <cellStyle name="Normal 9 5 2 3 2 8" xfId="56927"/>
    <cellStyle name="Normal 9 5 2 3 2 9" xfId="56928"/>
    <cellStyle name="Normal 9 5 2 3 3" xfId="56929"/>
    <cellStyle name="Normal 9 5 2 3 3 2" xfId="56930"/>
    <cellStyle name="Normal 9 5 2 3 3 2 2" xfId="56931"/>
    <cellStyle name="Normal 9 5 2 3 3 3" xfId="56932"/>
    <cellStyle name="Normal 9 5 2 3 3 4" xfId="56933"/>
    <cellStyle name="Normal 9 5 2 3 3 5" xfId="56934"/>
    <cellStyle name="Normal 9 5 2 3 4" xfId="56935"/>
    <cellStyle name="Normal 9 5 2 3 4 2" xfId="56936"/>
    <cellStyle name="Normal 9 5 2 3 5" xfId="56937"/>
    <cellStyle name="Normal 9 5 2 3 5 2" xfId="56938"/>
    <cellStyle name="Normal 9 5 2 3 6" xfId="56939"/>
    <cellStyle name="Normal 9 5 2 3 6 2" xfId="56940"/>
    <cellStyle name="Normal 9 5 2 3 7" xfId="56941"/>
    <cellStyle name="Normal 9 5 2 3 7 2" xfId="56942"/>
    <cellStyle name="Normal 9 5 2 3 8" xfId="56943"/>
    <cellStyle name="Normal 9 5 2 3 9" xfId="56944"/>
    <cellStyle name="Normal 9 5 2 4" xfId="56945"/>
    <cellStyle name="Normal 9 5 2 4 10" xfId="56946"/>
    <cellStyle name="Normal 9 5 2 4 11" xfId="56947"/>
    <cellStyle name="Normal 9 5 2 4 12" xfId="56948"/>
    <cellStyle name="Normal 9 5 2 4 13" xfId="56949"/>
    <cellStyle name="Normal 9 5 2 4 14" xfId="56950"/>
    <cellStyle name="Normal 9 5 2 4 15" xfId="56951"/>
    <cellStyle name="Normal 9 5 2 4 2" xfId="56952"/>
    <cellStyle name="Normal 9 5 2 4 2 2" xfId="56953"/>
    <cellStyle name="Normal 9 5 2 4 2 2 2" xfId="56954"/>
    <cellStyle name="Normal 9 5 2 4 2 3" xfId="56955"/>
    <cellStyle name="Normal 9 5 2 4 2 3 2" xfId="56956"/>
    <cellStyle name="Normal 9 5 2 4 2 4" xfId="56957"/>
    <cellStyle name="Normal 9 5 2 4 2 4 2" xfId="56958"/>
    <cellStyle name="Normal 9 5 2 4 2 5" xfId="56959"/>
    <cellStyle name="Normal 9 5 2 4 2 5 2" xfId="56960"/>
    <cellStyle name="Normal 9 5 2 4 2 6" xfId="56961"/>
    <cellStyle name="Normal 9 5 2 4 2 7" xfId="56962"/>
    <cellStyle name="Normal 9 5 2 4 2 8" xfId="56963"/>
    <cellStyle name="Normal 9 5 2 4 2 9" xfId="56964"/>
    <cellStyle name="Normal 9 5 2 4 3" xfId="56965"/>
    <cellStyle name="Normal 9 5 2 4 3 2" xfId="56966"/>
    <cellStyle name="Normal 9 5 2 4 3 2 2" xfId="56967"/>
    <cellStyle name="Normal 9 5 2 4 3 3" xfId="56968"/>
    <cellStyle name="Normal 9 5 2 4 3 4" xfId="56969"/>
    <cellStyle name="Normal 9 5 2 4 3 5" xfId="56970"/>
    <cellStyle name="Normal 9 5 2 4 4" xfId="56971"/>
    <cellStyle name="Normal 9 5 2 4 4 2" xfId="56972"/>
    <cellStyle name="Normal 9 5 2 4 5" xfId="56973"/>
    <cellStyle name="Normal 9 5 2 4 5 2" xfId="56974"/>
    <cellStyle name="Normal 9 5 2 4 6" xfId="56975"/>
    <cellStyle name="Normal 9 5 2 4 6 2" xfId="56976"/>
    <cellStyle name="Normal 9 5 2 4 7" xfId="56977"/>
    <cellStyle name="Normal 9 5 2 4 7 2" xfId="56978"/>
    <cellStyle name="Normal 9 5 2 4 8" xfId="56979"/>
    <cellStyle name="Normal 9 5 2 4 9" xfId="56980"/>
    <cellStyle name="Normal 9 5 2 5" xfId="56981"/>
    <cellStyle name="Normal 9 5 2 5 10" xfId="56982"/>
    <cellStyle name="Normal 9 5 2 5 11" xfId="56983"/>
    <cellStyle name="Normal 9 5 2 5 12" xfId="56984"/>
    <cellStyle name="Normal 9 5 2 5 13" xfId="56985"/>
    <cellStyle name="Normal 9 5 2 5 14" xfId="56986"/>
    <cellStyle name="Normal 9 5 2 5 2" xfId="56987"/>
    <cellStyle name="Normal 9 5 2 5 2 2" xfId="56988"/>
    <cellStyle name="Normal 9 5 2 5 2 2 2" xfId="56989"/>
    <cellStyle name="Normal 9 5 2 5 2 3" xfId="56990"/>
    <cellStyle name="Normal 9 5 2 5 2 3 2" xfId="56991"/>
    <cellStyle name="Normal 9 5 2 5 2 4" xfId="56992"/>
    <cellStyle name="Normal 9 5 2 5 2 4 2" xfId="56993"/>
    <cellStyle name="Normal 9 5 2 5 2 5" xfId="56994"/>
    <cellStyle name="Normal 9 5 2 5 2 5 2" xfId="56995"/>
    <cellStyle name="Normal 9 5 2 5 2 6" xfId="56996"/>
    <cellStyle name="Normal 9 5 2 5 2 7" xfId="56997"/>
    <cellStyle name="Normal 9 5 2 5 2 8" xfId="56998"/>
    <cellStyle name="Normal 9 5 2 5 2 9" xfId="56999"/>
    <cellStyle name="Normal 9 5 2 5 3" xfId="57000"/>
    <cellStyle name="Normal 9 5 2 5 3 2" xfId="57001"/>
    <cellStyle name="Normal 9 5 2 5 3 2 2" xfId="57002"/>
    <cellStyle name="Normal 9 5 2 5 3 3" xfId="57003"/>
    <cellStyle name="Normal 9 5 2 5 3 4" xfId="57004"/>
    <cellStyle name="Normal 9 5 2 5 3 5" xfId="57005"/>
    <cellStyle name="Normal 9 5 2 5 4" xfId="57006"/>
    <cellStyle name="Normal 9 5 2 5 4 2" xfId="57007"/>
    <cellStyle name="Normal 9 5 2 5 5" xfId="57008"/>
    <cellStyle name="Normal 9 5 2 5 5 2" xfId="57009"/>
    <cellStyle name="Normal 9 5 2 5 6" xfId="57010"/>
    <cellStyle name="Normal 9 5 2 5 6 2" xfId="57011"/>
    <cellStyle name="Normal 9 5 2 5 7" xfId="57012"/>
    <cellStyle name="Normal 9 5 2 5 7 2" xfId="57013"/>
    <cellStyle name="Normal 9 5 2 5 8" xfId="57014"/>
    <cellStyle name="Normal 9 5 2 5 9" xfId="57015"/>
    <cellStyle name="Normal 9 5 2 6" xfId="57016"/>
    <cellStyle name="Normal 9 5 2 6 2" xfId="57017"/>
    <cellStyle name="Normal 9 5 2 6 2 2" xfId="57018"/>
    <cellStyle name="Normal 9 5 2 6 3" xfId="57019"/>
    <cellStyle name="Normal 9 5 2 6 3 2" xfId="57020"/>
    <cellStyle name="Normal 9 5 2 6 4" xfId="57021"/>
    <cellStyle name="Normal 9 5 2 6 4 2" xfId="57022"/>
    <cellStyle name="Normal 9 5 2 6 5" xfId="57023"/>
    <cellStyle name="Normal 9 5 2 6 5 2" xfId="57024"/>
    <cellStyle name="Normal 9 5 2 6 6" xfId="57025"/>
    <cellStyle name="Normal 9 5 2 6 7" xfId="57026"/>
    <cellStyle name="Normal 9 5 2 6 8" xfId="57027"/>
    <cellStyle name="Normal 9 5 2 6 9" xfId="57028"/>
    <cellStyle name="Normal 9 5 2 7" xfId="57029"/>
    <cellStyle name="Normal 9 5 2 7 2" xfId="57030"/>
    <cellStyle name="Normal 9 5 2 7 2 2" xfId="57031"/>
    <cellStyle name="Normal 9 5 2 7 3" xfId="57032"/>
    <cellStyle name="Normal 9 5 2 7 4" xfId="57033"/>
    <cellStyle name="Normal 9 5 2 7 5" xfId="57034"/>
    <cellStyle name="Normal 9 5 2 8" xfId="57035"/>
    <cellStyle name="Normal 9 5 2 8 2" xfId="57036"/>
    <cellStyle name="Normal 9 5 2 9" xfId="57037"/>
    <cellStyle name="Normal 9 5 2 9 2" xfId="57038"/>
    <cellStyle name="Normal 9 5 20" xfId="57039"/>
    <cellStyle name="Normal 9 5 21" xfId="57040"/>
    <cellStyle name="Normal 9 5 22" xfId="57041"/>
    <cellStyle name="Normal 9 5 23" xfId="57042"/>
    <cellStyle name="Normal 9 5 24" xfId="57043"/>
    <cellStyle name="Normal 9 5 25" xfId="57044"/>
    <cellStyle name="Normal 9 5 3" xfId="57045"/>
    <cellStyle name="Normal 9 5 3 10" xfId="57046"/>
    <cellStyle name="Normal 9 5 3 11" xfId="57047"/>
    <cellStyle name="Normal 9 5 3 12" xfId="57048"/>
    <cellStyle name="Normal 9 5 3 13" xfId="57049"/>
    <cellStyle name="Normal 9 5 3 14" xfId="57050"/>
    <cellStyle name="Normal 9 5 3 15" xfId="57051"/>
    <cellStyle name="Normal 9 5 3 16" xfId="57052"/>
    <cellStyle name="Normal 9 5 3 17" xfId="57053"/>
    <cellStyle name="Normal 9 5 3 18" xfId="57054"/>
    <cellStyle name="Normal 9 5 3 2" xfId="57055"/>
    <cellStyle name="Normal 9 5 3 2 10" xfId="57056"/>
    <cellStyle name="Normal 9 5 3 2 11" xfId="57057"/>
    <cellStyle name="Normal 9 5 3 2 12" xfId="57058"/>
    <cellStyle name="Normal 9 5 3 2 13" xfId="57059"/>
    <cellStyle name="Normal 9 5 3 2 2" xfId="57060"/>
    <cellStyle name="Normal 9 5 3 2 2 2" xfId="57061"/>
    <cellStyle name="Normal 9 5 3 2 2 2 2" xfId="57062"/>
    <cellStyle name="Normal 9 5 3 2 2 3" xfId="57063"/>
    <cellStyle name="Normal 9 5 3 2 2 4" xfId="57064"/>
    <cellStyle name="Normal 9 5 3 2 2 5" xfId="57065"/>
    <cellStyle name="Normal 9 5 3 2 3" xfId="57066"/>
    <cellStyle name="Normal 9 5 3 2 3 2" xfId="57067"/>
    <cellStyle name="Normal 9 5 3 2 4" xfId="57068"/>
    <cellStyle name="Normal 9 5 3 2 4 2" xfId="57069"/>
    <cellStyle name="Normal 9 5 3 2 5" xfId="57070"/>
    <cellStyle name="Normal 9 5 3 2 5 2" xfId="57071"/>
    <cellStyle name="Normal 9 5 3 2 6" xfId="57072"/>
    <cellStyle name="Normal 9 5 3 2 6 2" xfId="57073"/>
    <cellStyle name="Normal 9 5 3 2 7" xfId="57074"/>
    <cellStyle name="Normal 9 5 3 2 8" xfId="57075"/>
    <cellStyle name="Normal 9 5 3 2 9" xfId="57076"/>
    <cellStyle name="Normal 9 5 3 3" xfId="57077"/>
    <cellStyle name="Normal 9 5 3 3 2" xfId="57078"/>
    <cellStyle name="Normal 9 5 3 3 2 2" xfId="57079"/>
    <cellStyle name="Normal 9 5 3 3 3" xfId="57080"/>
    <cellStyle name="Normal 9 5 3 3 4" xfId="57081"/>
    <cellStyle name="Normal 9 5 3 3 5" xfId="57082"/>
    <cellStyle name="Normal 9 5 3 4" xfId="57083"/>
    <cellStyle name="Normal 9 5 3 4 2" xfId="57084"/>
    <cellStyle name="Normal 9 5 3 5" xfId="57085"/>
    <cellStyle name="Normal 9 5 3 5 2" xfId="57086"/>
    <cellStyle name="Normal 9 5 3 6" xfId="57087"/>
    <cellStyle name="Normal 9 5 3 6 2" xfId="57088"/>
    <cellStyle name="Normal 9 5 3 7" xfId="57089"/>
    <cellStyle name="Normal 9 5 3 7 2" xfId="57090"/>
    <cellStyle name="Normal 9 5 3 8" xfId="57091"/>
    <cellStyle name="Normal 9 5 3 9" xfId="57092"/>
    <cellStyle name="Normal 9 5 4" xfId="57093"/>
    <cellStyle name="Normal 9 5 4 10" xfId="57094"/>
    <cellStyle name="Normal 9 5 4 11" xfId="57095"/>
    <cellStyle name="Normal 9 5 4 12" xfId="57096"/>
    <cellStyle name="Normal 9 5 4 13" xfId="57097"/>
    <cellStyle name="Normal 9 5 4 14" xfId="57098"/>
    <cellStyle name="Normal 9 5 4 15" xfId="57099"/>
    <cellStyle name="Normal 9 5 4 16" xfId="57100"/>
    <cellStyle name="Normal 9 5 4 17" xfId="57101"/>
    <cellStyle name="Normal 9 5 4 18" xfId="57102"/>
    <cellStyle name="Normal 9 5 4 2" xfId="57103"/>
    <cellStyle name="Normal 9 5 4 2 10" xfId="57104"/>
    <cellStyle name="Normal 9 5 4 2 11" xfId="57105"/>
    <cellStyle name="Normal 9 5 4 2 12" xfId="57106"/>
    <cellStyle name="Normal 9 5 4 2 13" xfId="57107"/>
    <cellStyle name="Normal 9 5 4 2 2" xfId="57108"/>
    <cellStyle name="Normal 9 5 4 2 2 2" xfId="57109"/>
    <cellStyle name="Normal 9 5 4 2 2 2 2" xfId="57110"/>
    <cellStyle name="Normal 9 5 4 2 2 3" xfId="57111"/>
    <cellStyle name="Normal 9 5 4 2 2 4" xfId="57112"/>
    <cellStyle name="Normal 9 5 4 2 2 5" xfId="57113"/>
    <cellStyle name="Normal 9 5 4 2 3" xfId="57114"/>
    <cellStyle name="Normal 9 5 4 2 3 2" xfId="57115"/>
    <cellStyle name="Normal 9 5 4 2 4" xfId="57116"/>
    <cellStyle name="Normal 9 5 4 2 4 2" xfId="57117"/>
    <cellStyle name="Normal 9 5 4 2 5" xfId="57118"/>
    <cellStyle name="Normal 9 5 4 2 5 2" xfId="57119"/>
    <cellStyle name="Normal 9 5 4 2 6" xfId="57120"/>
    <cellStyle name="Normal 9 5 4 2 6 2" xfId="57121"/>
    <cellStyle name="Normal 9 5 4 2 7" xfId="57122"/>
    <cellStyle name="Normal 9 5 4 2 8" xfId="57123"/>
    <cellStyle name="Normal 9 5 4 2 9" xfId="57124"/>
    <cellStyle name="Normal 9 5 4 3" xfId="57125"/>
    <cellStyle name="Normal 9 5 4 3 2" xfId="57126"/>
    <cellStyle name="Normal 9 5 4 3 2 2" xfId="57127"/>
    <cellStyle name="Normal 9 5 4 3 3" xfId="57128"/>
    <cellStyle name="Normal 9 5 4 3 4" xfId="57129"/>
    <cellStyle name="Normal 9 5 4 3 5" xfId="57130"/>
    <cellStyle name="Normal 9 5 4 4" xfId="57131"/>
    <cellStyle name="Normal 9 5 4 4 2" xfId="57132"/>
    <cellStyle name="Normal 9 5 4 5" xfId="57133"/>
    <cellStyle name="Normal 9 5 4 5 2" xfId="57134"/>
    <cellStyle name="Normal 9 5 4 6" xfId="57135"/>
    <cellStyle name="Normal 9 5 4 6 2" xfId="57136"/>
    <cellStyle name="Normal 9 5 4 7" xfId="57137"/>
    <cellStyle name="Normal 9 5 4 7 2" xfId="57138"/>
    <cellStyle name="Normal 9 5 4 8" xfId="57139"/>
    <cellStyle name="Normal 9 5 4 9" xfId="57140"/>
    <cellStyle name="Normal 9 5 5" xfId="57141"/>
    <cellStyle name="Normal 9 5 5 10" xfId="57142"/>
    <cellStyle name="Normal 9 5 5 11" xfId="57143"/>
    <cellStyle name="Normal 9 5 5 12" xfId="57144"/>
    <cellStyle name="Normal 9 5 5 13" xfId="57145"/>
    <cellStyle name="Normal 9 5 5 14" xfId="57146"/>
    <cellStyle name="Normal 9 5 5 15" xfId="57147"/>
    <cellStyle name="Normal 9 5 5 16" xfId="57148"/>
    <cellStyle name="Normal 9 5 5 17" xfId="57149"/>
    <cellStyle name="Normal 9 5 5 18" xfId="57150"/>
    <cellStyle name="Normal 9 5 5 2" xfId="57151"/>
    <cellStyle name="Normal 9 5 5 2 10" xfId="57152"/>
    <cellStyle name="Normal 9 5 5 2 11" xfId="57153"/>
    <cellStyle name="Normal 9 5 5 2 12" xfId="57154"/>
    <cellStyle name="Normal 9 5 5 2 13" xfId="57155"/>
    <cellStyle name="Normal 9 5 5 2 2" xfId="57156"/>
    <cellStyle name="Normal 9 5 5 2 2 2" xfId="57157"/>
    <cellStyle name="Normal 9 5 5 2 2 2 2" xfId="57158"/>
    <cellStyle name="Normal 9 5 5 2 2 3" xfId="57159"/>
    <cellStyle name="Normal 9 5 5 2 2 4" xfId="57160"/>
    <cellStyle name="Normal 9 5 5 2 2 5" xfId="57161"/>
    <cellStyle name="Normal 9 5 5 2 3" xfId="57162"/>
    <cellStyle name="Normal 9 5 5 2 3 2" xfId="57163"/>
    <cellStyle name="Normal 9 5 5 2 4" xfId="57164"/>
    <cellStyle name="Normal 9 5 5 2 4 2" xfId="57165"/>
    <cellStyle name="Normal 9 5 5 2 5" xfId="57166"/>
    <cellStyle name="Normal 9 5 5 2 5 2" xfId="57167"/>
    <cellStyle name="Normal 9 5 5 2 6" xfId="57168"/>
    <cellStyle name="Normal 9 5 5 2 6 2" xfId="57169"/>
    <cellStyle name="Normal 9 5 5 2 7" xfId="57170"/>
    <cellStyle name="Normal 9 5 5 2 8" xfId="57171"/>
    <cellStyle name="Normal 9 5 5 2 9" xfId="57172"/>
    <cellStyle name="Normal 9 5 5 3" xfId="57173"/>
    <cellStyle name="Normal 9 5 5 3 2" xfId="57174"/>
    <cellStyle name="Normal 9 5 5 3 2 2" xfId="57175"/>
    <cellStyle name="Normal 9 5 5 3 3" xfId="57176"/>
    <cellStyle name="Normal 9 5 5 3 4" xfId="57177"/>
    <cellStyle name="Normal 9 5 5 3 5" xfId="57178"/>
    <cellStyle name="Normal 9 5 5 4" xfId="57179"/>
    <cellStyle name="Normal 9 5 5 4 2" xfId="57180"/>
    <cellStyle name="Normal 9 5 5 5" xfId="57181"/>
    <cellStyle name="Normal 9 5 5 5 2" xfId="57182"/>
    <cellStyle name="Normal 9 5 5 6" xfId="57183"/>
    <cellStyle name="Normal 9 5 5 6 2" xfId="57184"/>
    <cellStyle name="Normal 9 5 5 7" xfId="57185"/>
    <cellStyle name="Normal 9 5 5 7 2" xfId="57186"/>
    <cellStyle name="Normal 9 5 5 8" xfId="57187"/>
    <cellStyle name="Normal 9 5 5 9" xfId="57188"/>
    <cellStyle name="Normal 9 5 6" xfId="57189"/>
    <cellStyle name="Normal 9 5 6 10" xfId="57190"/>
    <cellStyle name="Normal 9 5 6 11" xfId="57191"/>
    <cellStyle name="Normal 9 5 6 12" xfId="57192"/>
    <cellStyle name="Normal 9 5 6 13" xfId="57193"/>
    <cellStyle name="Normal 9 5 6 14" xfId="57194"/>
    <cellStyle name="Normal 9 5 6 15" xfId="57195"/>
    <cellStyle name="Normal 9 5 6 16" xfId="57196"/>
    <cellStyle name="Normal 9 5 6 17" xfId="57197"/>
    <cellStyle name="Normal 9 5 6 18" xfId="57198"/>
    <cellStyle name="Normal 9 5 6 2" xfId="57199"/>
    <cellStyle name="Normal 9 5 6 2 10" xfId="57200"/>
    <cellStyle name="Normal 9 5 6 2 11" xfId="57201"/>
    <cellStyle name="Normal 9 5 6 2 12" xfId="57202"/>
    <cellStyle name="Normal 9 5 6 2 13" xfId="57203"/>
    <cellStyle name="Normal 9 5 6 2 2" xfId="57204"/>
    <cellStyle name="Normal 9 5 6 2 2 2" xfId="57205"/>
    <cellStyle name="Normal 9 5 6 2 2 2 2" xfId="57206"/>
    <cellStyle name="Normal 9 5 6 2 2 3" xfId="57207"/>
    <cellStyle name="Normal 9 5 6 2 2 4" xfId="57208"/>
    <cellStyle name="Normal 9 5 6 2 2 5" xfId="57209"/>
    <cellStyle name="Normal 9 5 6 2 3" xfId="57210"/>
    <cellStyle name="Normal 9 5 6 2 3 2" xfId="57211"/>
    <cellStyle name="Normal 9 5 6 2 4" xfId="57212"/>
    <cellStyle name="Normal 9 5 6 2 4 2" xfId="57213"/>
    <cellStyle name="Normal 9 5 6 2 5" xfId="57214"/>
    <cellStyle name="Normal 9 5 6 2 5 2" xfId="57215"/>
    <cellStyle name="Normal 9 5 6 2 6" xfId="57216"/>
    <cellStyle name="Normal 9 5 6 2 6 2" xfId="57217"/>
    <cellStyle name="Normal 9 5 6 2 7" xfId="57218"/>
    <cellStyle name="Normal 9 5 6 2 8" xfId="57219"/>
    <cellStyle name="Normal 9 5 6 2 9" xfId="57220"/>
    <cellStyle name="Normal 9 5 6 3" xfId="57221"/>
    <cellStyle name="Normal 9 5 6 3 2" xfId="57222"/>
    <cellStyle name="Normal 9 5 6 3 2 2" xfId="57223"/>
    <cellStyle name="Normal 9 5 6 3 3" xfId="57224"/>
    <cellStyle name="Normal 9 5 6 3 4" xfId="57225"/>
    <cellStyle name="Normal 9 5 6 3 5" xfId="57226"/>
    <cellStyle name="Normal 9 5 6 4" xfId="57227"/>
    <cellStyle name="Normal 9 5 6 4 2" xfId="57228"/>
    <cellStyle name="Normal 9 5 6 5" xfId="57229"/>
    <cellStyle name="Normal 9 5 6 5 2" xfId="57230"/>
    <cellStyle name="Normal 9 5 6 6" xfId="57231"/>
    <cellStyle name="Normal 9 5 6 6 2" xfId="57232"/>
    <cellStyle name="Normal 9 5 6 7" xfId="57233"/>
    <cellStyle name="Normal 9 5 6 7 2" xfId="57234"/>
    <cellStyle name="Normal 9 5 6 8" xfId="57235"/>
    <cellStyle name="Normal 9 5 6 9" xfId="57236"/>
    <cellStyle name="Normal 9 5 7" xfId="57237"/>
    <cellStyle name="Normal 9 5 7 10" xfId="57238"/>
    <cellStyle name="Normal 9 5 7 11" xfId="57239"/>
    <cellStyle name="Normal 9 5 7 12" xfId="57240"/>
    <cellStyle name="Normal 9 5 7 13" xfId="57241"/>
    <cellStyle name="Normal 9 5 7 14" xfId="57242"/>
    <cellStyle name="Normal 9 5 7 15" xfId="57243"/>
    <cellStyle name="Normal 9 5 7 16" xfId="57244"/>
    <cellStyle name="Normal 9 5 7 17" xfId="57245"/>
    <cellStyle name="Normal 9 5 7 2" xfId="57246"/>
    <cellStyle name="Normal 9 5 7 2 10" xfId="57247"/>
    <cellStyle name="Normal 9 5 7 2 11" xfId="57248"/>
    <cellStyle name="Normal 9 5 7 2 12" xfId="57249"/>
    <cellStyle name="Normal 9 5 7 2 13" xfId="57250"/>
    <cellStyle name="Normal 9 5 7 2 2" xfId="57251"/>
    <cellStyle name="Normal 9 5 7 2 2 2" xfId="57252"/>
    <cellStyle name="Normal 9 5 7 2 2 2 2" xfId="57253"/>
    <cellStyle name="Normal 9 5 7 2 2 3" xfId="57254"/>
    <cellStyle name="Normal 9 5 7 2 2 4" xfId="57255"/>
    <cellStyle name="Normal 9 5 7 2 2 5" xfId="57256"/>
    <cellStyle name="Normal 9 5 7 2 3" xfId="57257"/>
    <cellStyle name="Normal 9 5 7 2 3 2" xfId="57258"/>
    <cellStyle name="Normal 9 5 7 2 4" xfId="57259"/>
    <cellStyle name="Normal 9 5 7 2 4 2" xfId="57260"/>
    <cellStyle name="Normal 9 5 7 2 5" xfId="57261"/>
    <cellStyle name="Normal 9 5 7 2 5 2" xfId="57262"/>
    <cellStyle name="Normal 9 5 7 2 6" xfId="57263"/>
    <cellStyle name="Normal 9 5 7 2 6 2" xfId="57264"/>
    <cellStyle name="Normal 9 5 7 2 7" xfId="57265"/>
    <cellStyle name="Normal 9 5 7 2 8" xfId="57266"/>
    <cellStyle name="Normal 9 5 7 2 9" xfId="57267"/>
    <cellStyle name="Normal 9 5 7 3" xfId="57268"/>
    <cellStyle name="Normal 9 5 7 3 2" xfId="57269"/>
    <cellStyle name="Normal 9 5 7 3 2 2" xfId="57270"/>
    <cellStyle name="Normal 9 5 7 3 3" xfId="57271"/>
    <cellStyle name="Normal 9 5 7 3 4" xfId="57272"/>
    <cellStyle name="Normal 9 5 7 3 5" xfId="57273"/>
    <cellStyle name="Normal 9 5 7 4" xfId="57274"/>
    <cellStyle name="Normal 9 5 7 4 2" xfId="57275"/>
    <cellStyle name="Normal 9 5 7 5" xfId="57276"/>
    <cellStyle name="Normal 9 5 7 5 2" xfId="57277"/>
    <cellStyle name="Normal 9 5 7 6" xfId="57278"/>
    <cellStyle name="Normal 9 5 7 6 2" xfId="57279"/>
    <cellStyle name="Normal 9 5 7 7" xfId="57280"/>
    <cellStyle name="Normal 9 5 7 7 2" xfId="57281"/>
    <cellStyle name="Normal 9 5 7 8" xfId="57282"/>
    <cellStyle name="Normal 9 5 7 9" xfId="57283"/>
    <cellStyle name="Normal 9 5 8" xfId="57284"/>
    <cellStyle name="Normal 9 5 8 10" xfId="57285"/>
    <cellStyle name="Normal 9 5 8 11" xfId="57286"/>
    <cellStyle name="Normal 9 5 8 12" xfId="57287"/>
    <cellStyle name="Normal 9 5 8 13" xfId="57288"/>
    <cellStyle name="Normal 9 5 8 14" xfId="57289"/>
    <cellStyle name="Normal 9 5 8 15" xfId="57290"/>
    <cellStyle name="Normal 9 5 8 2" xfId="57291"/>
    <cellStyle name="Normal 9 5 8 2 2" xfId="57292"/>
    <cellStyle name="Normal 9 5 8 2 2 2" xfId="57293"/>
    <cellStyle name="Normal 9 5 8 2 3" xfId="57294"/>
    <cellStyle name="Normal 9 5 8 2 3 2" xfId="57295"/>
    <cellStyle name="Normal 9 5 8 2 4" xfId="57296"/>
    <cellStyle name="Normal 9 5 8 2 4 2" xfId="57297"/>
    <cellStyle name="Normal 9 5 8 2 5" xfId="57298"/>
    <cellStyle name="Normal 9 5 8 2 5 2" xfId="57299"/>
    <cellStyle name="Normal 9 5 8 2 6" xfId="57300"/>
    <cellStyle name="Normal 9 5 8 2 7" xfId="57301"/>
    <cellStyle name="Normal 9 5 8 2 8" xfId="57302"/>
    <cellStyle name="Normal 9 5 8 2 9" xfId="57303"/>
    <cellStyle name="Normal 9 5 8 3" xfId="57304"/>
    <cellStyle name="Normal 9 5 8 3 2" xfId="57305"/>
    <cellStyle name="Normal 9 5 8 3 2 2" xfId="57306"/>
    <cellStyle name="Normal 9 5 8 3 3" xfId="57307"/>
    <cellStyle name="Normal 9 5 8 3 4" xfId="57308"/>
    <cellStyle name="Normal 9 5 8 3 5" xfId="57309"/>
    <cellStyle name="Normal 9 5 8 4" xfId="57310"/>
    <cellStyle name="Normal 9 5 8 4 2" xfId="57311"/>
    <cellStyle name="Normal 9 5 8 5" xfId="57312"/>
    <cellStyle name="Normal 9 5 8 5 2" xfId="57313"/>
    <cellStyle name="Normal 9 5 8 6" xfId="57314"/>
    <cellStyle name="Normal 9 5 8 6 2" xfId="57315"/>
    <cellStyle name="Normal 9 5 8 7" xfId="57316"/>
    <cellStyle name="Normal 9 5 8 7 2" xfId="57317"/>
    <cellStyle name="Normal 9 5 8 8" xfId="57318"/>
    <cellStyle name="Normal 9 5 8 9" xfId="57319"/>
    <cellStyle name="Normal 9 5 9" xfId="57320"/>
    <cellStyle name="Normal 9 5 9 10" xfId="57321"/>
    <cellStyle name="Normal 9 5 9 11" xfId="57322"/>
    <cellStyle name="Normal 9 5 9 12" xfId="57323"/>
    <cellStyle name="Normal 9 5 9 13" xfId="57324"/>
    <cellStyle name="Normal 9 5 9 14" xfId="57325"/>
    <cellStyle name="Normal 9 5 9 15" xfId="57326"/>
    <cellStyle name="Normal 9 5 9 2" xfId="57327"/>
    <cellStyle name="Normal 9 5 9 2 2" xfId="57328"/>
    <cellStyle name="Normal 9 5 9 2 2 2" xfId="57329"/>
    <cellStyle name="Normal 9 5 9 2 3" xfId="57330"/>
    <cellStyle name="Normal 9 5 9 2 3 2" xfId="57331"/>
    <cellStyle name="Normal 9 5 9 2 4" xfId="57332"/>
    <cellStyle name="Normal 9 5 9 2 4 2" xfId="57333"/>
    <cellStyle name="Normal 9 5 9 2 5" xfId="57334"/>
    <cellStyle name="Normal 9 5 9 2 5 2" xfId="57335"/>
    <cellStyle name="Normal 9 5 9 2 6" xfId="57336"/>
    <cellStyle name="Normal 9 5 9 2 7" xfId="57337"/>
    <cellStyle name="Normal 9 5 9 2 8" xfId="57338"/>
    <cellStyle name="Normal 9 5 9 2 9" xfId="57339"/>
    <cellStyle name="Normal 9 5 9 3" xfId="57340"/>
    <cellStyle name="Normal 9 5 9 3 2" xfId="57341"/>
    <cellStyle name="Normal 9 5 9 3 2 2" xfId="57342"/>
    <cellStyle name="Normal 9 5 9 3 3" xfId="57343"/>
    <cellStyle name="Normal 9 5 9 3 4" xfId="57344"/>
    <cellStyle name="Normal 9 5 9 3 5" xfId="57345"/>
    <cellStyle name="Normal 9 5 9 4" xfId="57346"/>
    <cellStyle name="Normal 9 5 9 4 2" xfId="57347"/>
    <cellStyle name="Normal 9 5 9 5" xfId="57348"/>
    <cellStyle name="Normal 9 5 9 5 2" xfId="57349"/>
    <cellStyle name="Normal 9 5 9 6" xfId="57350"/>
    <cellStyle name="Normal 9 5 9 6 2" xfId="57351"/>
    <cellStyle name="Normal 9 5 9 7" xfId="57352"/>
    <cellStyle name="Normal 9 5 9 7 2" xfId="57353"/>
    <cellStyle name="Normal 9 5 9 8" xfId="57354"/>
    <cellStyle name="Normal 9 5 9 9" xfId="57355"/>
    <cellStyle name="Normal 9 6" xfId="57356"/>
    <cellStyle name="Normal 9 6 10" xfId="57357"/>
    <cellStyle name="Normal 9 6 10 10" xfId="57358"/>
    <cellStyle name="Normal 9 6 10 11" xfId="57359"/>
    <cellStyle name="Normal 9 6 10 12" xfId="57360"/>
    <cellStyle name="Normal 9 6 10 13" xfId="57361"/>
    <cellStyle name="Normal 9 6 10 14" xfId="57362"/>
    <cellStyle name="Normal 9 6 10 2" xfId="57363"/>
    <cellStyle name="Normal 9 6 10 2 2" xfId="57364"/>
    <cellStyle name="Normal 9 6 10 2 2 2" xfId="57365"/>
    <cellStyle name="Normal 9 6 10 2 3" xfId="57366"/>
    <cellStyle name="Normal 9 6 10 2 3 2" xfId="57367"/>
    <cellStyle name="Normal 9 6 10 2 4" xfId="57368"/>
    <cellStyle name="Normal 9 6 10 2 4 2" xfId="57369"/>
    <cellStyle name="Normal 9 6 10 2 5" xfId="57370"/>
    <cellStyle name="Normal 9 6 10 2 5 2" xfId="57371"/>
    <cellStyle name="Normal 9 6 10 2 6" xfId="57372"/>
    <cellStyle name="Normal 9 6 10 2 7" xfId="57373"/>
    <cellStyle name="Normal 9 6 10 2 8" xfId="57374"/>
    <cellStyle name="Normal 9 6 10 2 9" xfId="57375"/>
    <cellStyle name="Normal 9 6 10 3" xfId="57376"/>
    <cellStyle name="Normal 9 6 10 3 2" xfId="57377"/>
    <cellStyle name="Normal 9 6 10 3 2 2" xfId="57378"/>
    <cellStyle name="Normal 9 6 10 3 3" xfId="57379"/>
    <cellStyle name="Normal 9 6 10 3 4" xfId="57380"/>
    <cellStyle name="Normal 9 6 10 3 5" xfId="57381"/>
    <cellStyle name="Normal 9 6 10 4" xfId="57382"/>
    <cellStyle name="Normal 9 6 10 4 2" xfId="57383"/>
    <cellStyle name="Normal 9 6 10 5" xfId="57384"/>
    <cellStyle name="Normal 9 6 10 5 2" xfId="57385"/>
    <cellStyle name="Normal 9 6 10 6" xfId="57386"/>
    <cellStyle name="Normal 9 6 10 6 2" xfId="57387"/>
    <cellStyle name="Normal 9 6 10 7" xfId="57388"/>
    <cellStyle name="Normal 9 6 10 7 2" xfId="57389"/>
    <cellStyle name="Normal 9 6 10 8" xfId="57390"/>
    <cellStyle name="Normal 9 6 10 9" xfId="57391"/>
    <cellStyle name="Normal 9 6 11" xfId="57392"/>
    <cellStyle name="Normal 9 6 11 2" xfId="57393"/>
    <cellStyle name="Normal 9 6 11 2 2" xfId="57394"/>
    <cellStyle name="Normal 9 6 11 3" xfId="57395"/>
    <cellStyle name="Normal 9 6 11 3 2" xfId="57396"/>
    <cellStyle name="Normal 9 6 11 4" xfId="57397"/>
    <cellStyle name="Normal 9 6 11 4 2" xfId="57398"/>
    <cellStyle name="Normal 9 6 11 5" xfId="57399"/>
    <cellStyle name="Normal 9 6 11 5 2" xfId="57400"/>
    <cellStyle name="Normal 9 6 11 6" xfId="57401"/>
    <cellStyle name="Normal 9 6 11 7" xfId="57402"/>
    <cellStyle name="Normal 9 6 11 8" xfId="57403"/>
    <cellStyle name="Normal 9 6 11 9" xfId="57404"/>
    <cellStyle name="Normal 9 6 12" xfId="57405"/>
    <cellStyle name="Normal 9 6 12 2" xfId="57406"/>
    <cellStyle name="Normal 9 6 12 2 2" xfId="57407"/>
    <cellStyle name="Normal 9 6 12 3" xfId="57408"/>
    <cellStyle name="Normal 9 6 12 4" xfId="57409"/>
    <cellStyle name="Normal 9 6 12 5" xfId="57410"/>
    <cellStyle name="Normal 9 6 13" xfId="57411"/>
    <cellStyle name="Normal 9 6 13 2" xfId="57412"/>
    <cellStyle name="Normal 9 6 14" xfId="57413"/>
    <cellStyle name="Normal 9 6 14 2" xfId="57414"/>
    <cellStyle name="Normal 9 6 15" xfId="57415"/>
    <cellStyle name="Normal 9 6 15 2" xfId="57416"/>
    <cellStyle name="Normal 9 6 16" xfId="57417"/>
    <cellStyle name="Normal 9 6 16 2" xfId="57418"/>
    <cellStyle name="Normal 9 6 17" xfId="57419"/>
    <cellStyle name="Normal 9 6 18" xfId="57420"/>
    <cellStyle name="Normal 9 6 19" xfId="57421"/>
    <cellStyle name="Normal 9 6 2" xfId="57422"/>
    <cellStyle name="Normal 9 6 2 10" xfId="57423"/>
    <cellStyle name="Normal 9 6 2 11" xfId="57424"/>
    <cellStyle name="Normal 9 6 2 12" xfId="57425"/>
    <cellStyle name="Normal 9 6 2 13" xfId="57426"/>
    <cellStyle name="Normal 9 6 2 14" xfId="57427"/>
    <cellStyle name="Normal 9 6 2 15" xfId="57428"/>
    <cellStyle name="Normal 9 6 2 16" xfId="57429"/>
    <cellStyle name="Normal 9 6 2 17" xfId="57430"/>
    <cellStyle name="Normal 9 6 2 18" xfId="57431"/>
    <cellStyle name="Normal 9 6 2 2" xfId="57432"/>
    <cellStyle name="Normal 9 6 2 2 10" xfId="57433"/>
    <cellStyle name="Normal 9 6 2 2 11" xfId="57434"/>
    <cellStyle name="Normal 9 6 2 2 12" xfId="57435"/>
    <cellStyle name="Normal 9 6 2 2 13" xfId="57436"/>
    <cellStyle name="Normal 9 6 2 2 2" xfId="57437"/>
    <cellStyle name="Normal 9 6 2 2 2 2" xfId="57438"/>
    <cellStyle name="Normal 9 6 2 2 2 2 2" xfId="57439"/>
    <cellStyle name="Normal 9 6 2 2 2 3" xfId="57440"/>
    <cellStyle name="Normal 9 6 2 2 2 4" xfId="57441"/>
    <cellStyle name="Normal 9 6 2 2 2 5" xfId="57442"/>
    <cellStyle name="Normal 9 6 2 2 3" xfId="57443"/>
    <cellStyle name="Normal 9 6 2 2 3 2" xfId="57444"/>
    <cellStyle name="Normal 9 6 2 2 4" xfId="57445"/>
    <cellStyle name="Normal 9 6 2 2 4 2" xfId="57446"/>
    <cellStyle name="Normal 9 6 2 2 5" xfId="57447"/>
    <cellStyle name="Normal 9 6 2 2 5 2" xfId="57448"/>
    <cellStyle name="Normal 9 6 2 2 6" xfId="57449"/>
    <cellStyle name="Normal 9 6 2 2 6 2" xfId="57450"/>
    <cellStyle name="Normal 9 6 2 2 7" xfId="57451"/>
    <cellStyle name="Normal 9 6 2 2 8" xfId="57452"/>
    <cellStyle name="Normal 9 6 2 2 9" xfId="57453"/>
    <cellStyle name="Normal 9 6 2 3" xfId="57454"/>
    <cellStyle name="Normal 9 6 2 3 2" xfId="57455"/>
    <cellStyle name="Normal 9 6 2 3 2 2" xfId="57456"/>
    <cellStyle name="Normal 9 6 2 3 3" xfId="57457"/>
    <cellStyle name="Normal 9 6 2 3 4" xfId="57458"/>
    <cellStyle name="Normal 9 6 2 3 5" xfId="57459"/>
    <cellStyle name="Normal 9 6 2 4" xfId="57460"/>
    <cellStyle name="Normal 9 6 2 4 2" xfId="57461"/>
    <cellStyle name="Normal 9 6 2 5" xfId="57462"/>
    <cellStyle name="Normal 9 6 2 5 2" xfId="57463"/>
    <cellStyle name="Normal 9 6 2 6" xfId="57464"/>
    <cellStyle name="Normal 9 6 2 6 2" xfId="57465"/>
    <cellStyle name="Normal 9 6 2 7" xfId="57466"/>
    <cellStyle name="Normal 9 6 2 7 2" xfId="57467"/>
    <cellStyle name="Normal 9 6 2 8" xfId="57468"/>
    <cellStyle name="Normal 9 6 2 9" xfId="57469"/>
    <cellStyle name="Normal 9 6 20" xfId="57470"/>
    <cellStyle name="Normal 9 6 21" xfId="57471"/>
    <cellStyle name="Normal 9 6 22" xfId="57472"/>
    <cellStyle name="Normal 9 6 23" xfId="57473"/>
    <cellStyle name="Normal 9 6 24" xfId="57474"/>
    <cellStyle name="Normal 9 6 25" xfId="57475"/>
    <cellStyle name="Normal 9 6 3" xfId="57476"/>
    <cellStyle name="Normal 9 6 3 10" xfId="57477"/>
    <cellStyle name="Normal 9 6 3 11" xfId="57478"/>
    <cellStyle name="Normal 9 6 3 12" xfId="57479"/>
    <cellStyle name="Normal 9 6 3 13" xfId="57480"/>
    <cellStyle name="Normal 9 6 3 14" xfId="57481"/>
    <cellStyle name="Normal 9 6 3 15" xfId="57482"/>
    <cellStyle name="Normal 9 6 3 16" xfId="57483"/>
    <cellStyle name="Normal 9 6 3 17" xfId="57484"/>
    <cellStyle name="Normal 9 6 3 18" xfId="57485"/>
    <cellStyle name="Normal 9 6 3 2" xfId="57486"/>
    <cellStyle name="Normal 9 6 3 2 10" xfId="57487"/>
    <cellStyle name="Normal 9 6 3 2 11" xfId="57488"/>
    <cellStyle name="Normal 9 6 3 2 12" xfId="57489"/>
    <cellStyle name="Normal 9 6 3 2 13" xfId="57490"/>
    <cellStyle name="Normal 9 6 3 2 2" xfId="57491"/>
    <cellStyle name="Normal 9 6 3 2 2 2" xfId="57492"/>
    <cellStyle name="Normal 9 6 3 2 2 2 2" xfId="57493"/>
    <cellStyle name="Normal 9 6 3 2 2 3" xfId="57494"/>
    <cellStyle name="Normal 9 6 3 2 2 4" xfId="57495"/>
    <cellStyle name="Normal 9 6 3 2 2 5" xfId="57496"/>
    <cellStyle name="Normal 9 6 3 2 3" xfId="57497"/>
    <cellStyle name="Normal 9 6 3 2 3 2" xfId="57498"/>
    <cellStyle name="Normal 9 6 3 2 4" xfId="57499"/>
    <cellStyle name="Normal 9 6 3 2 4 2" xfId="57500"/>
    <cellStyle name="Normal 9 6 3 2 5" xfId="57501"/>
    <cellStyle name="Normal 9 6 3 2 5 2" xfId="57502"/>
    <cellStyle name="Normal 9 6 3 2 6" xfId="57503"/>
    <cellStyle name="Normal 9 6 3 2 6 2" xfId="57504"/>
    <cellStyle name="Normal 9 6 3 2 7" xfId="57505"/>
    <cellStyle name="Normal 9 6 3 2 8" xfId="57506"/>
    <cellStyle name="Normal 9 6 3 2 9" xfId="57507"/>
    <cellStyle name="Normal 9 6 3 3" xfId="57508"/>
    <cellStyle name="Normal 9 6 3 3 2" xfId="57509"/>
    <cellStyle name="Normal 9 6 3 3 2 2" xfId="57510"/>
    <cellStyle name="Normal 9 6 3 3 3" xfId="57511"/>
    <cellStyle name="Normal 9 6 3 3 4" xfId="57512"/>
    <cellStyle name="Normal 9 6 3 3 5" xfId="57513"/>
    <cellStyle name="Normal 9 6 3 4" xfId="57514"/>
    <cellStyle name="Normal 9 6 3 4 2" xfId="57515"/>
    <cellStyle name="Normal 9 6 3 5" xfId="57516"/>
    <cellStyle name="Normal 9 6 3 5 2" xfId="57517"/>
    <cellStyle name="Normal 9 6 3 6" xfId="57518"/>
    <cellStyle name="Normal 9 6 3 6 2" xfId="57519"/>
    <cellStyle name="Normal 9 6 3 7" xfId="57520"/>
    <cellStyle name="Normal 9 6 3 7 2" xfId="57521"/>
    <cellStyle name="Normal 9 6 3 8" xfId="57522"/>
    <cellStyle name="Normal 9 6 3 9" xfId="57523"/>
    <cellStyle name="Normal 9 6 4" xfId="57524"/>
    <cellStyle name="Normal 9 6 4 10" xfId="57525"/>
    <cellStyle name="Normal 9 6 4 11" xfId="57526"/>
    <cellStyle name="Normal 9 6 4 12" xfId="57527"/>
    <cellStyle name="Normal 9 6 4 13" xfId="57528"/>
    <cellStyle name="Normal 9 6 4 14" xfId="57529"/>
    <cellStyle name="Normal 9 6 4 15" xfId="57530"/>
    <cellStyle name="Normal 9 6 4 16" xfId="57531"/>
    <cellStyle name="Normal 9 6 4 17" xfId="57532"/>
    <cellStyle name="Normal 9 6 4 18" xfId="57533"/>
    <cellStyle name="Normal 9 6 4 2" xfId="57534"/>
    <cellStyle name="Normal 9 6 4 2 10" xfId="57535"/>
    <cellStyle name="Normal 9 6 4 2 11" xfId="57536"/>
    <cellStyle name="Normal 9 6 4 2 12" xfId="57537"/>
    <cellStyle name="Normal 9 6 4 2 13" xfId="57538"/>
    <cellStyle name="Normal 9 6 4 2 2" xfId="57539"/>
    <cellStyle name="Normal 9 6 4 2 2 2" xfId="57540"/>
    <cellStyle name="Normal 9 6 4 2 2 2 2" xfId="57541"/>
    <cellStyle name="Normal 9 6 4 2 2 3" xfId="57542"/>
    <cellStyle name="Normal 9 6 4 2 2 4" xfId="57543"/>
    <cellStyle name="Normal 9 6 4 2 2 5" xfId="57544"/>
    <cellStyle name="Normal 9 6 4 2 3" xfId="57545"/>
    <cellStyle name="Normal 9 6 4 2 3 2" xfId="57546"/>
    <cellStyle name="Normal 9 6 4 2 4" xfId="57547"/>
    <cellStyle name="Normal 9 6 4 2 4 2" xfId="57548"/>
    <cellStyle name="Normal 9 6 4 2 5" xfId="57549"/>
    <cellStyle name="Normal 9 6 4 2 5 2" xfId="57550"/>
    <cellStyle name="Normal 9 6 4 2 6" xfId="57551"/>
    <cellStyle name="Normal 9 6 4 2 6 2" xfId="57552"/>
    <cellStyle name="Normal 9 6 4 2 7" xfId="57553"/>
    <cellStyle name="Normal 9 6 4 2 8" xfId="57554"/>
    <cellStyle name="Normal 9 6 4 2 9" xfId="57555"/>
    <cellStyle name="Normal 9 6 4 3" xfId="57556"/>
    <cellStyle name="Normal 9 6 4 3 2" xfId="57557"/>
    <cellStyle name="Normal 9 6 4 3 2 2" xfId="57558"/>
    <cellStyle name="Normal 9 6 4 3 3" xfId="57559"/>
    <cellStyle name="Normal 9 6 4 3 4" xfId="57560"/>
    <cellStyle name="Normal 9 6 4 3 5" xfId="57561"/>
    <cellStyle name="Normal 9 6 4 4" xfId="57562"/>
    <cellStyle name="Normal 9 6 4 4 2" xfId="57563"/>
    <cellStyle name="Normal 9 6 4 5" xfId="57564"/>
    <cellStyle name="Normal 9 6 4 5 2" xfId="57565"/>
    <cellStyle name="Normal 9 6 4 6" xfId="57566"/>
    <cellStyle name="Normal 9 6 4 6 2" xfId="57567"/>
    <cellStyle name="Normal 9 6 4 7" xfId="57568"/>
    <cellStyle name="Normal 9 6 4 7 2" xfId="57569"/>
    <cellStyle name="Normal 9 6 4 8" xfId="57570"/>
    <cellStyle name="Normal 9 6 4 9" xfId="57571"/>
    <cellStyle name="Normal 9 6 5" xfId="57572"/>
    <cellStyle name="Normal 9 6 5 10" xfId="57573"/>
    <cellStyle name="Normal 9 6 5 11" xfId="57574"/>
    <cellStyle name="Normal 9 6 5 12" xfId="57575"/>
    <cellStyle name="Normal 9 6 5 13" xfId="57576"/>
    <cellStyle name="Normal 9 6 5 14" xfId="57577"/>
    <cellStyle name="Normal 9 6 5 15" xfId="57578"/>
    <cellStyle name="Normal 9 6 5 16" xfId="57579"/>
    <cellStyle name="Normal 9 6 5 17" xfId="57580"/>
    <cellStyle name="Normal 9 6 5 2" xfId="57581"/>
    <cellStyle name="Normal 9 6 5 2 10" xfId="57582"/>
    <cellStyle name="Normal 9 6 5 2 11" xfId="57583"/>
    <cellStyle name="Normal 9 6 5 2 12" xfId="57584"/>
    <cellStyle name="Normal 9 6 5 2 13" xfId="57585"/>
    <cellStyle name="Normal 9 6 5 2 2" xfId="57586"/>
    <cellStyle name="Normal 9 6 5 2 2 2" xfId="57587"/>
    <cellStyle name="Normal 9 6 5 2 2 2 2" xfId="57588"/>
    <cellStyle name="Normal 9 6 5 2 2 3" xfId="57589"/>
    <cellStyle name="Normal 9 6 5 2 2 4" xfId="57590"/>
    <cellStyle name="Normal 9 6 5 2 2 5" xfId="57591"/>
    <cellStyle name="Normal 9 6 5 2 3" xfId="57592"/>
    <cellStyle name="Normal 9 6 5 2 3 2" xfId="57593"/>
    <cellStyle name="Normal 9 6 5 2 4" xfId="57594"/>
    <cellStyle name="Normal 9 6 5 2 4 2" xfId="57595"/>
    <cellStyle name="Normal 9 6 5 2 5" xfId="57596"/>
    <cellStyle name="Normal 9 6 5 2 5 2" xfId="57597"/>
    <cellStyle name="Normal 9 6 5 2 6" xfId="57598"/>
    <cellStyle name="Normal 9 6 5 2 6 2" xfId="57599"/>
    <cellStyle name="Normal 9 6 5 2 7" xfId="57600"/>
    <cellStyle name="Normal 9 6 5 2 8" xfId="57601"/>
    <cellStyle name="Normal 9 6 5 2 9" xfId="57602"/>
    <cellStyle name="Normal 9 6 5 3" xfId="57603"/>
    <cellStyle name="Normal 9 6 5 3 2" xfId="57604"/>
    <cellStyle name="Normal 9 6 5 3 2 2" xfId="57605"/>
    <cellStyle name="Normal 9 6 5 3 3" xfId="57606"/>
    <cellStyle name="Normal 9 6 5 3 4" xfId="57607"/>
    <cellStyle name="Normal 9 6 5 3 5" xfId="57608"/>
    <cellStyle name="Normal 9 6 5 4" xfId="57609"/>
    <cellStyle name="Normal 9 6 5 4 2" xfId="57610"/>
    <cellStyle name="Normal 9 6 5 5" xfId="57611"/>
    <cellStyle name="Normal 9 6 5 5 2" xfId="57612"/>
    <cellStyle name="Normal 9 6 5 6" xfId="57613"/>
    <cellStyle name="Normal 9 6 5 6 2" xfId="57614"/>
    <cellStyle name="Normal 9 6 5 7" xfId="57615"/>
    <cellStyle name="Normal 9 6 5 7 2" xfId="57616"/>
    <cellStyle name="Normal 9 6 5 8" xfId="57617"/>
    <cellStyle name="Normal 9 6 5 9" xfId="57618"/>
    <cellStyle name="Normal 9 6 6" xfId="57619"/>
    <cellStyle name="Normal 9 6 6 10" xfId="57620"/>
    <cellStyle name="Normal 9 6 6 11" xfId="57621"/>
    <cellStyle name="Normal 9 6 6 12" xfId="57622"/>
    <cellStyle name="Normal 9 6 6 13" xfId="57623"/>
    <cellStyle name="Normal 9 6 6 14" xfId="57624"/>
    <cellStyle name="Normal 9 6 6 15" xfId="57625"/>
    <cellStyle name="Normal 9 6 6 16" xfId="57626"/>
    <cellStyle name="Normal 9 6 6 17" xfId="57627"/>
    <cellStyle name="Normal 9 6 6 2" xfId="57628"/>
    <cellStyle name="Normal 9 6 6 2 10" xfId="57629"/>
    <cellStyle name="Normal 9 6 6 2 11" xfId="57630"/>
    <cellStyle name="Normal 9 6 6 2 12" xfId="57631"/>
    <cellStyle name="Normal 9 6 6 2 13" xfId="57632"/>
    <cellStyle name="Normal 9 6 6 2 2" xfId="57633"/>
    <cellStyle name="Normal 9 6 6 2 2 2" xfId="57634"/>
    <cellStyle name="Normal 9 6 6 2 2 2 2" xfId="57635"/>
    <cellStyle name="Normal 9 6 6 2 2 3" xfId="57636"/>
    <cellStyle name="Normal 9 6 6 2 2 4" xfId="57637"/>
    <cellStyle name="Normal 9 6 6 2 2 5" xfId="57638"/>
    <cellStyle name="Normal 9 6 6 2 3" xfId="57639"/>
    <cellStyle name="Normal 9 6 6 2 3 2" xfId="57640"/>
    <cellStyle name="Normal 9 6 6 2 4" xfId="57641"/>
    <cellStyle name="Normal 9 6 6 2 4 2" xfId="57642"/>
    <cellStyle name="Normal 9 6 6 2 5" xfId="57643"/>
    <cellStyle name="Normal 9 6 6 2 5 2" xfId="57644"/>
    <cellStyle name="Normal 9 6 6 2 6" xfId="57645"/>
    <cellStyle name="Normal 9 6 6 2 6 2" xfId="57646"/>
    <cellStyle name="Normal 9 6 6 2 7" xfId="57647"/>
    <cellStyle name="Normal 9 6 6 2 8" xfId="57648"/>
    <cellStyle name="Normal 9 6 6 2 9" xfId="57649"/>
    <cellStyle name="Normal 9 6 6 3" xfId="57650"/>
    <cellStyle name="Normal 9 6 6 3 2" xfId="57651"/>
    <cellStyle name="Normal 9 6 6 3 2 2" xfId="57652"/>
    <cellStyle name="Normal 9 6 6 3 3" xfId="57653"/>
    <cellStyle name="Normal 9 6 6 3 4" xfId="57654"/>
    <cellStyle name="Normal 9 6 6 3 5" xfId="57655"/>
    <cellStyle name="Normal 9 6 6 4" xfId="57656"/>
    <cellStyle name="Normal 9 6 6 4 2" xfId="57657"/>
    <cellStyle name="Normal 9 6 6 5" xfId="57658"/>
    <cellStyle name="Normal 9 6 6 5 2" xfId="57659"/>
    <cellStyle name="Normal 9 6 6 6" xfId="57660"/>
    <cellStyle name="Normal 9 6 6 6 2" xfId="57661"/>
    <cellStyle name="Normal 9 6 6 7" xfId="57662"/>
    <cellStyle name="Normal 9 6 6 7 2" xfId="57663"/>
    <cellStyle name="Normal 9 6 6 8" xfId="57664"/>
    <cellStyle name="Normal 9 6 6 9" xfId="57665"/>
    <cellStyle name="Normal 9 6 7" xfId="57666"/>
    <cellStyle name="Normal 9 6 7 10" xfId="57667"/>
    <cellStyle name="Normal 9 6 7 11" xfId="57668"/>
    <cellStyle name="Normal 9 6 7 12" xfId="57669"/>
    <cellStyle name="Normal 9 6 7 13" xfId="57670"/>
    <cellStyle name="Normal 9 6 7 14" xfId="57671"/>
    <cellStyle name="Normal 9 6 7 15" xfId="57672"/>
    <cellStyle name="Normal 9 6 7 16" xfId="57673"/>
    <cellStyle name="Normal 9 6 7 17" xfId="57674"/>
    <cellStyle name="Normal 9 6 7 2" xfId="57675"/>
    <cellStyle name="Normal 9 6 7 2 10" xfId="57676"/>
    <cellStyle name="Normal 9 6 7 2 11" xfId="57677"/>
    <cellStyle name="Normal 9 6 7 2 12" xfId="57678"/>
    <cellStyle name="Normal 9 6 7 2 13" xfId="57679"/>
    <cellStyle name="Normal 9 6 7 2 2" xfId="57680"/>
    <cellStyle name="Normal 9 6 7 2 2 2" xfId="57681"/>
    <cellStyle name="Normal 9 6 7 2 2 2 2" xfId="57682"/>
    <cellStyle name="Normal 9 6 7 2 2 3" xfId="57683"/>
    <cellStyle name="Normal 9 6 7 2 2 4" xfId="57684"/>
    <cellStyle name="Normal 9 6 7 2 2 5" xfId="57685"/>
    <cellStyle name="Normal 9 6 7 2 3" xfId="57686"/>
    <cellStyle name="Normal 9 6 7 2 3 2" xfId="57687"/>
    <cellStyle name="Normal 9 6 7 2 4" xfId="57688"/>
    <cellStyle name="Normal 9 6 7 2 4 2" xfId="57689"/>
    <cellStyle name="Normal 9 6 7 2 5" xfId="57690"/>
    <cellStyle name="Normal 9 6 7 2 5 2" xfId="57691"/>
    <cellStyle name="Normal 9 6 7 2 6" xfId="57692"/>
    <cellStyle name="Normal 9 6 7 2 6 2" xfId="57693"/>
    <cellStyle name="Normal 9 6 7 2 7" xfId="57694"/>
    <cellStyle name="Normal 9 6 7 2 8" xfId="57695"/>
    <cellStyle name="Normal 9 6 7 2 9" xfId="57696"/>
    <cellStyle name="Normal 9 6 7 3" xfId="57697"/>
    <cellStyle name="Normal 9 6 7 3 2" xfId="57698"/>
    <cellStyle name="Normal 9 6 7 3 2 2" xfId="57699"/>
    <cellStyle name="Normal 9 6 7 3 3" xfId="57700"/>
    <cellStyle name="Normal 9 6 7 3 4" xfId="57701"/>
    <cellStyle name="Normal 9 6 7 3 5" xfId="57702"/>
    <cellStyle name="Normal 9 6 7 4" xfId="57703"/>
    <cellStyle name="Normal 9 6 7 4 2" xfId="57704"/>
    <cellStyle name="Normal 9 6 7 5" xfId="57705"/>
    <cellStyle name="Normal 9 6 7 5 2" xfId="57706"/>
    <cellStyle name="Normal 9 6 7 6" xfId="57707"/>
    <cellStyle name="Normal 9 6 7 6 2" xfId="57708"/>
    <cellStyle name="Normal 9 6 7 7" xfId="57709"/>
    <cellStyle name="Normal 9 6 7 7 2" xfId="57710"/>
    <cellStyle name="Normal 9 6 7 8" xfId="57711"/>
    <cellStyle name="Normal 9 6 7 9" xfId="57712"/>
    <cellStyle name="Normal 9 6 8" xfId="57713"/>
    <cellStyle name="Normal 9 6 8 10" xfId="57714"/>
    <cellStyle name="Normal 9 6 8 11" xfId="57715"/>
    <cellStyle name="Normal 9 6 8 12" xfId="57716"/>
    <cellStyle name="Normal 9 6 8 13" xfId="57717"/>
    <cellStyle name="Normal 9 6 8 14" xfId="57718"/>
    <cellStyle name="Normal 9 6 8 15" xfId="57719"/>
    <cellStyle name="Normal 9 6 8 2" xfId="57720"/>
    <cellStyle name="Normal 9 6 8 2 2" xfId="57721"/>
    <cellStyle name="Normal 9 6 8 2 2 2" xfId="57722"/>
    <cellStyle name="Normal 9 6 8 2 3" xfId="57723"/>
    <cellStyle name="Normal 9 6 8 2 3 2" xfId="57724"/>
    <cellStyle name="Normal 9 6 8 2 4" xfId="57725"/>
    <cellStyle name="Normal 9 6 8 2 4 2" xfId="57726"/>
    <cellStyle name="Normal 9 6 8 2 5" xfId="57727"/>
    <cellStyle name="Normal 9 6 8 2 5 2" xfId="57728"/>
    <cellStyle name="Normal 9 6 8 2 6" xfId="57729"/>
    <cellStyle name="Normal 9 6 8 2 7" xfId="57730"/>
    <cellStyle name="Normal 9 6 8 2 8" xfId="57731"/>
    <cellStyle name="Normal 9 6 8 2 9" xfId="57732"/>
    <cellStyle name="Normal 9 6 8 3" xfId="57733"/>
    <cellStyle name="Normal 9 6 8 3 2" xfId="57734"/>
    <cellStyle name="Normal 9 6 8 3 2 2" xfId="57735"/>
    <cellStyle name="Normal 9 6 8 3 3" xfId="57736"/>
    <cellStyle name="Normal 9 6 8 3 4" xfId="57737"/>
    <cellStyle name="Normal 9 6 8 3 5" xfId="57738"/>
    <cellStyle name="Normal 9 6 8 4" xfId="57739"/>
    <cellStyle name="Normal 9 6 8 4 2" xfId="57740"/>
    <cellStyle name="Normal 9 6 8 5" xfId="57741"/>
    <cellStyle name="Normal 9 6 8 5 2" xfId="57742"/>
    <cellStyle name="Normal 9 6 8 6" xfId="57743"/>
    <cellStyle name="Normal 9 6 8 6 2" xfId="57744"/>
    <cellStyle name="Normal 9 6 8 7" xfId="57745"/>
    <cellStyle name="Normal 9 6 8 7 2" xfId="57746"/>
    <cellStyle name="Normal 9 6 8 8" xfId="57747"/>
    <cellStyle name="Normal 9 6 8 9" xfId="57748"/>
    <cellStyle name="Normal 9 6 9" xfId="57749"/>
    <cellStyle name="Normal 9 6 9 10" xfId="57750"/>
    <cellStyle name="Normal 9 6 9 11" xfId="57751"/>
    <cellStyle name="Normal 9 6 9 12" xfId="57752"/>
    <cellStyle name="Normal 9 6 9 13" xfId="57753"/>
    <cellStyle name="Normal 9 6 9 14" xfId="57754"/>
    <cellStyle name="Normal 9 6 9 15" xfId="57755"/>
    <cellStyle name="Normal 9 6 9 2" xfId="57756"/>
    <cellStyle name="Normal 9 6 9 2 2" xfId="57757"/>
    <cellStyle name="Normal 9 6 9 2 2 2" xfId="57758"/>
    <cellStyle name="Normal 9 6 9 2 3" xfId="57759"/>
    <cellStyle name="Normal 9 6 9 2 3 2" xfId="57760"/>
    <cellStyle name="Normal 9 6 9 2 4" xfId="57761"/>
    <cellStyle name="Normal 9 6 9 2 4 2" xfId="57762"/>
    <cellStyle name="Normal 9 6 9 2 5" xfId="57763"/>
    <cellStyle name="Normal 9 6 9 2 5 2" xfId="57764"/>
    <cellStyle name="Normal 9 6 9 2 6" xfId="57765"/>
    <cellStyle name="Normal 9 6 9 2 7" xfId="57766"/>
    <cellStyle name="Normal 9 6 9 2 8" xfId="57767"/>
    <cellStyle name="Normal 9 6 9 2 9" xfId="57768"/>
    <cellStyle name="Normal 9 6 9 3" xfId="57769"/>
    <cellStyle name="Normal 9 6 9 3 2" xfId="57770"/>
    <cellStyle name="Normal 9 6 9 3 2 2" xfId="57771"/>
    <cellStyle name="Normal 9 6 9 3 3" xfId="57772"/>
    <cellStyle name="Normal 9 6 9 3 4" xfId="57773"/>
    <cellStyle name="Normal 9 6 9 3 5" xfId="57774"/>
    <cellStyle name="Normal 9 6 9 4" xfId="57775"/>
    <cellStyle name="Normal 9 6 9 4 2" xfId="57776"/>
    <cellStyle name="Normal 9 6 9 5" xfId="57777"/>
    <cellStyle name="Normal 9 6 9 5 2" xfId="57778"/>
    <cellStyle name="Normal 9 6 9 6" xfId="57779"/>
    <cellStyle name="Normal 9 6 9 6 2" xfId="57780"/>
    <cellStyle name="Normal 9 6 9 7" xfId="57781"/>
    <cellStyle name="Normal 9 6 9 7 2" xfId="57782"/>
    <cellStyle name="Normal 9 6 9 8" xfId="57783"/>
    <cellStyle name="Normal 9 6 9 9" xfId="57784"/>
    <cellStyle name="Normal 9 7" xfId="57785"/>
    <cellStyle name="Normal 9 7 10" xfId="57786"/>
    <cellStyle name="Normal 9 7 10 10" xfId="57787"/>
    <cellStyle name="Normal 9 7 10 11" xfId="57788"/>
    <cellStyle name="Normal 9 7 10 12" xfId="57789"/>
    <cellStyle name="Normal 9 7 10 13" xfId="57790"/>
    <cellStyle name="Normal 9 7 10 14" xfId="57791"/>
    <cellStyle name="Normal 9 7 10 2" xfId="57792"/>
    <cellStyle name="Normal 9 7 10 2 2" xfId="57793"/>
    <cellStyle name="Normal 9 7 10 2 2 2" xfId="57794"/>
    <cellStyle name="Normal 9 7 10 2 3" xfId="57795"/>
    <cellStyle name="Normal 9 7 10 2 3 2" xfId="57796"/>
    <cellStyle name="Normal 9 7 10 2 4" xfId="57797"/>
    <cellStyle name="Normal 9 7 10 2 4 2" xfId="57798"/>
    <cellStyle name="Normal 9 7 10 2 5" xfId="57799"/>
    <cellStyle name="Normal 9 7 10 2 5 2" xfId="57800"/>
    <cellStyle name="Normal 9 7 10 2 6" xfId="57801"/>
    <cellStyle name="Normal 9 7 10 2 7" xfId="57802"/>
    <cellStyle name="Normal 9 7 10 2 8" xfId="57803"/>
    <cellStyle name="Normal 9 7 10 2 9" xfId="57804"/>
    <cellStyle name="Normal 9 7 10 3" xfId="57805"/>
    <cellStyle name="Normal 9 7 10 3 2" xfId="57806"/>
    <cellStyle name="Normal 9 7 10 3 2 2" xfId="57807"/>
    <cellStyle name="Normal 9 7 10 3 3" xfId="57808"/>
    <cellStyle name="Normal 9 7 10 3 4" xfId="57809"/>
    <cellStyle name="Normal 9 7 10 3 5" xfId="57810"/>
    <cellStyle name="Normal 9 7 10 4" xfId="57811"/>
    <cellStyle name="Normal 9 7 10 4 2" xfId="57812"/>
    <cellStyle name="Normal 9 7 10 5" xfId="57813"/>
    <cellStyle name="Normal 9 7 10 5 2" xfId="57814"/>
    <cellStyle name="Normal 9 7 10 6" xfId="57815"/>
    <cellStyle name="Normal 9 7 10 6 2" xfId="57816"/>
    <cellStyle name="Normal 9 7 10 7" xfId="57817"/>
    <cellStyle name="Normal 9 7 10 7 2" xfId="57818"/>
    <cellStyle name="Normal 9 7 10 8" xfId="57819"/>
    <cellStyle name="Normal 9 7 10 9" xfId="57820"/>
    <cellStyle name="Normal 9 7 11" xfId="57821"/>
    <cellStyle name="Normal 9 7 11 2" xfId="57822"/>
    <cellStyle name="Normal 9 7 11 2 2" xfId="57823"/>
    <cellStyle name="Normal 9 7 11 3" xfId="57824"/>
    <cellStyle name="Normal 9 7 11 3 2" xfId="57825"/>
    <cellStyle name="Normal 9 7 11 4" xfId="57826"/>
    <cellStyle name="Normal 9 7 11 4 2" xfId="57827"/>
    <cellStyle name="Normal 9 7 11 5" xfId="57828"/>
    <cellStyle name="Normal 9 7 11 5 2" xfId="57829"/>
    <cellStyle name="Normal 9 7 11 6" xfId="57830"/>
    <cellStyle name="Normal 9 7 11 7" xfId="57831"/>
    <cellStyle name="Normal 9 7 11 8" xfId="57832"/>
    <cellStyle name="Normal 9 7 11 9" xfId="57833"/>
    <cellStyle name="Normal 9 7 12" xfId="57834"/>
    <cellStyle name="Normal 9 7 12 2" xfId="57835"/>
    <cellStyle name="Normal 9 7 12 2 2" xfId="57836"/>
    <cellStyle name="Normal 9 7 12 3" xfId="57837"/>
    <cellStyle name="Normal 9 7 12 4" xfId="57838"/>
    <cellStyle name="Normal 9 7 12 5" xfId="57839"/>
    <cellStyle name="Normal 9 7 13" xfId="57840"/>
    <cellStyle name="Normal 9 7 13 2" xfId="57841"/>
    <cellStyle name="Normal 9 7 14" xfId="57842"/>
    <cellStyle name="Normal 9 7 14 2" xfId="57843"/>
    <cellStyle name="Normal 9 7 15" xfId="57844"/>
    <cellStyle name="Normal 9 7 15 2" xfId="57845"/>
    <cellStyle name="Normal 9 7 16" xfId="57846"/>
    <cellStyle name="Normal 9 7 16 2" xfId="57847"/>
    <cellStyle name="Normal 9 7 17" xfId="57848"/>
    <cellStyle name="Normal 9 7 18" xfId="57849"/>
    <cellStyle name="Normal 9 7 19" xfId="57850"/>
    <cellStyle name="Normal 9 7 2" xfId="57851"/>
    <cellStyle name="Normal 9 7 2 10" xfId="57852"/>
    <cellStyle name="Normal 9 7 2 11" xfId="57853"/>
    <cellStyle name="Normal 9 7 2 12" xfId="57854"/>
    <cellStyle name="Normal 9 7 2 13" xfId="57855"/>
    <cellStyle name="Normal 9 7 2 14" xfId="57856"/>
    <cellStyle name="Normal 9 7 2 15" xfId="57857"/>
    <cellStyle name="Normal 9 7 2 16" xfId="57858"/>
    <cellStyle name="Normal 9 7 2 17" xfId="57859"/>
    <cellStyle name="Normal 9 7 2 18" xfId="57860"/>
    <cellStyle name="Normal 9 7 2 2" xfId="57861"/>
    <cellStyle name="Normal 9 7 2 2 10" xfId="57862"/>
    <cellStyle name="Normal 9 7 2 2 11" xfId="57863"/>
    <cellStyle name="Normal 9 7 2 2 12" xfId="57864"/>
    <cellStyle name="Normal 9 7 2 2 13" xfId="57865"/>
    <cellStyle name="Normal 9 7 2 2 2" xfId="57866"/>
    <cellStyle name="Normal 9 7 2 2 2 2" xfId="57867"/>
    <cellStyle name="Normal 9 7 2 2 2 2 2" xfId="57868"/>
    <cellStyle name="Normal 9 7 2 2 2 3" xfId="57869"/>
    <cellStyle name="Normal 9 7 2 2 2 4" xfId="57870"/>
    <cellStyle name="Normal 9 7 2 2 2 5" xfId="57871"/>
    <cellStyle name="Normal 9 7 2 2 3" xfId="57872"/>
    <cellStyle name="Normal 9 7 2 2 3 2" xfId="57873"/>
    <cellStyle name="Normal 9 7 2 2 4" xfId="57874"/>
    <cellStyle name="Normal 9 7 2 2 4 2" xfId="57875"/>
    <cellStyle name="Normal 9 7 2 2 5" xfId="57876"/>
    <cellStyle name="Normal 9 7 2 2 5 2" xfId="57877"/>
    <cellStyle name="Normal 9 7 2 2 6" xfId="57878"/>
    <cellStyle name="Normal 9 7 2 2 6 2" xfId="57879"/>
    <cellStyle name="Normal 9 7 2 2 7" xfId="57880"/>
    <cellStyle name="Normal 9 7 2 2 8" xfId="57881"/>
    <cellStyle name="Normal 9 7 2 2 9" xfId="57882"/>
    <cellStyle name="Normal 9 7 2 3" xfId="57883"/>
    <cellStyle name="Normal 9 7 2 3 2" xfId="57884"/>
    <cellStyle name="Normal 9 7 2 3 2 2" xfId="57885"/>
    <cellStyle name="Normal 9 7 2 3 3" xfId="57886"/>
    <cellStyle name="Normal 9 7 2 3 4" xfId="57887"/>
    <cellStyle name="Normal 9 7 2 3 5" xfId="57888"/>
    <cellStyle name="Normal 9 7 2 4" xfId="57889"/>
    <cellStyle name="Normal 9 7 2 4 2" xfId="57890"/>
    <cellStyle name="Normal 9 7 2 5" xfId="57891"/>
    <cellStyle name="Normal 9 7 2 5 2" xfId="57892"/>
    <cellStyle name="Normal 9 7 2 6" xfId="57893"/>
    <cellStyle name="Normal 9 7 2 6 2" xfId="57894"/>
    <cellStyle name="Normal 9 7 2 7" xfId="57895"/>
    <cellStyle name="Normal 9 7 2 7 2" xfId="57896"/>
    <cellStyle name="Normal 9 7 2 8" xfId="57897"/>
    <cellStyle name="Normal 9 7 2 9" xfId="57898"/>
    <cellStyle name="Normal 9 7 20" xfId="57899"/>
    <cellStyle name="Normal 9 7 21" xfId="57900"/>
    <cellStyle name="Normal 9 7 22" xfId="57901"/>
    <cellStyle name="Normal 9 7 23" xfId="57902"/>
    <cellStyle name="Normal 9 7 24" xfId="57903"/>
    <cellStyle name="Normal 9 7 25" xfId="57904"/>
    <cellStyle name="Normal 9 7 3" xfId="57905"/>
    <cellStyle name="Normal 9 7 3 10" xfId="57906"/>
    <cellStyle name="Normal 9 7 3 11" xfId="57907"/>
    <cellStyle name="Normal 9 7 3 12" xfId="57908"/>
    <cellStyle name="Normal 9 7 3 13" xfId="57909"/>
    <cellStyle name="Normal 9 7 3 14" xfId="57910"/>
    <cellStyle name="Normal 9 7 3 15" xfId="57911"/>
    <cellStyle name="Normal 9 7 3 16" xfId="57912"/>
    <cellStyle name="Normal 9 7 3 17" xfId="57913"/>
    <cellStyle name="Normal 9 7 3 18" xfId="57914"/>
    <cellStyle name="Normal 9 7 3 2" xfId="57915"/>
    <cellStyle name="Normal 9 7 3 2 10" xfId="57916"/>
    <cellStyle name="Normal 9 7 3 2 11" xfId="57917"/>
    <cellStyle name="Normal 9 7 3 2 12" xfId="57918"/>
    <cellStyle name="Normal 9 7 3 2 13" xfId="57919"/>
    <cellStyle name="Normal 9 7 3 2 2" xfId="57920"/>
    <cellStyle name="Normal 9 7 3 2 2 2" xfId="57921"/>
    <cellStyle name="Normal 9 7 3 2 2 2 2" xfId="57922"/>
    <cellStyle name="Normal 9 7 3 2 2 3" xfId="57923"/>
    <cellStyle name="Normal 9 7 3 2 2 4" xfId="57924"/>
    <cellStyle name="Normal 9 7 3 2 2 5" xfId="57925"/>
    <cellStyle name="Normal 9 7 3 2 3" xfId="57926"/>
    <cellStyle name="Normal 9 7 3 2 3 2" xfId="57927"/>
    <cellStyle name="Normal 9 7 3 2 4" xfId="57928"/>
    <cellStyle name="Normal 9 7 3 2 4 2" xfId="57929"/>
    <cellStyle name="Normal 9 7 3 2 5" xfId="57930"/>
    <cellStyle name="Normal 9 7 3 2 5 2" xfId="57931"/>
    <cellStyle name="Normal 9 7 3 2 6" xfId="57932"/>
    <cellStyle name="Normal 9 7 3 2 6 2" xfId="57933"/>
    <cellStyle name="Normal 9 7 3 2 7" xfId="57934"/>
    <cellStyle name="Normal 9 7 3 2 8" xfId="57935"/>
    <cellStyle name="Normal 9 7 3 2 9" xfId="57936"/>
    <cellStyle name="Normal 9 7 3 3" xfId="57937"/>
    <cellStyle name="Normal 9 7 3 3 2" xfId="57938"/>
    <cellStyle name="Normal 9 7 3 3 2 2" xfId="57939"/>
    <cellStyle name="Normal 9 7 3 3 3" xfId="57940"/>
    <cellStyle name="Normal 9 7 3 3 4" xfId="57941"/>
    <cellStyle name="Normal 9 7 3 3 5" xfId="57942"/>
    <cellStyle name="Normal 9 7 3 4" xfId="57943"/>
    <cellStyle name="Normal 9 7 3 4 2" xfId="57944"/>
    <cellStyle name="Normal 9 7 3 5" xfId="57945"/>
    <cellStyle name="Normal 9 7 3 5 2" xfId="57946"/>
    <cellStyle name="Normal 9 7 3 6" xfId="57947"/>
    <cellStyle name="Normal 9 7 3 6 2" xfId="57948"/>
    <cellStyle name="Normal 9 7 3 7" xfId="57949"/>
    <cellStyle name="Normal 9 7 3 7 2" xfId="57950"/>
    <cellStyle name="Normal 9 7 3 8" xfId="57951"/>
    <cellStyle name="Normal 9 7 3 9" xfId="57952"/>
    <cellStyle name="Normal 9 7 4" xfId="57953"/>
    <cellStyle name="Normal 9 7 4 10" xfId="57954"/>
    <cellStyle name="Normal 9 7 4 11" xfId="57955"/>
    <cellStyle name="Normal 9 7 4 12" xfId="57956"/>
    <cellStyle name="Normal 9 7 4 13" xfId="57957"/>
    <cellStyle name="Normal 9 7 4 14" xfId="57958"/>
    <cellStyle name="Normal 9 7 4 15" xfId="57959"/>
    <cellStyle name="Normal 9 7 4 16" xfId="57960"/>
    <cellStyle name="Normal 9 7 4 17" xfId="57961"/>
    <cellStyle name="Normal 9 7 4 18" xfId="57962"/>
    <cellStyle name="Normal 9 7 4 2" xfId="57963"/>
    <cellStyle name="Normal 9 7 4 2 10" xfId="57964"/>
    <cellStyle name="Normal 9 7 4 2 11" xfId="57965"/>
    <cellStyle name="Normal 9 7 4 2 12" xfId="57966"/>
    <cellStyle name="Normal 9 7 4 2 13" xfId="57967"/>
    <cellStyle name="Normal 9 7 4 2 2" xfId="57968"/>
    <cellStyle name="Normal 9 7 4 2 2 2" xfId="57969"/>
    <cellStyle name="Normal 9 7 4 2 2 2 2" xfId="57970"/>
    <cellStyle name="Normal 9 7 4 2 2 3" xfId="57971"/>
    <cellStyle name="Normal 9 7 4 2 2 4" xfId="57972"/>
    <cellStyle name="Normal 9 7 4 2 2 5" xfId="57973"/>
    <cellStyle name="Normal 9 7 4 2 3" xfId="57974"/>
    <cellStyle name="Normal 9 7 4 2 3 2" xfId="57975"/>
    <cellStyle name="Normal 9 7 4 2 4" xfId="57976"/>
    <cellStyle name="Normal 9 7 4 2 4 2" xfId="57977"/>
    <cellStyle name="Normal 9 7 4 2 5" xfId="57978"/>
    <cellStyle name="Normal 9 7 4 2 5 2" xfId="57979"/>
    <cellStyle name="Normal 9 7 4 2 6" xfId="57980"/>
    <cellStyle name="Normal 9 7 4 2 6 2" xfId="57981"/>
    <cellStyle name="Normal 9 7 4 2 7" xfId="57982"/>
    <cellStyle name="Normal 9 7 4 2 8" xfId="57983"/>
    <cellStyle name="Normal 9 7 4 2 9" xfId="57984"/>
    <cellStyle name="Normal 9 7 4 3" xfId="57985"/>
    <cellStyle name="Normal 9 7 4 3 2" xfId="57986"/>
    <cellStyle name="Normal 9 7 4 3 2 2" xfId="57987"/>
    <cellStyle name="Normal 9 7 4 3 3" xfId="57988"/>
    <cellStyle name="Normal 9 7 4 3 4" xfId="57989"/>
    <cellStyle name="Normal 9 7 4 3 5" xfId="57990"/>
    <cellStyle name="Normal 9 7 4 4" xfId="57991"/>
    <cellStyle name="Normal 9 7 4 4 2" xfId="57992"/>
    <cellStyle name="Normal 9 7 4 5" xfId="57993"/>
    <cellStyle name="Normal 9 7 4 5 2" xfId="57994"/>
    <cellStyle name="Normal 9 7 4 6" xfId="57995"/>
    <cellStyle name="Normal 9 7 4 6 2" xfId="57996"/>
    <cellStyle name="Normal 9 7 4 7" xfId="57997"/>
    <cellStyle name="Normal 9 7 4 7 2" xfId="57998"/>
    <cellStyle name="Normal 9 7 4 8" xfId="57999"/>
    <cellStyle name="Normal 9 7 4 9" xfId="58000"/>
    <cellStyle name="Normal 9 7 5" xfId="58001"/>
    <cellStyle name="Normal 9 7 5 10" xfId="58002"/>
    <cellStyle name="Normal 9 7 5 11" xfId="58003"/>
    <cellStyle name="Normal 9 7 5 12" xfId="58004"/>
    <cellStyle name="Normal 9 7 5 13" xfId="58005"/>
    <cellStyle name="Normal 9 7 5 14" xfId="58006"/>
    <cellStyle name="Normal 9 7 5 15" xfId="58007"/>
    <cellStyle name="Normal 9 7 5 16" xfId="58008"/>
    <cellStyle name="Normal 9 7 5 17" xfId="58009"/>
    <cellStyle name="Normal 9 7 5 2" xfId="58010"/>
    <cellStyle name="Normal 9 7 5 2 10" xfId="58011"/>
    <cellStyle name="Normal 9 7 5 2 11" xfId="58012"/>
    <cellStyle name="Normal 9 7 5 2 12" xfId="58013"/>
    <cellStyle name="Normal 9 7 5 2 13" xfId="58014"/>
    <cellStyle name="Normal 9 7 5 2 2" xfId="58015"/>
    <cellStyle name="Normal 9 7 5 2 2 2" xfId="58016"/>
    <cellStyle name="Normal 9 7 5 2 2 2 2" xfId="58017"/>
    <cellStyle name="Normal 9 7 5 2 2 3" xfId="58018"/>
    <cellStyle name="Normal 9 7 5 2 2 4" xfId="58019"/>
    <cellStyle name="Normal 9 7 5 2 2 5" xfId="58020"/>
    <cellStyle name="Normal 9 7 5 2 3" xfId="58021"/>
    <cellStyle name="Normal 9 7 5 2 3 2" xfId="58022"/>
    <cellStyle name="Normal 9 7 5 2 4" xfId="58023"/>
    <cellStyle name="Normal 9 7 5 2 4 2" xfId="58024"/>
    <cellStyle name="Normal 9 7 5 2 5" xfId="58025"/>
    <cellStyle name="Normal 9 7 5 2 5 2" xfId="58026"/>
    <cellStyle name="Normal 9 7 5 2 6" xfId="58027"/>
    <cellStyle name="Normal 9 7 5 2 6 2" xfId="58028"/>
    <cellStyle name="Normal 9 7 5 2 7" xfId="58029"/>
    <cellStyle name="Normal 9 7 5 2 8" xfId="58030"/>
    <cellStyle name="Normal 9 7 5 2 9" xfId="58031"/>
    <cellStyle name="Normal 9 7 5 3" xfId="58032"/>
    <cellStyle name="Normal 9 7 5 3 2" xfId="58033"/>
    <cellStyle name="Normal 9 7 5 3 2 2" xfId="58034"/>
    <cellStyle name="Normal 9 7 5 3 3" xfId="58035"/>
    <cellStyle name="Normal 9 7 5 3 4" xfId="58036"/>
    <cellStyle name="Normal 9 7 5 3 5" xfId="58037"/>
    <cellStyle name="Normal 9 7 5 4" xfId="58038"/>
    <cellStyle name="Normal 9 7 5 4 2" xfId="58039"/>
    <cellStyle name="Normal 9 7 5 5" xfId="58040"/>
    <cellStyle name="Normal 9 7 5 5 2" xfId="58041"/>
    <cellStyle name="Normal 9 7 5 6" xfId="58042"/>
    <cellStyle name="Normal 9 7 5 6 2" xfId="58043"/>
    <cellStyle name="Normal 9 7 5 7" xfId="58044"/>
    <cellStyle name="Normal 9 7 5 7 2" xfId="58045"/>
    <cellStyle name="Normal 9 7 5 8" xfId="58046"/>
    <cellStyle name="Normal 9 7 5 9" xfId="58047"/>
    <cellStyle name="Normal 9 7 6" xfId="58048"/>
    <cellStyle name="Normal 9 7 6 10" xfId="58049"/>
    <cellStyle name="Normal 9 7 6 11" xfId="58050"/>
    <cellStyle name="Normal 9 7 6 12" xfId="58051"/>
    <cellStyle name="Normal 9 7 6 13" xfId="58052"/>
    <cellStyle name="Normal 9 7 6 14" xfId="58053"/>
    <cellStyle name="Normal 9 7 6 15" xfId="58054"/>
    <cellStyle name="Normal 9 7 6 16" xfId="58055"/>
    <cellStyle name="Normal 9 7 6 17" xfId="58056"/>
    <cellStyle name="Normal 9 7 6 2" xfId="58057"/>
    <cellStyle name="Normal 9 7 6 2 10" xfId="58058"/>
    <cellStyle name="Normal 9 7 6 2 11" xfId="58059"/>
    <cellStyle name="Normal 9 7 6 2 12" xfId="58060"/>
    <cellStyle name="Normal 9 7 6 2 13" xfId="58061"/>
    <cellStyle name="Normal 9 7 6 2 2" xfId="58062"/>
    <cellStyle name="Normal 9 7 6 2 2 2" xfId="58063"/>
    <cellStyle name="Normal 9 7 6 2 2 2 2" xfId="58064"/>
    <cellStyle name="Normal 9 7 6 2 2 3" xfId="58065"/>
    <cellStyle name="Normal 9 7 6 2 2 4" xfId="58066"/>
    <cellStyle name="Normal 9 7 6 2 2 5" xfId="58067"/>
    <cellStyle name="Normal 9 7 6 2 3" xfId="58068"/>
    <cellStyle name="Normal 9 7 6 2 3 2" xfId="58069"/>
    <cellStyle name="Normal 9 7 6 2 4" xfId="58070"/>
    <cellStyle name="Normal 9 7 6 2 4 2" xfId="58071"/>
    <cellStyle name="Normal 9 7 6 2 5" xfId="58072"/>
    <cellStyle name="Normal 9 7 6 2 5 2" xfId="58073"/>
    <cellStyle name="Normal 9 7 6 2 6" xfId="58074"/>
    <cellStyle name="Normal 9 7 6 2 6 2" xfId="58075"/>
    <cellStyle name="Normal 9 7 6 2 7" xfId="58076"/>
    <cellStyle name="Normal 9 7 6 2 8" xfId="58077"/>
    <cellStyle name="Normal 9 7 6 2 9" xfId="58078"/>
    <cellStyle name="Normal 9 7 6 3" xfId="58079"/>
    <cellStyle name="Normal 9 7 6 3 2" xfId="58080"/>
    <cellStyle name="Normal 9 7 6 3 2 2" xfId="58081"/>
    <cellStyle name="Normal 9 7 6 3 3" xfId="58082"/>
    <cellStyle name="Normal 9 7 6 3 4" xfId="58083"/>
    <cellStyle name="Normal 9 7 6 3 5" xfId="58084"/>
    <cellStyle name="Normal 9 7 6 4" xfId="58085"/>
    <cellStyle name="Normal 9 7 6 4 2" xfId="58086"/>
    <cellStyle name="Normal 9 7 6 5" xfId="58087"/>
    <cellStyle name="Normal 9 7 6 5 2" xfId="58088"/>
    <cellStyle name="Normal 9 7 6 6" xfId="58089"/>
    <cellStyle name="Normal 9 7 6 6 2" xfId="58090"/>
    <cellStyle name="Normal 9 7 6 7" xfId="58091"/>
    <cellStyle name="Normal 9 7 6 7 2" xfId="58092"/>
    <cellStyle name="Normal 9 7 6 8" xfId="58093"/>
    <cellStyle name="Normal 9 7 6 9" xfId="58094"/>
    <cellStyle name="Normal 9 7 7" xfId="58095"/>
    <cellStyle name="Normal 9 7 7 10" xfId="58096"/>
    <cellStyle name="Normal 9 7 7 11" xfId="58097"/>
    <cellStyle name="Normal 9 7 7 12" xfId="58098"/>
    <cellStyle name="Normal 9 7 7 13" xfId="58099"/>
    <cellStyle name="Normal 9 7 7 14" xfId="58100"/>
    <cellStyle name="Normal 9 7 7 15" xfId="58101"/>
    <cellStyle name="Normal 9 7 7 16" xfId="58102"/>
    <cellStyle name="Normal 9 7 7 17" xfId="58103"/>
    <cellStyle name="Normal 9 7 7 2" xfId="58104"/>
    <cellStyle name="Normal 9 7 7 2 10" xfId="58105"/>
    <cellStyle name="Normal 9 7 7 2 11" xfId="58106"/>
    <cellStyle name="Normal 9 7 7 2 12" xfId="58107"/>
    <cellStyle name="Normal 9 7 7 2 13" xfId="58108"/>
    <cellStyle name="Normal 9 7 7 2 2" xfId="58109"/>
    <cellStyle name="Normal 9 7 7 2 2 2" xfId="58110"/>
    <cellStyle name="Normal 9 7 7 2 2 2 2" xfId="58111"/>
    <cellStyle name="Normal 9 7 7 2 2 3" xfId="58112"/>
    <cellStyle name="Normal 9 7 7 2 2 4" xfId="58113"/>
    <cellStyle name="Normal 9 7 7 2 2 5" xfId="58114"/>
    <cellStyle name="Normal 9 7 7 2 3" xfId="58115"/>
    <cellStyle name="Normal 9 7 7 2 3 2" xfId="58116"/>
    <cellStyle name="Normal 9 7 7 2 4" xfId="58117"/>
    <cellStyle name="Normal 9 7 7 2 4 2" xfId="58118"/>
    <cellStyle name="Normal 9 7 7 2 5" xfId="58119"/>
    <cellStyle name="Normal 9 7 7 2 5 2" xfId="58120"/>
    <cellStyle name="Normal 9 7 7 2 6" xfId="58121"/>
    <cellStyle name="Normal 9 7 7 2 6 2" xfId="58122"/>
    <cellStyle name="Normal 9 7 7 2 7" xfId="58123"/>
    <cellStyle name="Normal 9 7 7 2 8" xfId="58124"/>
    <cellStyle name="Normal 9 7 7 2 9" xfId="58125"/>
    <cellStyle name="Normal 9 7 7 3" xfId="58126"/>
    <cellStyle name="Normal 9 7 7 3 2" xfId="58127"/>
    <cellStyle name="Normal 9 7 7 3 2 2" xfId="58128"/>
    <cellStyle name="Normal 9 7 7 3 3" xfId="58129"/>
    <cellStyle name="Normal 9 7 7 3 4" xfId="58130"/>
    <cellStyle name="Normal 9 7 7 3 5" xfId="58131"/>
    <cellStyle name="Normal 9 7 7 4" xfId="58132"/>
    <cellStyle name="Normal 9 7 7 4 2" xfId="58133"/>
    <cellStyle name="Normal 9 7 7 5" xfId="58134"/>
    <cellStyle name="Normal 9 7 7 5 2" xfId="58135"/>
    <cellStyle name="Normal 9 7 7 6" xfId="58136"/>
    <cellStyle name="Normal 9 7 7 6 2" xfId="58137"/>
    <cellStyle name="Normal 9 7 7 7" xfId="58138"/>
    <cellStyle name="Normal 9 7 7 7 2" xfId="58139"/>
    <cellStyle name="Normal 9 7 7 8" xfId="58140"/>
    <cellStyle name="Normal 9 7 7 9" xfId="58141"/>
    <cellStyle name="Normal 9 7 8" xfId="58142"/>
    <cellStyle name="Normal 9 7 8 10" xfId="58143"/>
    <cellStyle name="Normal 9 7 8 11" xfId="58144"/>
    <cellStyle name="Normal 9 7 8 12" xfId="58145"/>
    <cellStyle name="Normal 9 7 8 13" xfId="58146"/>
    <cellStyle name="Normal 9 7 8 14" xfId="58147"/>
    <cellStyle name="Normal 9 7 8 15" xfId="58148"/>
    <cellStyle name="Normal 9 7 8 2" xfId="58149"/>
    <cellStyle name="Normal 9 7 8 2 2" xfId="58150"/>
    <cellStyle name="Normal 9 7 8 2 2 2" xfId="58151"/>
    <cellStyle name="Normal 9 7 8 2 3" xfId="58152"/>
    <cellStyle name="Normal 9 7 8 2 3 2" xfId="58153"/>
    <cellStyle name="Normal 9 7 8 2 4" xfId="58154"/>
    <cellStyle name="Normal 9 7 8 2 4 2" xfId="58155"/>
    <cellStyle name="Normal 9 7 8 2 5" xfId="58156"/>
    <cellStyle name="Normal 9 7 8 2 5 2" xfId="58157"/>
    <cellStyle name="Normal 9 7 8 2 6" xfId="58158"/>
    <cellStyle name="Normal 9 7 8 2 7" xfId="58159"/>
    <cellStyle name="Normal 9 7 8 2 8" xfId="58160"/>
    <cellStyle name="Normal 9 7 8 2 9" xfId="58161"/>
    <cellStyle name="Normal 9 7 8 3" xfId="58162"/>
    <cellStyle name="Normal 9 7 8 3 2" xfId="58163"/>
    <cellStyle name="Normal 9 7 8 3 2 2" xfId="58164"/>
    <cellStyle name="Normal 9 7 8 3 3" xfId="58165"/>
    <cellStyle name="Normal 9 7 8 3 4" xfId="58166"/>
    <cellStyle name="Normal 9 7 8 3 5" xfId="58167"/>
    <cellStyle name="Normal 9 7 8 4" xfId="58168"/>
    <cellStyle name="Normal 9 7 8 4 2" xfId="58169"/>
    <cellStyle name="Normal 9 7 8 5" xfId="58170"/>
    <cellStyle name="Normal 9 7 8 5 2" xfId="58171"/>
    <cellStyle name="Normal 9 7 8 6" xfId="58172"/>
    <cellStyle name="Normal 9 7 8 6 2" xfId="58173"/>
    <cellStyle name="Normal 9 7 8 7" xfId="58174"/>
    <cellStyle name="Normal 9 7 8 7 2" xfId="58175"/>
    <cellStyle name="Normal 9 7 8 8" xfId="58176"/>
    <cellStyle name="Normal 9 7 8 9" xfId="58177"/>
    <cellStyle name="Normal 9 7 9" xfId="58178"/>
    <cellStyle name="Normal 9 7 9 10" xfId="58179"/>
    <cellStyle name="Normal 9 7 9 11" xfId="58180"/>
    <cellStyle name="Normal 9 7 9 12" xfId="58181"/>
    <cellStyle name="Normal 9 7 9 13" xfId="58182"/>
    <cellStyle name="Normal 9 7 9 14" xfId="58183"/>
    <cellStyle name="Normal 9 7 9 15" xfId="58184"/>
    <cellStyle name="Normal 9 7 9 2" xfId="58185"/>
    <cellStyle name="Normal 9 7 9 2 2" xfId="58186"/>
    <cellStyle name="Normal 9 7 9 2 2 2" xfId="58187"/>
    <cellStyle name="Normal 9 7 9 2 3" xfId="58188"/>
    <cellStyle name="Normal 9 7 9 2 3 2" xfId="58189"/>
    <cellStyle name="Normal 9 7 9 2 4" xfId="58190"/>
    <cellStyle name="Normal 9 7 9 2 4 2" xfId="58191"/>
    <cellStyle name="Normal 9 7 9 2 5" xfId="58192"/>
    <cellStyle name="Normal 9 7 9 2 5 2" xfId="58193"/>
    <cellStyle name="Normal 9 7 9 2 6" xfId="58194"/>
    <cellStyle name="Normal 9 7 9 2 7" xfId="58195"/>
    <cellStyle name="Normal 9 7 9 2 8" xfId="58196"/>
    <cellStyle name="Normal 9 7 9 2 9" xfId="58197"/>
    <cellStyle name="Normal 9 7 9 3" xfId="58198"/>
    <cellStyle name="Normal 9 7 9 3 2" xfId="58199"/>
    <cellStyle name="Normal 9 7 9 3 2 2" xfId="58200"/>
    <cellStyle name="Normal 9 7 9 3 3" xfId="58201"/>
    <cellStyle name="Normal 9 7 9 3 4" xfId="58202"/>
    <cellStyle name="Normal 9 7 9 3 5" xfId="58203"/>
    <cellStyle name="Normal 9 7 9 4" xfId="58204"/>
    <cellStyle name="Normal 9 7 9 4 2" xfId="58205"/>
    <cellStyle name="Normal 9 7 9 5" xfId="58206"/>
    <cellStyle name="Normal 9 7 9 5 2" xfId="58207"/>
    <cellStyle name="Normal 9 7 9 6" xfId="58208"/>
    <cellStyle name="Normal 9 7 9 6 2" xfId="58209"/>
    <cellStyle name="Normal 9 7 9 7" xfId="58210"/>
    <cellStyle name="Normal 9 7 9 7 2" xfId="58211"/>
    <cellStyle name="Normal 9 7 9 8" xfId="58212"/>
    <cellStyle name="Normal 9 7 9 9" xfId="58213"/>
    <cellStyle name="Normal 9 8" xfId="58214"/>
    <cellStyle name="Normal 9 8 10" xfId="58215"/>
    <cellStyle name="Normal 9 8 10 10" xfId="58216"/>
    <cellStyle name="Normal 9 8 10 11" xfId="58217"/>
    <cellStyle name="Normal 9 8 10 12" xfId="58218"/>
    <cellStyle name="Normal 9 8 10 13" xfId="58219"/>
    <cellStyle name="Normal 9 8 10 14" xfId="58220"/>
    <cellStyle name="Normal 9 8 10 2" xfId="58221"/>
    <cellStyle name="Normal 9 8 10 2 2" xfId="58222"/>
    <cellStyle name="Normal 9 8 10 2 2 2" xfId="58223"/>
    <cellStyle name="Normal 9 8 10 2 3" xfId="58224"/>
    <cellStyle name="Normal 9 8 10 2 3 2" xfId="58225"/>
    <cellStyle name="Normal 9 8 10 2 4" xfId="58226"/>
    <cellStyle name="Normal 9 8 10 2 4 2" xfId="58227"/>
    <cellStyle name="Normal 9 8 10 2 5" xfId="58228"/>
    <cellStyle name="Normal 9 8 10 2 5 2" xfId="58229"/>
    <cellStyle name="Normal 9 8 10 2 6" xfId="58230"/>
    <cellStyle name="Normal 9 8 10 2 7" xfId="58231"/>
    <cellStyle name="Normal 9 8 10 2 8" xfId="58232"/>
    <cellStyle name="Normal 9 8 10 2 9" xfId="58233"/>
    <cellStyle name="Normal 9 8 10 3" xfId="58234"/>
    <cellStyle name="Normal 9 8 10 3 2" xfId="58235"/>
    <cellStyle name="Normal 9 8 10 3 2 2" xfId="58236"/>
    <cellStyle name="Normal 9 8 10 3 3" xfId="58237"/>
    <cellStyle name="Normal 9 8 10 3 4" xfId="58238"/>
    <cellStyle name="Normal 9 8 10 3 5" xfId="58239"/>
    <cellStyle name="Normal 9 8 10 4" xfId="58240"/>
    <cellStyle name="Normal 9 8 10 4 2" xfId="58241"/>
    <cellStyle name="Normal 9 8 10 5" xfId="58242"/>
    <cellStyle name="Normal 9 8 10 5 2" xfId="58243"/>
    <cellStyle name="Normal 9 8 10 6" xfId="58244"/>
    <cellStyle name="Normal 9 8 10 6 2" xfId="58245"/>
    <cellStyle name="Normal 9 8 10 7" xfId="58246"/>
    <cellStyle name="Normal 9 8 10 7 2" xfId="58247"/>
    <cellStyle name="Normal 9 8 10 8" xfId="58248"/>
    <cellStyle name="Normal 9 8 10 9" xfId="58249"/>
    <cellStyle name="Normal 9 8 11" xfId="58250"/>
    <cellStyle name="Normal 9 8 11 2" xfId="58251"/>
    <cellStyle name="Normal 9 8 11 2 2" xfId="58252"/>
    <cellStyle name="Normal 9 8 11 3" xfId="58253"/>
    <cellStyle name="Normal 9 8 11 3 2" xfId="58254"/>
    <cellStyle name="Normal 9 8 11 4" xfId="58255"/>
    <cellStyle name="Normal 9 8 11 4 2" xfId="58256"/>
    <cellStyle name="Normal 9 8 11 5" xfId="58257"/>
    <cellStyle name="Normal 9 8 11 5 2" xfId="58258"/>
    <cellStyle name="Normal 9 8 11 6" xfId="58259"/>
    <cellStyle name="Normal 9 8 11 7" xfId="58260"/>
    <cellStyle name="Normal 9 8 11 8" xfId="58261"/>
    <cellStyle name="Normal 9 8 11 9" xfId="58262"/>
    <cellStyle name="Normal 9 8 12" xfId="58263"/>
    <cellStyle name="Normal 9 8 12 2" xfId="58264"/>
    <cellStyle name="Normal 9 8 12 2 2" xfId="58265"/>
    <cellStyle name="Normal 9 8 12 3" xfId="58266"/>
    <cellStyle name="Normal 9 8 12 4" xfId="58267"/>
    <cellStyle name="Normal 9 8 12 5" xfId="58268"/>
    <cellStyle name="Normal 9 8 13" xfId="58269"/>
    <cellStyle name="Normal 9 8 13 2" xfId="58270"/>
    <cellStyle name="Normal 9 8 14" xfId="58271"/>
    <cellStyle name="Normal 9 8 14 2" xfId="58272"/>
    <cellStyle name="Normal 9 8 15" xfId="58273"/>
    <cellStyle name="Normal 9 8 15 2" xfId="58274"/>
    <cellStyle name="Normal 9 8 16" xfId="58275"/>
    <cellStyle name="Normal 9 8 16 2" xfId="58276"/>
    <cellStyle name="Normal 9 8 17" xfId="58277"/>
    <cellStyle name="Normal 9 8 18" xfId="58278"/>
    <cellStyle name="Normal 9 8 19" xfId="58279"/>
    <cellStyle name="Normal 9 8 2" xfId="58280"/>
    <cellStyle name="Normal 9 8 2 10" xfId="58281"/>
    <cellStyle name="Normal 9 8 2 11" xfId="58282"/>
    <cellStyle name="Normal 9 8 2 12" xfId="58283"/>
    <cellStyle name="Normal 9 8 2 13" xfId="58284"/>
    <cellStyle name="Normal 9 8 2 14" xfId="58285"/>
    <cellStyle name="Normal 9 8 2 15" xfId="58286"/>
    <cellStyle name="Normal 9 8 2 16" xfId="58287"/>
    <cellStyle name="Normal 9 8 2 17" xfId="58288"/>
    <cellStyle name="Normal 9 8 2 18" xfId="58289"/>
    <cellStyle name="Normal 9 8 2 2" xfId="58290"/>
    <cellStyle name="Normal 9 8 2 2 10" xfId="58291"/>
    <cellStyle name="Normal 9 8 2 2 11" xfId="58292"/>
    <cellStyle name="Normal 9 8 2 2 12" xfId="58293"/>
    <cellStyle name="Normal 9 8 2 2 13" xfId="58294"/>
    <cellStyle name="Normal 9 8 2 2 2" xfId="58295"/>
    <cellStyle name="Normal 9 8 2 2 2 2" xfId="58296"/>
    <cellStyle name="Normal 9 8 2 2 2 2 2" xfId="58297"/>
    <cellStyle name="Normal 9 8 2 2 2 3" xfId="58298"/>
    <cellStyle name="Normal 9 8 2 2 2 4" xfId="58299"/>
    <cellStyle name="Normal 9 8 2 2 2 5" xfId="58300"/>
    <cellStyle name="Normal 9 8 2 2 3" xfId="58301"/>
    <cellStyle name="Normal 9 8 2 2 3 2" xfId="58302"/>
    <cellStyle name="Normal 9 8 2 2 4" xfId="58303"/>
    <cellStyle name="Normal 9 8 2 2 4 2" xfId="58304"/>
    <cellStyle name="Normal 9 8 2 2 5" xfId="58305"/>
    <cellStyle name="Normal 9 8 2 2 5 2" xfId="58306"/>
    <cellStyle name="Normal 9 8 2 2 6" xfId="58307"/>
    <cellStyle name="Normal 9 8 2 2 6 2" xfId="58308"/>
    <cellStyle name="Normal 9 8 2 2 7" xfId="58309"/>
    <cellStyle name="Normal 9 8 2 2 8" xfId="58310"/>
    <cellStyle name="Normal 9 8 2 2 9" xfId="58311"/>
    <cellStyle name="Normal 9 8 2 3" xfId="58312"/>
    <cellStyle name="Normal 9 8 2 3 2" xfId="58313"/>
    <cellStyle name="Normal 9 8 2 3 2 2" xfId="58314"/>
    <cellStyle name="Normal 9 8 2 3 3" xfId="58315"/>
    <cellStyle name="Normal 9 8 2 3 4" xfId="58316"/>
    <cellStyle name="Normal 9 8 2 3 5" xfId="58317"/>
    <cellStyle name="Normal 9 8 2 4" xfId="58318"/>
    <cellStyle name="Normal 9 8 2 4 2" xfId="58319"/>
    <cellStyle name="Normal 9 8 2 5" xfId="58320"/>
    <cellStyle name="Normal 9 8 2 5 2" xfId="58321"/>
    <cellStyle name="Normal 9 8 2 6" xfId="58322"/>
    <cellStyle name="Normal 9 8 2 6 2" xfId="58323"/>
    <cellStyle name="Normal 9 8 2 7" xfId="58324"/>
    <cellStyle name="Normal 9 8 2 7 2" xfId="58325"/>
    <cellStyle name="Normal 9 8 2 8" xfId="58326"/>
    <cellStyle name="Normal 9 8 2 9" xfId="58327"/>
    <cellStyle name="Normal 9 8 20" xfId="58328"/>
    <cellStyle name="Normal 9 8 21" xfId="58329"/>
    <cellStyle name="Normal 9 8 22" xfId="58330"/>
    <cellStyle name="Normal 9 8 23" xfId="58331"/>
    <cellStyle name="Normal 9 8 24" xfId="58332"/>
    <cellStyle name="Normal 9 8 25" xfId="58333"/>
    <cellStyle name="Normal 9 8 3" xfId="58334"/>
    <cellStyle name="Normal 9 8 3 10" xfId="58335"/>
    <cellStyle name="Normal 9 8 3 11" xfId="58336"/>
    <cellStyle name="Normal 9 8 3 12" xfId="58337"/>
    <cellStyle name="Normal 9 8 3 13" xfId="58338"/>
    <cellStyle name="Normal 9 8 3 14" xfId="58339"/>
    <cellStyle name="Normal 9 8 3 15" xfId="58340"/>
    <cellStyle name="Normal 9 8 3 16" xfId="58341"/>
    <cellStyle name="Normal 9 8 3 17" xfId="58342"/>
    <cellStyle name="Normal 9 8 3 18" xfId="58343"/>
    <cellStyle name="Normal 9 8 3 2" xfId="58344"/>
    <cellStyle name="Normal 9 8 3 2 10" xfId="58345"/>
    <cellStyle name="Normal 9 8 3 2 11" xfId="58346"/>
    <cellStyle name="Normal 9 8 3 2 12" xfId="58347"/>
    <cellStyle name="Normal 9 8 3 2 13" xfId="58348"/>
    <cellStyle name="Normal 9 8 3 2 2" xfId="58349"/>
    <cellStyle name="Normal 9 8 3 2 2 2" xfId="58350"/>
    <cellStyle name="Normal 9 8 3 2 2 2 2" xfId="58351"/>
    <cellStyle name="Normal 9 8 3 2 2 3" xfId="58352"/>
    <cellStyle name="Normal 9 8 3 2 2 4" xfId="58353"/>
    <cellStyle name="Normal 9 8 3 2 2 5" xfId="58354"/>
    <cellStyle name="Normal 9 8 3 2 3" xfId="58355"/>
    <cellStyle name="Normal 9 8 3 2 3 2" xfId="58356"/>
    <cellStyle name="Normal 9 8 3 2 4" xfId="58357"/>
    <cellStyle name="Normal 9 8 3 2 4 2" xfId="58358"/>
    <cellStyle name="Normal 9 8 3 2 5" xfId="58359"/>
    <cellStyle name="Normal 9 8 3 2 5 2" xfId="58360"/>
    <cellStyle name="Normal 9 8 3 2 6" xfId="58361"/>
    <cellStyle name="Normal 9 8 3 2 6 2" xfId="58362"/>
    <cellStyle name="Normal 9 8 3 2 7" xfId="58363"/>
    <cellStyle name="Normal 9 8 3 2 8" xfId="58364"/>
    <cellStyle name="Normal 9 8 3 2 9" xfId="58365"/>
    <cellStyle name="Normal 9 8 3 3" xfId="58366"/>
    <cellStyle name="Normal 9 8 3 3 2" xfId="58367"/>
    <cellStyle name="Normal 9 8 3 3 2 2" xfId="58368"/>
    <cellStyle name="Normal 9 8 3 3 3" xfId="58369"/>
    <cellStyle name="Normal 9 8 3 3 4" xfId="58370"/>
    <cellStyle name="Normal 9 8 3 3 5" xfId="58371"/>
    <cellStyle name="Normal 9 8 3 4" xfId="58372"/>
    <cellStyle name="Normal 9 8 3 4 2" xfId="58373"/>
    <cellStyle name="Normal 9 8 3 5" xfId="58374"/>
    <cellStyle name="Normal 9 8 3 5 2" xfId="58375"/>
    <cellStyle name="Normal 9 8 3 6" xfId="58376"/>
    <cellStyle name="Normal 9 8 3 6 2" xfId="58377"/>
    <cellStyle name="Normal 9 8 3 7" xfId="58378"/>
    <cellStyle name="Normal 9 8 3 7 2" xfId="58379"/>
    <cellStyle name="Normal 9 8 3 8" xfId="58380"/>
    <cellStyle name="Normal 9 8 3 9" xfId="58381"/>
    <cellStyle name="Normal 9 8 4" xfId="58382"/>
    <cellStyle name="Normal 9 8 4 10" xfId="58383"/>
    <cellStyle name="Normal 9 8 4 11" xfId="58384"/>
    <cellStyle name="Normal 9 8 4 12" xfId="58385"/>
    <cellStyle name="Normal 9 8 4 13" xfId="58386"/>
    <cellStyle name="Normal 9 8 4 14" xfId="58387"/>
    <cellStyle name="Normal 9 8 4 15" xfId="58388"/>
    <cellStyle name="Normal 9 8 4 16" xfId="58389"/>
    <cellStyle name="Normal 9 8 4 17" xfId="58390"/>
    <cellStyle name="Normal 9 8 4 18" xfId="58391"/>
    <cellStyle name="Normal 9 8 4 2" xfId="58392"/>
    <cellStyle name="Normal 9 8 4 2 10" xfId="58393"/>
    <cellStyle name="Normal 9 8 4 2 11" xfId="58394"/>
    <cellStyle name="Normal 9 8 4 2 12" xfId="58395"/>
    <cellStyle name="Normal 9 8 4 2 13" xfId="58396"/>
    <cellStyle name="Normal 9 8 4 2 2" xfId="58397"/>
    <cellStyle name="Normal 9 8 4 2 2 2" xfId="58398"/>
    <cellStyle name="Normal 9 8 4 2 2 2 2" xfId="58399"/>
    <cellStyle name="Normal 9 8 4 2 2 3" xfId="58400"/>
    <cellStyle name="Normal 9 8 4 2 2 4" xfId="58401"/>
    <cellStyle name="Normal 9 8 4 2 2 5" xfId="58402"/>
    <cellStyle name="Normal 9 8 4 2 3" xfId="58403"/>
    <cellStyle name="Normal 9 8 4 2 3 2" xfId="58404"/>
    <cellStyle name="Normal 9 8 4 2 4" xfId="58405"/>
    <cellStyle name="Normal 9 8 4 2 4 2" xfId="58406"/>
    <cellStyle name="Normal 9 8 4 2 5" xfId="58407"/>
    <cellStyle name="Normal 9 8 4 2 5 2" xfId="58408"/>
    <cellStyle name="Normal 9 8 4 2 6" xfId="58409"/>
    <cellStyle name="Normal 9 8 4 2 6 2" xfId="58410"/>
    <cellStyle name="Normal 9 8 4 2 7" xfId="58411"/>
    <cellStyle name="Normal 9 8 4 2 8" xfId="58412"/>
    <cellStyle name="Normal 9 8 4 2 9" xfId="58413"/>
    <cellStyle name="Normal 9 8 4 3" xfId="58414"/>
    <cellStyle name="Normal 9 8 4 3 2" xfId="58415"/>
    <cellStyle name="Normal 9 8 4 3 2 2" xfId="58416"/>
    <cellStyle name="Normal 9 8 4 3 3" xfId="58417"/>
    <cellStyle name="Normal 9 8 4 3 4" xfId="58418"/>
    <cellStyle name="Normal 9 8 4 3 5" xfId="58419"/>
    <cellStyle name="Normal 9 8 4 4" xfId="58420"/>
    <cellStyle name="Normal 9 8 4 4 2" xfId="58421"/>
    <cellStyle name="Normal 9 8 4 5" xfId="58422"/>
    <cellStyle name="Normal 9 8 4 5 2" xfId="58423"/>
    <cellStyle name="Normal 9 8 4 6" xfId="58424"/>
    <cellStyle name="Normal 9 8 4 6 2" xfId="58425"/>
    <cellStyle name="Normal 9 8 4 7" xfId="58426"/>
    <cellStyle name="Normal 9 8 4 7 2" xfId="58427"/>
    <cellStyle name="Normal 9 8 4 8" xfId="58428"/>
    <cellStyle name="Normal 9 8 4 9" xfId="58429"/>
    <cellStyle name="Normal 9 8 5" xfId="58430"/>
    <cellStyle name="Normal 9 8 5 10" xfId="58431"/>
    <cellStyle name="Normal 9 8 5 11" xfId="58432"/>
    <cellStyle name="Normal 9 8 5 12" xfId="58433"/>
    <cellStyle name="Normal 9 8 5 13" xfId="58434"/>
    <cellStyle name="Normal 9 8 5 14" xfId="58435"/>
    <cellStyle name="Normal 9 8 5 15" xfId="58436"/>
    <cellStyle name="Normal 9 8 5 16" xfId="58437"/>
    <cellStyle name="Normal 9 8 5 17" xfId="58438"/>
    <cellStyle name="Normal 9 8 5 2" xfId="58439"/>
    <cellStyle name="Normal 9 8 5 2 10" xfId="58440"/>
    <cellStyle name="Normal 9 8 5 2 11" xfId="58441"/>
    <cellStyle name="Normal 9 8 5 2 12" xfId="58442"/>
    <cellStyle name="Normal 9 8 5 2 13" xfId="58443"/>
    <cellStyle name="Normal 9 8 5 2 2" xfId="58444"/>
    <cellStyle name="Normal 9 8 5 2 2 2" xfId="58445"/>
    <cellStyle name="Normal 9 8 5 2 2 2 2" xfId="58446"/>
    <cellStyle name="Normal 9 8 5 2 2 3" xfId="58447"/>
    <cellStyle name="Normal 9 8 5 2 2 4" xfId="58448"/>
    <cellStyle name="Normal 9 8 5 2 2 5" xfId="58449"/>
    <cellStyle name="Normal 9 8 5 2 3" xfId="58450"/>
    <cellStyle name="Normal 9 8 5 2 3 2" xfId="58451"/>
    <cellStyle name="Normal 9 8 5 2 4" xfId="58452"/>
    <cellStyle name="Normal 9 8 5 2 4 2" xfId="58453"/>
    <cellStyle name="Normal 9 8 5 2 5" xfId="58454"/>
    <cellStyle name="Normal 9 8 5 2 5 2" xfId="58455"/>
    <cellStyle name="Normal 9 8 5 2 6" xfId="58456"/>
    <cellStyle name="Normal 9 8 5 2 6 2" xfId="58457"/>
    <cellStyle name="Normal 9 8 5 2 7" xfId="58458"/>
    <cellStyle name="Normal 9 8 5 2 8" xfId="58459"/>
    <cellStyle name="Normal 9 8 5 2 9" xfId="58460"/>
    <cellStyle name="Normal 9 8 5 3" xfId="58461"/>
    <cellStyle name="Normal 9 8 5 3 2" xfId="58462"/>
    <cellStyle name="Normal 9 8 5 3 2 2" xfId="58463"/>
    <cellStyle name="Normal 9 8 5 3 3" xfId="58464"/>
    <cellStyle name="Normal 9 8 5 3 4" xfId="58465"/>
    <cellStyle name="Normal 9 8 5 3 5" xfId="58466"/>
    <cellStyle name="Normal 9 8 5 4" xfId="58467"/>
    <cellStyle name="Normal 9 8 5 4 2" xfId="58468"/>
    <cellStyle name="Normal 9 8 5 5" xfId="58469"/>
    <cellStyle name="Normal 9 8 5 5 2" xfId="58470"/>
    <cellStyle name="Normal 9 8 5 6" xfId="58471"/>
    <cellStyle name="Normal 9 8 5 6 2" xfId="58472"/>
    <cellStyle name="Normal 9 8 5 7" xfId="58473"/>
    <cellStyle name="Normal 9 8 5 7 2" xfId="58474"/>
    <cellStyle name="Normal 9 8 5 8" xfId="58475"/>
    <cellStyle name="Normal 9 8 5 9" xfId="58476"/>
    <cellStyle name="Normal 9 8 6" xfId="58477"/>
    <cellStyle name="Normal 9 8 6 10" xfId="58478"/>
    <cellStyle name="Normal 9 8 6 11" xfId="58479"/>
    <cellStyle name="Normal 9 8 6 12" xfId="58480"/>
    <cellStyle name="Normal 9 8 6 13" xfId="58481"/>
    <cellStyle name="Normal 9 8 6 14" xfId="58482"/>
    <cellStyle name="Normal 9 8 6 15" xfId="58483"/>
    <cellStyle name="Normal 9 8 6 16" xfId="58484"/>
    <cellStyle name="Normal 9 8 6 17" xfId="58485"/>
    <cellStyle name="Normal 9 8 6 2" xfId="58486"/>
    <cellStyle name="Normal 9 8 6 2 10" xfId="58487"/>
    <cellStyle name="Normal 9 8 6 2 11" xfId="58488"/>
    <cellStyle name="Normal 9 8 6 2 12" xfId="58489"/>
    <cellStyle name="Normal 9 8 6 2 13" xfId="58490"/>
    <cellStyle name="Normal 9 8 6 2 2" xfId="58491"/>
    <cellStyle name="Normal 9 8 6 2 2 2" xfId="58492"/>
    <cellStyle name="Normal 9 8 6 2 2 2 2" xfId="58493"/>
    <cellStyle name="Normal 9 8 6 2 2 3" xfId="58494"/>
    <cellStyle name="Normal 9 8 6 2 2 4" xfId="58495"/>
    <cellStyle name="Normal 9 8 6 2 2 5" xfId="58496"/>
    <cellStyle name="Normal 9 8 6 2 3" xfId="58497"/>
    <cellStyle name="Normal 9 8 6 2 3 2" xfId="58498"/>
    <cellStyle name="Normal 9 8 6 2 4" xfId="58499"/>
    <cellStyle name="Normal 9 8 6 2 4 2" xfId="58500"/>
    <cellStyle name="Normal 9 8 6 2 5" xfId="58501"/>
    <cellStyle name="Normal 9 8 6 2 5 2" xfId="58502"/>
    <cellStyle name="Normal 9 8 6 2 6" xfId="58503"/>
    <cellStyle name="Normal 9 8 6 2 6 2" xfId="58504"/>
    <cellStyle name="Normal 9 8 6 2 7" xfId="58505"/>
    <cellStyle name="Normal 9 8 6 2 8" xfId="58506"/>
    <cellStyle name="Normal 9 8 6 2 9" xfId="58507"/>
    <cellStyle name="Normal 9 8 6 3" xfId="58508"/>
    <cellStyle name="Normal 9 8 6 3 2" xfId="58509"/>
    <cellStyle name="Normal 9 8 6 3 2 2" xfId="58510"/>
    <cellStyle name="Normal 9 8 6 3 3" xfId="58511"/>
    <cellStyle name="Normal 9 8 6 3 4" xfId="58512"/>
    <cellStyle name="Normal 9 8 6 3 5" xfId="58513"/>
    <cellStyle name="Normal 9 8 6 4" xfId="58514"/>
    <cellStyle name="Normal 9 8 6 4 2" xfId="58515"/>
    <cellStyle name="Normal 9 8 6 5" xfId="58516"/>
    <cellStyle name="Normal 9 8 6 5 2" xfId="58517"/>
    <cellStyle name="Normal 9 8 6 6" xfId="58518"/>
    <cellStyle name="Normal 9 8 6 6 2" xfId="58519"/>
    <cellStyle name="Normal 9 8 6 7" xfId="58520"/>
    <cellStyle name="Normal 9 8 6 7 2" xfId="58521"/>
    <cellStyle name="Normal 9 8 6 8" xfId="58522"/>
    <cellStyle name="Normal 9 8 6 9" xfId="58523"/>
    <cellStyle name="Normal 9 8 7" xfId="58524"/>
    <cellStyle name="Normal 9 8 7 10" xfId="58525"/>
    <cellStyle name="Normal 9 8 7 11" xfId="58526"/>
    <cellStyle name="Normal 9 8 7 12" xfId="58527"/>
    <cellStyle name="Normal 9 8 7 13" xfId="58528"/>
    <cellStyle name="Normal 9 8 7 14" xfId="58529"/>
    <cellStyle name="Normal 9 8 7 15" xfId="58530"/>
    <cellStyle name="Normal 9 8 7 16" xfId="58531"/>
    <cellStyle name="Normal 9 8 7 17" xfId="58532"/>
    <cellStyle name="Normal 9 8 7 2" xfId="58533"/>
    <cellStyle name="Normal 9 8 7 2 10" xfId="58534"/>
    <cellStyle name="Normal 9 8 7 2 11" xfId="58535"/>
    <cellStyle name="Normal 9 8 7 2 12" xfId="58536"/>
    <cellStyle name="Normal 9 8 7 2 13" xfId="58537"/>
    <cellStyle name="Normal 9 8 7 2 2" xfId="58538"/>
    <cellStyle name="Normal 9 8 7 2 2 2" xfId="58539"/>
    <cellStyle name="Normal 9 8 7 2 2 2 2" xfId="58540"/>
    <cellStyle name="Normal 9 8 7 2 2 3" xfId="58541"/>
    <cellStyle name="Normal 9 8 7 2 2 4" xfId="58542"/>
    <cellStyle name="Normal 9 8 7 2 2 5" xfId="58543"/>
    <cellStyle name="Normal 9 8 7 2 3" xfId="58544"/>
    <cellStyle name="Normal 9 8 7 2 3 2" xfId="58545"/>
    <cellStyle name="Normal 9 8 7 2 4" xfId="58546"/>
    <cellStyle name="Normal 9 8 7 2 4 2" xfId="58547"/>
    <cellStyle name="Normal 9 8 7 2 5" xfId="58548"/>
    <cellStyle name="Normal 9 8 7 2 5 2" xfId="58549"/>
    <cellStyle name="Normal 9 8 7 2 6" xfId="58550"/>
    <cellStyle name="Normal 9 8 7 2 6 2" xfId="58551"/>
    <cellStyle name="Normal 9 8 7 2 7" xfId="58552"/>
    <cellStyle name="Normal 9 8 7 2 8" xfId="58553"/>
    <cellStyle name="Normal 9 8 7 2 9" xfId="58554"/>
    <cellStyle name="Normal 9 8 7 3" xfId="58555"/>
    <cellStyle name="Normal 9 8 7 3 2" xfId="58556"/>
    <cellStyle name="Normal 9 8 7 3 2 2" xfId="58557"/>
    <cellStyle name="Normal 9 8 7 3 3" xfId="58558"/>
    <cellStyle name="Normal 9 8 7 3 4" xfId="58559"/>
    <cellStyle name="Normal 9 8 7 3 5" xfId="58560"/>
    <cellStyle name="Normal 9 8 7 4" xfId="58561"/>
    <cellStyle name="Normal 9 8 7 4 2" xfId="58562"/>
    <cellStyle name="Normal 9 8 7 5" xfId="58563"/>
    <cellStyle name="Normal 9 8 7 5 2" xfId="58564"/>
    <cellStyle name="Normal 9 8 7 6" xfId="58565"/>
    <cellStyle name="Normal 9 8 7 6 2" xfId="58566"/>
    <cellStyle name="Normal 9 8 7 7" xfId="58567"/>
    <cellStyle name="Normal 9 8 7 7 2" xfId="58568"/>
    <cellStyle name="Normal 9 8 7 8" xfId="58569"/>
    <cellStyle name="Normal 9 8 7 9" xfId="58570"/>
    <cellStyle name="Normal 9 8 8" xfId="58571"/>
    <cellStyle name="Normal 9 8 8 10" xfId="58572"/>
    <cellStyle name="Normal 9 8 8 11" xfId="58573"/>
    <cellStyle name="Normal 9 8 8 12" xfId="58574"/>
    <cellStyle name="Normal 9 8 8 13" xfId="58575"/>
    <cellStyle name="Normal 9 8 8 14" xfId="58576"/>
    <cellStyle name="Normal 9 8 8 15" xfId="58577"/>
    <cellStyle name="Normal 9 8 8 2" xfId="58578"/>
    <cellStyle name="Normal 9 8 8 2 2" xfId="58579"/>
    <cellStyle name="Normal 9 8 8 2 2 2" xfId="58580"/>
    <cellStyle name="Normal 9 8 8 2 3" xfId="58581"/>
    <cellStyle name="Normal 9 8 8 2 3 2" xfId="58582"/>
    <cellStyle name="Normal 9 8 8 2 4" xfId="58583"/>
    <cellStyle name="Normal 9 8 8 2 4 2" xfId="58584"/>
    <cellStyle name="Normal 9 8 8 2 5" xfId="58585"/>
    <cellStyle name="Normal 9 8 8 2 5 2" xfId="58586"/>
    <cellStyle name="Normal 9 8 8 2 6" xfId="58587"/>
    <cellStyle name="Normal 9 8 8 2 7" xfId="58588"/>
    <cellStyle name="Normal 9 8 8 2 8" xfId="58589"/>
    <cellStyle name="Normal 9 8 8 2 9" xfId="58590"/>
    <cellStyle name="Normal 9 8 8 3" xfId="58591"/>
    <cellStyle name="Normal 9 8 8 3 2" xfId="58592"/>
    <cellStyle name="Normal 9 8 8 3 2 2" xfId="58593"/>
    <cellStyle name="Normal 9 8 8 3 3" xfId="58594"/>
    <cellStyle name="Normal 9 8 8 3 4" xfId="58595"/>
    <cellStyle name="Normal 9 8 8 3 5" xfId="58596"/>
    <cellStyle name="Normal 9 8 8 4" xfId="58597"/>
    <cellStyle name="Normal 9 8 8 4 2" xfId="58598"/>
    <cellStyle name="Normal 9 8 8 5" xfId="58599"/>
    <cellStyle name="Normal 9 8 8 5 2" xfId="58600"/>
    <cellStyle name="Normal 9 8 8 6" xfId="58601"/>
    <cellStyle name="Normal 9 8 8 6 2" xfId="58602"/>
    <cellStyle name="Normal 9 8 8 7" xfId="58603"/>
    <cellStyle name="Normal 9 8 8 7 2" xfId="58604"/>
    <cellStyle name="Normal 9 8 8 8" xfId="58605"/>
    <cellStyle name="Normal 9 8 8 9" xfId="58606"/>
    <cellStyle name="Normal 9 8 9" xfId="58607"/>
    <cellStyle name="Normal 9 8 9 10" xfId="58608"/>
    <cellStyle name="Normal 9 8 9 11" xfId="58609"/>
    <cellStyle name="Normal 9 8 9 12" xfId="58610"/>
    <cellStyle name="Normal 9 8 9 13" xfId="58611"/>
    <cellStyle name="Normal 9 8 9 14" xfId="58612"/>
    <cellStyle name="Normal 9 8 9 15" xfId="58613"/>
    <cellStyle name="Normal 9 8 9 2" xfId="58614"/>
    <cellStyle name="Normal 9 8 9 2 2" xfId="58615"/>
    <cellStyle name="Normal 9 8 9 2 2 2" xfId="58616"/>
    <cellStyle name="Normal 9 8 9 2 3" xfId="58617"/>
    <cellStyle name="Normal 9 8 9 2 3 2" xfId="58618"/>
    <cellStyle name="Normal 9 8 9 2 4" xfId="58619"/>
    <cellStyle name="Normal 9 8 9 2 4 2" xfId="58620"/>
    <cellStyle name="Normal 9 8 9 2 5" xfId="58621"/>
    <cellStyle name="Normal 9 8 9 2 5 2" xfId="58622"/>
    <cellStyle name="Normal 9 8 9 2 6" xfId="58623"/>
    <cellStyle name="Normal 9 8 9 2 7" xfId="58624"/>
    <cellStyle name="Normal 9 8 9 2 8" xfId="58625"/>
    <cellStyle name="Normal 9 8 9 2 9" xfId="58626"/>
    <cellStyle name="Normal 9 8 9 3" xfId="58627"/>
    <cellStyle name="Normal 9 8 9 3 2" xfId="58628"/>
    <cellStyle name="Normal 9 8 9 3 2 2" xfId="58629"/>
    <cellStyle name="Normal 9 8 9 3 3" xfId="58630"/>
    <cellStyle name="Normal 9 8 9 3 4" xfId="58631"/>
    <cellStyle name="Normal 9 8 9 3 5" xfId="58632"/>
    <cellStyle name="Normal 9 8 9 4" xfId="58633"/>
    <cellStyle name="Normal 9 8 9 4 2" xfId="58634"/>
    <cellStyle name="Normal 9 8 9 5" xfId="58635"/>
    <cellStyle name="Normal 9 8 9 5 2" xfId="58636"/>
    <cellStyle name="Normal 9 8 9 6" xfId="58637"/>
    <cellStyle name="Normal 9 8 9 6 2" xfId="58638"/>
    <cellStyle name="Normal 9 8 9 7" xfId="58639"/>
    <cellStyle name="Normal 9 8 9 7 2" xfId="58640"/>
    <cellStyle name="Normal 9 8 9 8" xfId="58641"/>
    <cellStyle name="Normal 9 8 9 9" xfId="58642"/>
    <cellStyle name="Normal 9 9" xfId="58643"/>
    <cellStyle name="Normal 9 9 10" xfId="58644"/>
    <cellStyle name="Normal 9 9 10 10" xfId="58645"/>
    <cellStyle name="Normal 9 9 10 11" xfId="58646"/>
    <cellStyle name="Normal 9 9 10 12" xfId="58647"/>
    <cellStyle name="Normal 9 9 10 13" xfId="58648"/>
    <cellStyle name="Normal 9 9 10 14" xfId="58649"/>
    <cellStyle name="Normal 9 9 10 2" xfId="58650"/>
    <cellStyle name="Normal 9 9 10 2 2" xfId="58651"/>
    <cellStyle name="Normal 9 9 10 2 2 2" xfId="58652"/>
    <cellStyle name="Normal 9 9 10 2 3" xfId="58653"/>
    <cellStyle name="Normal 9 9 10 2 3 2" xfId="58654"/>
    <cellStyle name="Normal 9 9 10 2 4" xfId="58655"/>
    <cellStyle name="Normal 9 9 10 2 4 2" xfId="58656"/>
    <cellStyle name="Normal 9 9 10 2 5" xfId="58657"/>
    <cellStyle name="Normal 9 9 10 2 5 2" xfId="58658"/>
    <cellStyle name="Normal 9 9 10 2 6" xfId="58659"/>
    <cellStyle name="Normal 9 9 10 2 7" xfId="58660"/>
    <cellStyle name="Normal 9 9 10 2 8" xfId="58661"/>
    <cellStyle name="Normal 9 9 10 2 9" xfId="58662"/>
    <cellStyle name="Normal 9 9 10 3" xfId="58663"/>
    <cellStyle name="Normal 9 9 10 3 2" xfId="58664"/>
    <cellStyle name="Normal 9 9 10 3 2 2" xfId="58665"/>
    <cellStyle name="Normal 9 9 10 3 3" xfId="58666"/>
    <cellStyle name="Normal 9 9 10 3 4" xfId="58667"/>
    <cellStyle name="Normal 9 9 10 3 5" xfId="58668"/>
    <cellStyle name="Normal 9 9 10 4" xfId="58669"/>
    <cellStyle name="Normal 9 9 10 4 2" xfId="58670"/>
    <cellStyle name="Normal 9 9 10 5" xfId="58671"/>
    <cellStyle name="Normal 9 9 10 5 2" xfId="58672"/>
    <cellStyle name="Normal 9 9 10 6" xfId="58673"/>
    <cellStyle name="Normal 9 9 10 6 2" xfId="58674"/>
    <cellStyle name="Normal 9 9 10 7" xfId="58675"/>
    <cellStyle name="Normal 9 9 10 7 2" xfId="58676"/>
    <cellStyle name="Normal 9 9 10 8" xfId="58677"/>
    <cellStyle name="Normal 9 9 10 9" xfId="58678"/>
    <cellStyle name="Normal 9 9 11" xfId="58679"/>
    <cellStyle name="Normal 9 9 11 2" xfId="58680"/>
    <cellStyle name="Normal 9 9 11 2 2" xfId="58681"/>
    <cellStyle name="Normal 9 9 11 3" xfId="58682"/>
    <cellStyle name="Normal 9 9 11 3 2" xfId="58683"/>
    <cellStyle name="Normal 9 9 11 4" xfId="58684"/>
    <cellStyle name="Normal 9 9 11 4 2" xfId="58685"/>
    <cellStyle name="Normal 9 9 11 5" xfId="58686"/>
    <cellStyle name="Normal 9 9 11 5 2" xfId="58687"/>
    <cellStyle name="Normal 9 9 11 6" xfId="58688"/>
    <cellStyle name="Normal 9 9 11 7" xfId="58689"/>
    <cellStyle name="Normal 9 9 11 8" xfId="58690"/>
    <cellStyle name="Normal 9 9 11 9" xfId="58691"/>
    <cellStyle name="Normal 9 9 12" xfId="58692"/>
    <cellStyle name="Normal 9 9 12 2" xfId="58693"/>
    <cellStyle name="Normal 9 9 12 2 2" xfId="58694"/>
    <cellStyle name="Normal 9 9 12 3" xfId="58695"/>
    <cellStyle name="Normal 9 9 12 4" xfId="58696"/>
    <cellStyle name="Normal 9 9 12 5" xfId="58697"/>
    <cellStyle name="Normal 9 9 13" xfId="58698"/>
    <cellStyle name="Normal 9 9 13 2" xfId="58699"/>
    <cellStyle name="Normal 9 9 14" xfId="58700"/>
    <cellStyle name="Normal 9 9 14 2" xfId="58701"/>
    <cellStyle name="Normal 9 9 15" xfId="58702"/>
    <cellStyle name="Normal 9 9 15 2" xfId="58703"/>
    <cellStyle name="Normal 9 9 16" xfId="58704"/>
    <cellStyle name="Normal 9 9 16 2" xfId="58705"/>
    <cellStyle name="Normal 9 9 17" xfId="58706"/>
    <cellStyle name="Normal 9 9 18" xfId="58707"/>
    <cellStyle name="Normal 9 9 19" xfId="58708"/>
    <cellStyle name="Normal 9 9 2" xfId="58709"/>
    <cellStyle name="Normal 9 9 2 10" xfId="58710"/>
    <cellStyle name="Normal 9 9 2 11" xfId="58711"/>
    <cellStyle name="Normal 9 9 2 12" xfId="58712"/>
    <cellStyle name="Normal 9 9 2 13" xfId="58713"/>
    <cellStyle name="Normal 9 9 2 14" xfId="58714"/>
    <cellStyle name="Normal 9 9 2 15" xfId="58715"/>
    <cellStyle name="Normal 9 9 2 16" xfId="58716"/>
    <cellStyle name="Normal 9 9 2 17" xfId="58717"/>
    <cellStyle name="Normal 9 9 2 18" xfId="58718"/>
    <cellStyle name="Normal 9 9 2 2" xfId="58719"/>
    <cellStyle name="Normal 9 9 2 2 10" xfId="58720"/>
    <cellStyle name="Normal 9 9 2 2 11" xfId="58721"/>
    <cellStyle name="Normal 9 9 2 2 12" xfId="58722"/>
    <cellStyle name="Normal 9 9 2 2 13" xfId="58723"/>
    <cellStyle name="Normal 9 9 2 2 2" xfId="58724"/>
    <cellStyle name="Normal 9 9 2 2 2 2" xfId="58725"/>
    <cellStyle name="Normal 9 9 2 2 2 2 2" xfId="58726"/>
    <cellStyle name="Normal 9 9 2 2 2 3" xfId="58727"/>
    <cellStyle name="Normal 9 9 2 2 2 4" xfId="58728"/>
    <cellStyle name="Normal 9 9 2 2 2 5" xfId="58729"/>
    <cellStyle name="Normal 9 9 2 2 3" xfId="58730"/>
    <cellStyle name="Normal 9 9 2 2 3 2" xfId="58731"/>
    <cellStyle name="Normal 9 9 2 2 4" xfId="58732"/>
    <cellStyle name="Normal 9 9 2 2 4 2" xfId="58733"/>
    <cellStyle name="Normal 9 9 2 2 5" xfId="58734"/>
    <cellStyle name="Normal 9 9 2 2 5 2" xfId="58735"/>
    <cellStyle name="Normal 9 9 2 2 6" xfId="58736"/>
    <cellStyle name="Normal 9 9 2 2 6 2" xfId="58737"/>
    <cellStyle name="Normal 9 9 2 2 7" xfId="58738"/>
    <cellStyle name="Normal 9 9 2 2 8" xfId="58739"/>
    <cellStyle name="Normal 9 9 2 2 9" xfId="58740"/>
    <cellStyle name="Normal 9 9 2 3" xfId="58741"/>
    <cellStyle name="Normal 9 9 2 3 2" xfId="58742"/>
    <cellStyle name="Normal 9 9 2 3 2 2" xfId="58743"/>
    <cellStyle name="Normal 9 9 2 3 3" xfId="58744"/>
    <cellStyle name="Normal 9 9 2 3 4" xfId="58745"/>
    <cellStyle name="Normal 9 9 2 3 5" xfId="58746"/>
    <cellStyle name="Normal 9 9 2 4" xfId="58747"/>
    <cellStyle name="Normal 9 9 2 4 2" xfId="58748"/>
    <cellStyle name="Normal 9 9 2 5" xfId="58749"/>
    <cellStyle name="Normal 9 9 2 5 2" xfId="58750"/>
    <cellStyle name="Normal 9 9 2 6" xfId="58751"/>
    <cellStyle name="Normal 9 9 2 6 2" xfId="58752"/>
    <cellStyle name="Normal 9 9 2 7" xfId="58753"/>
    <cellStyle name="Normal 9 9 2 7 2" xfId="58754"/>
    <cellStyle name="Normal 9 9 2 8" xfId="58755"/>
    <cellStyle name="Normal 9 9 2 9" xfId="58756"/>
    <cellStyle name="Normal 9 9 20" xfId="58757"/>
    <cellStyle name="Normal 9 9 21" xfId="58758"/>
    <cellStyle name="Normal 9 9 22" xfId="58759"/>
    <cellStyle name="Normal 9 9 23" xfId="58760"/>
    <cellStyle name="Normal 9 9 24" xfId="58761"/>
    <cellStyle name="Normal 9 9 25" xfId="58762"/>
    <cellStyle name="Normal 9 9 3" xfId="58763"/>
    <cellStyle name="Normal 9 9 3 10" xfId="58764"/>
    <cellStyle name="Normal 9 9 3 11" xfId="58765"/>
    <cellStyle name="Normal 9 9 3 12" xfId="58766"/>
    <cellStyle name="Normal 9 9 3 13" xfId="58767"/>
    <cellStyle name="Normal 9 9 3 14" xfId="58768"/>
    <cellStyle name="Normal 9 9 3 15" xfId="58769"/>
    <cellStyle name="Normal 9 9 3 16" xfId="58770"/>
    <cellStyle name="Normal 9 9 3 17" xfId="58771"/>
    <cellStyle name="Normal 9 9 3 18" xfId="58772"/>
    <cellStyle name="Normal 9 9 3 2" xfId="58773"/>
    <cellStyle name="Normal 9 9 3 2 10" xfId="58774"/>
    <cellStyle name="Normal 9 9 3 2 11" xfId="58775"/>
    <cellStyle name="Normal 9 9 3 2 12" xfId="58776"/>
    <cellStyle name="Normal 9 9 3 2 13" xfId="58777"/>
    <cellStyle name="Normal 9 9 3 2 2" xfId="58778"/>
    <cellStyle name="Normal 9 9 3 2 2 2" xfId="58779"/>
    <cellStyle name="Normal 9 9 3 2 2 2 2" xfId="58780"/>
    <cellStyle name="Normal 9 9 3 2 2 3" xfId="58781"/>
    <cellStyle name="Normal 9 9 3 2 2 4" xfId="58782"/>
    <cellStyle name="Normal 9 9 3 2 2 5" xfId="58783"/>
    <cellStyle name="Normal 9 9 3 2 3" xfId="58784"/>
    <cellStyle name="Normal 9 9 3 2 3 2" xfId="58785"/>
    <cellStyle name="Normal 9 9 3 2 4" xfId="58786"/>
    <cellStyle name="Normal 9 9 3 2 4 2" xfId="58787"/>
    <cellStyle name="Normal 9 9 3 2 5" xfId="58788"/>
    <cellStyle name="Normal 9 9 3 2 5 2" xfId="58789"/>
    <cellStyle name="Normal 9 9 3 2 6" xfId="58790"/>
    <cellStyle name="Normal 9 9 3 2 6 2" xfId="58791"/>
    <cellStyle name="Normal 9 9 3 2 7" xfId="58792"/>
    <cellStyle name="Normal 9 9 3 2 8" xfId="58793"/>
    <cellStyle name="Normal 9 9 3 2 9" xfId="58794"/>
    <cellStyle name="Normal 9 9 3 3" xfId="58795"/>
    <cellStyle name="Normal 9 9 3 3 2" xfId="58796"/>
    <cellStyle name="Normal 9 9 3 3 2 2" xfId="58797"/>
    <cellStyle name="Normal 9 9 3 3 3" xfId="58798"/>
    <cellStyle name="Normal 9 9 3 3 4" xfId="58799"/>
    <cellStyle name="Normal 9 9 3 3 5" xfId="58800"/>
    <cellStyle name="Normal 9 9 3 4" xfId="58801"/>
    <cellStyle name="Normal 9 9 3 4 2" xfId="58802"/>
    <cellStyle name="Normal 9 9 3 5" xfId="58803"/>
    <cellStyle name="Normal 9 9 3 5 2" xfId="58804"/>
    <cellStyle name="Normal 9 9 3 6" xfId="58805"/>
    <cellStyle name="Normal 9 9 3 6 2" xfId="58806"/>
    <cellStyle name="Normal 9 9 3 7" xfId="58807"/>
    <cellStyle name="Normal 9 9 3 7 2" xfId="58808"/>
    <cellStyle name="Normal 9 9 3 8" xfId="58809"/>
    <cellStyle name="Normal 9 9 3 9" xfId="58810"/>
    <cellStyle name="Normal 9 9 4" xfId="58811"/>
    <cellStyle name="Normal 9 9 4 10" xfId="58812"/>
    <cellStyle name="Normal 9 9 4 11" xfId="58813"/>
    <cellStyle name="Normal 9 9 4 12" xfId="58814"/>
    <cellStyle name="Normal 9 9 4 13" xfId="58815"/>
    <cellStyle name="Normal 9 9 4 14" xfId="58816"/>
    <cellStyle name="Normal 9 9 4 15" xfId="58817"/>
    <cellStyle name="Normal 9 9 4 16" xfId="58818"/>
    <cellStyle name="Normal 9 9 4 17" xfId="58819"/>
    <cellStyle name="Normal 9 9 4 18" xfId="58820"/>
    <cellStyle name="Normal 9 9 4 2" xfId="58821"/>
    <cellStyle name="Normal 9 9 4 2 10" xfId="58822"/>
    <cellStyle name="Normal 9 9 4 2 11" xfId="58823"/>
    <cellStyle name="Normal 9 9 4 2 12" xfId="58824"/>
    <cellStyle name="Normal 9 9 4 2 13" xfId="58825"/>
    <cellStyle name="Normal 9 9 4 2 2" xfId="58826"/>
    <cellStyle name="Normal 9 9 4 2 2 2" xfId="58827"/>
    <cellStyle name="Normal 9 9 4 2 2 2 2" xfId="58828"/>
    <cellStyle name="Normal 9 9 4 2 2 3" xfId="58829"/>
    <cellStyle name="Normal 9 9 4 2 2 4" xfId="58830"/>
    <cellStyle name="Normal 9 9 4 2 2 5" xfId="58831"/>
    <cellStyle name="Normal 9 9 4 2 3" xfId="58832"/>
    <cellStyle name="Normal 9 9 4 2 3 2" xfId="58833"/>
    <cellStyle name="Normal 9 9 4 2 4" xfId="58834"/>
    <cellStyle name="Normal 9 9 4 2 4 2" xfId="58835"/>
    <cellStyle name="Normal 9 9 4 2 5" xfId="58836"/>
    <cellStyle name="Normal 9 9 4 2 5 2" xfId="58837"/>
    <cellStyle name="Normal 9 9 4 2 6" xfId="58838"/>
    <cellStyle name="Normal 9 9 4 2 6 2" xfId="58839"/>
    <cellStyle name="Normal 9 9 4 2 7" xfId="58840"/>
    <cellStyle name="Normal 9 9 4 2 8" xfId="58841"/>
    <cellStyle name="Normal 9 9 4 2 9" xfId="58842"/>
    <cellStyle name="Normal 9 9 4 3" xfId="58843"/>
    <cellStyle name="Normal 9 9 4 3 2" xfId="58844"/>
    <cellStyle name="Normal 9 9 4 3 2 2" xfId="58845"/>
    <cellStyle name="Normal 9 9 4 3 3" xfId="58846"/>
    <cellStyle name="Normal 9 9 4 3 4" xfId="58847"/>
    <cellStyle name="Normal 9 9 4 3 5" xfId="58848"/>
    <cellStyle name="Normal 9 9 4 4" xfId="58849"/>
    <cellStyle name="Normal 9 9 4 4 2" xfId="58850"/>
    <cellStyle name="Normal 9 9 4 5" xfId="58851"/>
    <cellStyle name="Normal 9 9 4 5 2" xfId="58852"/>
    <cellStyle name="Normal 9 9 4 6" xfId="58853"/>
    <cellStyle name="Normal 9 9 4 6 2" xfId="58854"/>
    <cellStyle name="Normal 9 9 4 7" xfId="58855"/>
    <cellStyle name="Normal 9 9 4 7 2" xfId="58856"/>
    <cellStyle name="Normal 9 9 4 8" xfId="58857"/>
    <cellStyle name="Normal 9 9 4 9" xfId="58858"/>
    <cellStyle name="Normal 9 9 5" xfId="58859"/>
    <cellStyle name="Normal 9 9 5 10" xfId="58860"/>
    <cellStyle name="Normal 9 9 5 11" xfId="58861"/>
    <cellStyle name="Normal 9 9 5 12" xfId="58862"/>
    <cellStyle name="Normal 9 9 5 13" xfId="58863"/>
    <cellStyle name="Normal 9 9 5 14" xfId="58864"/>
    <cellStyle name="Normal 9 9 5 15" xfId="58865"/>
    <cellStyle name="Normal 9 9 5 16" xfId="58866"/>
    <cellStyle name="Normal 9 9 5 17" xfId="58867"/>
    <cellStyle name="Normal 9 9 5 2" xfId="58868"/>
    <cellStyle name="Normal 9 9 5 2 10" xfId="58869"/>
    <cellStyle name="Normal 9 9 5 2 11" xfId="58870"/>
    <cellStyle name="Normal 9 9 5 2 12" xfId="58871"/>
    <cellStyle name="Normal 9 9 5 2 13" xfId="58872"/>
    <cellStyle name="Normal 9 9 5 2 2" xfId="58873"/>
    <cellStyle name="Normal 9 9 5 2 2 2" xfId="58874"/>
    <cellStyle name="Normal 9 9 5 2 2 2 2" xfId="58875"/>
    <cellStyle name="Normal 9 9 5 2 2 3" xfId="58876"/>
    <cellStyle name="Normal 9 9 5 2 2 4" xfId="58877"/>
    <cellStyle name="Normal 9 9 5 2 2 5" xfId="58878"/>
    <cellStyle name="Normal 9 9 5 2 3" xfId="58879"/>
    <cellStyle name="Normal 9 9 5 2 3 2" xfId="58880"/>
    <cellStyle name="Normal 9 9 5 2 4" xfId="58881"/>
    <cellStyle name="Normal 9 9 5 2 4 2" xfId="58882"/>
    <cellStyle name="Normal 9 9 5 2 5" xfId="58883"/>
    <cellStyle name="Normal 9 9 5 2 5 2" xfId="58884"/>
    <cellStyle name="Normal 9 9 5 2 6" xfId="58885"/>
    <cellStyle name="Normal 9 9 5 2 6 2" xfId="58886"/>
    <cellStyle name="Normal 9 9 5 2 7" xfId="58887"/>
    <cellStyle name="Normal 9 9 5 2 8" xfId="58888"/>
    <cellStyle name="Normal 9 9 5 2 9" xfId="58889"/>
    <cellStyle name="Normal 9 9 5 3" xfId="58890"/>
    <cellStyle name="Normal 9 9 5 3 2" xfId="58891"/>
    <cellStyle name="Normal 9 9 5 3 2 2" xfId="58892"/>
    <cellStyle name="Normal 9 9 5 3 3" xfId="58893"/>
    <cellStyle name="Normal 9 9 5 3 4" xfId="58894"/>
    <cellStyle name="Normal 9 9 5 3 5" xfId="58895"/>
    <cellStyle name="Normal 9 9 5 4" xfId="58896"/>
    <cellStyle name="Normal 9 9 5 4 2" xfId="58897"/>
    <cellStyle name="Normal 9 9 5 5" xfId="58898"/>
    <cellStyle name="Normal 9 9 5 5 2" xfId="58899"/>
    <cellStyle name="Normal 9 9 5 6" xfId="58900"/>
    <cellStyle name="Normal 9 9 5 6 2" xfId="58901"/>
    <cellStyle name="Normal 9 9 5 7" xfId="58902"/>
    <cellStyle name="Normal 9 9 5 7 2" xfId="58903"/>
    <cellStyle name="Normal 9 9 5 8" xfId="58904"/>
    <cellStyle name="Normal 9 9 5 9" xfId="58905"/>
    <cellStyle name="Normal 9 9 6" xfId="58906"/>
    <cellStyle name="Normal 9 9 6 10" xfId="58907"/>
    <cellStyle name="Normal 9 9 6 11" xfId="58908"/>
    <cellStyle name="Normal 9 9 6 12" xfId="58909"/>
    <cellStyle name="Normal 9 9 6 13" xfId="58910"/>
    <cellStyle name="Normal 9 9 6 14" xfId="58911"/>
    <cellStyle name="Normal 9 9 6 15" xfId="58912"/>
    <cellStyle name="Normal 9 9 6 16" xfId="58913"/>
    <cellStyle name="Normal 9 9 6 17" xfId="58914"/>
    <cellStyle name="Normal 9 9 6 2" xfId="58915"/>
    <cellStyle name="Normal 9 9 6 2 10" xfId="58916"/>
    <cellStyle name="Normal 9 9 6 2 11" xfId="58917"/>
    <cellStyle name="Normal 9 9 6 2 12" xfId="58918"/>
    <cellStyle name="Normal 9 9 6 2 13" xfId="58919"/>
    <cellStyle name="Normal 9 9 6 2 2" xfId="58920"/>
    <cellStyle name="Normal 9 9 6 2 2 2" xfId="58921"/>
    <cellStyle name="Normal 9 9 6 2 2 2 2" xfId="58922"/>
    <cellStyle name="Normal 9 9 6 2 2 3" xfId="58923"/>
    <cellStyle name="Normal 9 9 6 2 2 4" xfId="58924"/>
    <cellStyle name="Normal 9 9 6 2 2 5" xfId="58925"/>
    <cellStyle name="Normal 9 9 6 2 3" xfId="58926"/>
    <cellStyle name="Normal 9 9 6 2 3 2" xfId="58927"/>
    <cellStyle name="Normal 9 9 6 2 4" xfId="58928"/>
    <cellStyle name="Normal 9 9 6 2 4 2" xfId="58929"/>
    <cellStyle name="Normal 9 9 6 2 5" xfId="58930"/>
    <cellStyle name="Normal 9 9 6 2 5 2" xfId="58931"/>
    <cellStyle name="Normal 9 9 6 2 6" xfId="58932"/>
    <cellStyle name="Normal 9 9 6 2 6 2" xfId="58933"/>
    <cellStyle name="Normal 9 9 6 2 7" xfId="58934"/>
    <cellStyle name="Normal 9 9 6 2 8" xfId="58935"/>
    <cellStyle name="Normal 9 9 6 2 9" xfId="58936"/>
    <cellStyle name="Normal 9 9 6 3" xfId="58937"/>
    <cellStyle name="Normal 9 9 6 3 2" xfId="58938"/>
    <cellStyle name="Normal 9 9 6 3 2 2" xfId="58939"/>
    <cellStyle name="Normal 9 9 6 3 3" xfId="58940"/>
    <cellStyle name="Normal 9 9 6 3 4" xfId="58941"/>
    <cellStyle name="Normal 9 9 6 3 5" xfId="58942"/>
    <cellStyle name="Normal 9 9 6 4" xfId="58943"/>
    <cellStyle name="Normal 9 9 6 4 2" xfId="58944"/>
    <cellStyle name="Normal 9 9 6 5" xfId="58945"/>
    <cellStyle name="Normal 9 9 6 5 2" xfId="58946"/>
    <cellStyle name="Normal 9 9 6 6" xfId="58947"/>
    <cellStyle name="Normal 9 9 6 6 2" xfId="58948"/>
    <cellStyle name="Normal 9 9 6 7" xfId="58949"/>
    <cellStyle name="Normal 9 9 6 7 2" xfId="58950"/>
    <cellStyle name="Normal 9 9 6 8" xfId="58951"/>
    <cellStyle name="Normal 9 9 6 9" xfId="58952"/>
    <cellStyle name="Normal 9 9 7" xfId="58953"/>
    <cellStyle name="Normal 9 9 7 10" xfId="58954"/>
    <cellStyle name="Normal 9 9 7 11" xfId="58955"/>
    <cellStyle name="Normal 9 9 7 12" xfId="58956"/>
    <cellStyle name="Normal 9 9 7 13" xfId="58957"/>
    <cellStyle name="Normal 9 9 7 14" xfId="58958"/>
    <cellStyle name="Normal 9 9 7 15" xfId="58959"/>
    <cellStyle name="Normal 9 9 7 16" xfId="58960"/>
    <cellStyle name="Normal 9 9 7 17" xfId="58961"/>
    <cellStyle name="Normal 9 9 7 2" xfId="58962"/>
    <cellStyle name="Normal 9 9 7 2 10" xfId="58963"/>
    <cellStyle name="Normal 9 9 7 2 11" xfId="58964"/>
    <cellStyle name="Normal 9 9 7 2 12" xfId="58965"/>
    <cellStyle name="Normal 9 9 7 2 13" xfId="58966"/>
    <cellStyle name="Normal 9 9 7 2 2" xfId="58967"/>
    <cellStyle name="Normal 9 9 7 2 2 2" xfId="58968"/>
    <cellStyle name="Normal 9 9 7 2 2 2 2" xfId="58969"/>
    <cellStyle name="Normal 9 9 7 2 2 3" xfId="58970"/>
    <cellStyle name="Normal 9 9 7 2 2 4" xfId="58971"/>
    <cellStyle name="Normal 9 9 7 2 2 5" xfId="58972"/>
    <cellStyle name="Normal 9 9 7 2 3" xfId="58973"/>
    <cellStyle name="Normal 9 9 7 2 3 2" xfId="58974"/>
    <cellStyle name="Normal 9 9 7 2 4" xfId="58975"/>
    <cellStyle name="Normal 9 9 7 2 4 2" xfId="58976"/>
    <cellStyle name="Normal 9 9 7 2 5" xfId="58977"/>
    <cellStyle name="Normal 9 9 7 2 5 2" xfId="58978"/>
    <cellStyle name="Normal 9 9 7 2 6" xfId="58979"/>
    <cellStyle name="Normal 9 9 7 2 6 2" xfId="58980"/>
    <cellStyle name="Normal 9 9 7 2 7" xfId="58981"/>
    <cellStyle name="Normal 9 9 7 2 8" xfId="58982"/>
    <cellStyle name="Normal 9 9 7 2 9" xfId="58983"/>
    <cellStyle name="Normal 9 9 7 3" xfId="58984"/>
    <cellStyle name="Normal 9 9 7 3 2" xfId="58985"/>
    <cellStyle name="Normal 9 9 7 3 2 2" xfId="58986"/>
    <cellStyle name="Normal 9 9 7 3 3" xfId="58987"/>
    <cellStyle name="Normal 9 9 7 3 4" xfId="58988"/>
    <cellStyle name="Normal 9 9 7 3 5" xfId="58989"/>
    <cellStyle name="Normal 9 9 7 4" xfId="58990"/>
    <cellStyle name="Normal 9 9 7 4 2" xfId="58991"/>
    <cellStyle name="Normal 9 9 7 5" xfId="58992"/>
    <cellStyle name="Normal 9 9 7 5 2" xfId="58993"/>
    <cellStyle name="Normal 9 9 7 6" xfId="58994"/>
    <cellStyle name="Normal 9 9 7 6 2" xfId="58995"/>
    <cellStyle name="Normal 9 9 7 7" xfId="58996"/>
    <cellStyle name="Normal 9 9 7 7 2" xfId="58997"/>
    <cellStyle name="Normal 9 9 7 8" xfId="58998"/>
    <cellStyle name="Normal 9 9 7 9" xfId="58999"/>
    <cellStyle name="Normal 9 9 8" xfId="59000"/>
    <cellStyle name="Normal 9 9 8 10" xfId="59001"/>
    <cellStyle name="Normal 9 9 8 11" xfId="59002"/>
    <cellStyle name="Normal 9 9 8 12" xfId="59003"/>
    <cellStyle name="Normal 9 9 8 13" xfId="59004"/>
    <cellStyle name="Normal 9 9 8 14" xfId="59005"/>
    <cellStyle name="Normal 9 9 8 15" xfId="59006"/>
    <cellStyle name="Normal 9 9 8 2" xfId="59007"/>
    <cellStyle name="Normal 9 9 8 2 2" xfId="59008"/>
    <cellStyle name="Normal 9 9 8 2 2 2" xfId="59009"/>
    <cellStyle name="Normal 9 9 8 2 3" xfId="59010"/>
    <cellStyle name="Normal 9 9 8 2 3 2" xfId="59011"/>
    <cellStyle name="Normal 9 9 8 2 4" xfId="59012"/>
    <cellStyle name="Normal 9 9 8 2 4 2" xfId="59013"/>
    <cellStyle name="Normal 9 9 8 2 5" xfId="59014"/>
    <cellStyle name="Normal 9 9 8 2 5 2" xfId="59015"/>
    <cellStyle name="Normal 9 9 8 2 6" xfId="59016"/>
    <cellStyle name="Normal 9 9 8 2 7" xfId="59017"/>
    <cellStyle name="Normal 9 9 8 2 8" xfId="59018"/>
    <cellStyle name="Normal 9 9 8 2 9" xfId="59019"/>
    <cellStyle name="Normal 9 9 8 3" xfId="59020"/>
    <cellStyle name="Normal 9 9 8 3 2" xfId="59021"/>
    <cellStyle name="Normal 9 9 8 3 2 2" xfId="59022"/>
    <cellStyle name="Normal 9 9 8 3 3" xfId="59023"/>
    <cellStyle name="Normal 9 9 8 3 4" xfId="59024"/>
    <cellStyle name="Normal 9 9 8 3 5" xfId="59025"/>
    <cellStyle name="Normal 9 9 8 4" xfId="59026"/>
    <cellStyle name="Normal 9 9 8 4 2" xfId="59027"/>
    <cellStyle name="Normal 9 9 8 5" xfId="59028"/>
    <cellStyle name="Normal 9 9 8 5 2" xfId="59029"/>
    <cellStyle name="Normal 9 9 8 6" xfId="59030"/>
    <cellStyle name="Normal 9 9 8 6 2" xfId="59031"/>
    <cellStyle name="Normal 9 9 8 7" xfId="59032"/>
    <cellStyle name="Normal 9 9 8 7 2" xfId="59033"/>
    <cellStyle name="Normal 9 9 8 8" xfId="59034"/>
    <cellStyle name="Normal 9 9 8 9" xfId="59035"/>
    <cellStyle name="Normal 9 9 9" xfId="59036"/>
    <cellStyle name="Normal 9 9 9 10" xfId="59037"/>
    <cellStyle name="Normal 9 9 9 11" xfId="59038"/>
    <cellStyle name="Normal 9 9 9 12" xfId="59039"/>
    <cellStyle name="Normal 9 9 9 13" xfId="59040"/>
    <cellStyle name="Normal 9 9 9 14" xfId="59041"/>
    <cellStyle name="Normal 9 9 9 15" xfId="59042"/>
    <cellStyle name="Normal 9 9 9 2" xfId="59043"/>
    <cellStyle name="Normal 9 9 9 2 2" xfId="59044"/>
    <cellStyle name="Normal 9 9 9 2 2 2" xfId="59045"/>
    <cellStyle name="Normal 9 9 9 2 3" xfId="59046"/>
    <cellStyle name="Normal 9 9 9 2 3 2" xfId="59047"/>
    <cellStyle name="Normal 9 9 9 2 4" xfId="59048"/>
    <cellStyle name="Normal 9 9 9 2 4 2" xfId="59049"/>
    <cellStyle name="Normal 9 9 9 2 5" xfId="59050"/>
    <cellStyle name="Normal 9 9 9 2 5 2" xfId="59051"/>
    <cellStyle name="Normal 9 9 9 2 6" xfId="59052"/>
    <cellStyle name="Normal 9 9 9 2 7" xfId="59053"/>
    <cellStyle name="Normal 9 9 9 2 8" xfId="59054"/>
    <cellStyle name="Normal 9 9 9 2 9" xfId="59055"/>
    <cellStyle name="Normal 9 9 9 3" xfId="59056"/>
    <cellStyle name="Normal 9 9 9 3 2" xfId="59057"/>
    <cellStyle name="Normal 9 9 9 3 2 2" xfId="59058"/>
    <cellStyle name="Normal 9 9 9 3 3" xfId="59059"/>
    <cellStyle name="Normal 9 9 9 3 4" xfId="59060"/>
    <cellStyle name="Normal 9 9 9 3 5" xfId="59061"/>
    <cellStyle name="Normal 9 9 9 4" xfId="59062"/>
    <cellStyle name="Normal 9 9 9 4 2" xfId="59063"/>
    <cellStyle name="Normal 9 9 9 5" xfId="59064"/>
    <cellStyle name="Normal 9 9 9 5 2" xfId="59065"/>
    <cellStyle name="Normal 9 9 9 6" xfId="59066"/>
    <cellStyle name="Normal 9 9 9 6 2" xfId="59067"/>
    <cellStyle name="Normal 9 9 9 7" xfId="59068"/>
    <cellStyle name="Normal 9 9 9 7 2" xfId="59069"/>
    <cellStyle name="Normal 9 9 9 8" xfId="59070"/>
    <cellStyle name="Normal 9 9 9 9" xfId="59071"/>
  </cellStyles>
  <dxfs count="0"/>
  <tableStyles count="0" defaultTableStyle="TableStyleMedium2" defaultPivotStyle="PivotStyleLight16"/>
  <colors>
    <mruColors>
      <color rgb="FFFF660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icms.indianrail.gov.in/reports/Pam?action=BreakupOfTimingSources&amp;subAction=show#headPrint" TargetMode="External"/><Relationship Id="rId2" Type="http://schemas.openxmlformats.org/officeDocument/2006/relationships/hyperlink" Target="https://icms.indianrail.gov.in/reports/Pam?action=BreakupOfTimingSources&amp;subAction=show" TargetMode="External"/><Relationship Id="rId1" Type="http://schemas.openxmlformats.org/officeDocument/2006/relationships/hyperlink" Target="javascript:window.location.reload();" TargetMode="External"/><Relationship Id="rId4" Type="http://schemas.openxmlformats.org/officeDocument/2006/relationships/hyperlink" Target="https://icms.indianrail.gov.in/reports/Pam?action=BreakupOfTimingSources&amp;subAction=show#divRptBottomEnd"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icms.indianrail.gov.in/reports/Pam?action=BreakupOfTimingSources&amp;subAction=show#headPrint" TargetMode="External"/><Relationship Id="rId2" Type="http://schemas.openxmlformats.org/officeDocument/2006/relationships/hyperlink" Target="https://icms.indianrail.gov.in/reports/Pam?action=BreakupOfTimingSources&amp;subAction=show" TargetMode="External"/><Relationship Id="rId1" Type="http://schemas.openxmlformats.org/officeDocument/2006/relationships/hyperlink" Target="javascript:window.location.reload();" TargetMode="External"/><Relationship Id="rId4" Type="http://schemas.openxmlformats.org/officeDocument/2006/relationships/hyperlink" Target="https://icms.indianrail.gov.in/reports/Pam?action=BreakupOfTimingSources&amp;subAction=show#divRptBottomEnd"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icms.indianrail.gov.in/reports/Pam?action=BreakupOfTimingSources&amp;subAction=show#headPrint" TargetMode="External"/><Relationship Id="rId2" Type="http://schemas.openxmlformats.org/officeDocument/2006/relationships/hyperlink" Target="https://icms.indianrail.gov.in/reports/Pam?action=BreakupOfTimingSources&amp;subAction=show" TargetMode="External"/><Relationship Id="rId1" Type="http://schemas.openxmlformats.org/officeDocument/2006/relationships/hyperlink" Target="javascript:window.location.reload();" TargetMode="External"/><Relationship Id="rId4" Type="http://schemas.openxmlformats.org/officeDocument/2006/relationships/hyperlink" Target="https://icms.indianrail.gov.in/reports/Pam?action=BreakupOfTimingSources&amp;subAction=show#divRptBottomEnd"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icms.indianrail.gov.in/reports/Pam?action=BreakupOfTimingSources&amp;subAction=show#headPrint" TargetMode="External"/><Relationship Id="rId2" Type="http://schemas.openxmlformats.org/officeDocument/2006/relationships/hyperlink" Target="https://icms.indianrail.gov.in/reports/Pam?action=BreakupOfTimingSources&amp;subAction=show" TargetMode="External"/><Relationship Id="rId1" Type="http://schemas.openxmlformats.org/officeDocument/2006/relationships/hyperlink" Target="javascript:window.location.reload();" TargetMode="External"/><Relationship Id="rId4" Type="http://schemas.openxmlformats.org/officeDocument/2006/relationships/hyperlink" Target="https://icms.indianrail.gov.in/reports/Pam?action=BreakupOfTimingSources&amp;subAction=show#divRptBottomEnd"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4</xdr:col>
      <xdr:colOff>349758</xdr:colOff>
      <xdr:row>0</xdr:row>
      <xdr:rowOff>43434</xdr:rowOff>
    </xdr:to>
    <xdr:sp macro="" textlink="">
      <xdr:nvSpPr>
        <xdr:cNvPr id="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43338</xdr:rowOff>
    </xdr:to>
    <xdr:sp macro="" textlink="">
      <xdr:nvSpPr>
        <xdr:cNvPr id="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43338</xdr:rowOff>
    </xdr:to>
    <xdr:sp macro="" textlink="">
      <xdr:nvSpPr>
        <xdr:cNvPr id="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43338</xdr:rowOff>
    </xdr:to>
    <xdr:sp macro="" textlink="">
      <xdr:nvSpPr>
        <xdr:cNvPr id="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43338</xdr:rowOff>
    </xdr:to>
    <xdr:sp macro="" textlink="">
      <xdr:nvSpPr>
        <xdr:cNvPr id="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43338</xdr:rowOff>
    </xdr:to>
    <xdr:sp macro="" textlink="">
      <xdr:nvSpPr>
        <xdr:cNvPr id="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43338</xdr:rowOff>
    </xdr:to>
    <xdr:sp macro="" textlink="">
      <xdr:nvSpPr>
        <xdr:cNvPr id="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43338</xdr:rowOff>
    </xdr:to>
    <xdr:sp macro="" textlink="">
      <xdr:nvSpPr>
        <xdr:cNvPr id="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43338</xdr:rowOff>
    </xdr:to>
    <xdr:sp macro="" textlink="">
      <xdr:nvSpPr>
        <xdr:cNvPr id="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43338</xdr:rowOff>
    </xdr:to>
    <xdr:sp macro="" textlink="">
      <xdr:nvSpPr>
        <xdr:cNvPr id="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1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1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1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1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1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1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1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1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1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43719</xdr:rowOff>
    </xdr:to>
    <xdr:sp macro="" textlink="">
      <xdr:nvSpPr>
        <xdr:cNvPr id="1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1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1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1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1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1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1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1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1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1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2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2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2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2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2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2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2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2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2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2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2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2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43053</xdr:rowOff>
    </xdr:to>
    <xdr:sp macro="" textlink="">
      <xdr:nvSpPr>
        <xdr:cNvPr id="2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2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2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43053</xdr:rowOff>
    </xdr:to>
    <xdr:sp macro="" textlink="">
      <xdr:nvSpPr>
        <xdr:cNvPr id="2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2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2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2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2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2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2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2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2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2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2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3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3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3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3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3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3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3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3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3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3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3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3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3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3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3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3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4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4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4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4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4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4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4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43053</xdr:rowOff>
    </xdr:to>
    <xdr:sp macro="" textlink="">
      <xdr:nvSpPr>
        <xdr:cNvPr id="4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4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4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4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4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43053</xdr:rowOff>
    </xdr:to>
    <xdr:sp macro="" textlink="">
      <xdr:nvSpPr>
        <xdr:cNvPr id="4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4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4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4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4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4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4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4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4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4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4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4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4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4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4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4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4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5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5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5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5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5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5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5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5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5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5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5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5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5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5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5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5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5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5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5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5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5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43053</xdr:rowOff>
    </xdr:to>
    <xdr:sp macro="" textlink="">
      <xdr:nvSpPr>
        <xdr:cNvPr id="5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5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5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5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5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5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43053</xdr:rowOff>
    </xdr:to>
    <xdr:sp macro="" textlink="">
      <xdr:nvSpPr>
        <xdr:cNvPr id="6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6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6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6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6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6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6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6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6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6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6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6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6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7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7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7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7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7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7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7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7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7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7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7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7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7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7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7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7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7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43053</xdr:rowOff>
    </xdr:to>
    <xdr:sp macro="" textlink="">
      <xdr:nvSpPr>
        <xdr:cNvPr id="7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7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7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7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7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43053</xdr:rowOff>
    </xdr:to>
    <xdr:sp macro="" textlink="">
      <xdr:nvSpPr>
        <xdr:cNvPr id="7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7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7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7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7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7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7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7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7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7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7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7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8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8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8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8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8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9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9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9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9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9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9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9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9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9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9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9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9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43434</xdr:rowOff>
    </xdr:to>
    <xdr:sp macro="" textlink="">
      <xdr:nvSpPr>
        <xdr:cNvPr id="9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43434</xdr:rowOff>
    </xdr:to>
    <xdr:sp macro="" textlink="">
      <xdr:nvSpPr>
        <xdr:cNvPr id="9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43434</xdr:rowOff>
    </xdr:to>
    <xdr:sp macro="" textlink="">
      <xdr:nvSpPr>
        <xdr:cNvPr id="9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43434</xdr:rowOff>
    </xdr:to>
    <xdr:sp macro="" textlink="">
      <xdr:nvSpPr>
        <xdr:cNvPr id="9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43434</xdr:rowOff>
    </xdr:to>
    <xdr:sp macro="" textlink="">
      <xdr:nvSpPr>
        <xdr:cNvPr id="9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43434</xdr:rowOff>
    </xdr:to>
    <xdr:sp macro="" textlink="">
      <xdr:nvSpPr>
        <xdr:cNvPr id="9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43434</xdr:rowOff>
    </xdr:to>
    <xdr:sp macro="" textlink="">
      <xdr:nvSpPr>
        <xdr:cNvPr id="9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9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43434</xdr:rowOff>
    </xdr:to>
    <xdr:sp macro="" textlink="">
      <xdr:nvSpPr>
        <xdr:cNvPr id="9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3180"/>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43434</xdr:rowOff>
    </xdr:to>
    <xdr:sp macro="" textlink="">
      <xdr:nvSpPr>
        <xdr:cNvPr id="9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9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43434</xdr:rowOff>
    </xdr:to>
    <xdr:sp macro="" textlink="">
      <xdr:nvSpPr>
        <xdr:cNvPr id="9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43434</xdr:rowOff>
    </xdr:to>
    <xdr:sp macro="" textlink="">
      <xdr:nvSpPr>
        <xdr:cNvPr id="9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9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43434</xdr:rowOff>
    </xdr:to>
    <xdr:sp macro="" textlink="">
      <xdr:nvSpPr>
        <xdr:cNvPr id="9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3180"/>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43434</xdr:rowOff>
    </xdr:to>
    <xdr:sp macro="" textlink="">
      <xdr:nvSpPr>
        <xdr:cNvPr id="9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9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9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9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9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43434</xdr:rowOff>
    </xdr:to>
    <xdr:sp macro="" textlink="">
      <xdr:nvSpPr>
        <xdr:cNvPr id="9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9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9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9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9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9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9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9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9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9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9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9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9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9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9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9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0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0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0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0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0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0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0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0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0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0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0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0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0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0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0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0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0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11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1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1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1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498535</xdr:colOff>
      <xdr:row>0</xdr:row>
      <xdr:rowOff>43053</xdr:rowOff>
    </xdr:to>
    <xdr:sp macro="" textlink="">
      <xdr:nvSpPr>
        <xdr:cNvPr id="11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378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1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317560</xdr:colOff>
      <xdr:row>0</xdr:row>
      <xdr:rowOff>43053</xdr:rowOff>
    </xdr:to>
    <xdr:sp macro="" textlink="">
      <xdr:nvSpPr>
        <xdr:cNvPr id="11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568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11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11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11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162112</xdr:colOff>
      <xdr:row>0</xdr:row>
      <xdr:rowOff>43053</xdr:rowOff>
    </xdr:to>
    <xdr:sp macro="" textlink="">
      <xdr:nvSpPr>
        <xdr:cNvPr id="11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305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11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141042</xdr:colOff>
      <xdr:row>0</xdr:row>
      <xdr:rowOff>43053</xdr:rowOff>
    </xdr:to>
    <xdr:sp macro="" textlink="">
      <xdr:nvSpPr>
        <xdr:cNvPr id="11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6736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209737</xdr:colOff>
      <xdr:row>0</xdr:row>
      <xdr:rowOff>43053</xdr:rowOff>
    </xdr:to>
    <xdr:sp macro="" textlink="">
      <xdr:nvSpPr>
        <xdr:cNvPr id="11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78155" cy="42545"/>
        </a:xfrm>
        <a:prstGeom prst="rect">
          <a:avLst/>
        </a:prstGeom>
        <a:noFill/>
      </xdr:spPr>
    </xdr:sp>
    <xdr:clientData/>
  </xdr:twoCellAnchor>
  <xdr:twoCellAnchor editAs="oneCell">
    <xdr:from>
      <xdr:col>4</xdr:col>
      <xdr:colOff>581025</xdr:colOff>
      <xdr:row>0</xdr:row>
      <xdr:rowOff>0</xdr:rowOff>
    </xdr:from>
    <xdr:to>
      <xdr:col>5</xdr:col>
      <xdr:colOff>155635</xdr:colOff>
      <xdr:row>0</xdr:row>
      <xdr:rowOff>43053</xdr:rowOff>
    </xdr:to>
    <xdr:sp macro="" textlink="">
      <xdr:nvSpPr>
        <xdr:cNvPr id="11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94945" cy="42545"/>
        </a:xfrm>
        <a:prstGeom prst="rect">
          <a:avLst/>
        </a:prstGeom>
        <a:noFill/>
      </xdr:spPr>
    </xdr:sp>
    <xdr:clientData/>
  </xdr:twoCellAnchor>
  <xdr:twoCellAnchor editAs="oneCell">
    <xdr:from>
      <xdr:col>5</xdr:col>
      <xdr:colOff>285750</xdr:colOff>
      <xdr:row>0</xdr:row>
      <xdr:rowOff>0</xdr:rowOff>
    </xdr:from>
    <xdr:to>
      <xdr:col>6</xdr:col>
      <xdr:colOff>169617</xdr:colOff>
      <xdr:row>0</xdr:row>
      <xdr:rowOff>43053</xdr:rowOff>
    </xdr:to>
    <xdr:sp macro="" textlink="">
      <xdr:nvSpPr>
        <xdr:cNvPr id="11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959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1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11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1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1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43053</xdr:rowOff>
    </xdr:to>
    <xdr:sp macro="" textlink="">
      <xdr:nvSpPr>
        <xdr:cNvPr id="11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1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1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11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1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1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11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1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1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1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1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1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1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1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2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2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2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2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2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2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2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2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2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2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2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2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2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2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2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2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2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2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2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2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2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2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2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2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2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3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3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43053</xdr:rowOff>
    </xdr:to>
    <xdr:sp macro="" textlink="">
      <xdr:nvSpPr>
        <xdr:cNvPr id="13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3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1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43053</xdr:rowOff>
    </xdr:to>
    <xdr:sp macro="" textlink="">
      <xdr:nvSpPr>
        <xdr:cNvPr id="13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1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3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13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43053</xdr:rowOff>
    </xdr:to>
    <xdr:sp macro="" textlink="">
      <xdr:nvSpPr>
        <xdr:cNvPr id="13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2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13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43053</xdr:rowOff>
    </xdr:to>
    <xdr:sp macro="" textlink="">
      <xdr:nvSpPr>
        <xdr:cNvPr id="13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2545"/>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43053</xdr:rowOff>
    </xdr:to>
    <xdr:sp macro="" textlink="">
      <xdr:nvSpPr>
        <xdr:cNvPr id="13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3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43053</xdr:rowOff>
    </xdr:to>
    <xdr:sp macro="" textlink="">
      <xdr:nvSpPr>
        <xdr:cNvPr id="13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2545"/>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43053</xdr:rowOff>
    </xdr:to>
    <xdr:sp macro="" textlink="">
      <xdr:nvSpPr>
        <xdr:cNvPr id="13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3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43053</xdr:rowOff>
    </xdr:to>
    <xdr:sp macro="" textlink="">
      <xdr:nvSpPr>
        <xdr:cNvPr id="13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3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3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43053</xdr:rowOff>
    </xdr:to>
    <xdr:sp macro="" textlink="">
      <xdr:nvSpPr>
        <xdr:cNvPr id="13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3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3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43053</xdr:rowOff>
    </xdr:to>
    <xdr:sp macro="" textlink="">
      <xdr:nvSpPr>
        <xdr:cNvPr id="13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3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3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43053</xdr:rowOff>
    </xdr:to>
    <xdr:sp macro="" textlink="">
      <xdr:nvSpPr>
        <xdr:cNvPr id="13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2545"/>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43053</xdr:rowOff>
    </xdr:to>
    <xdr:sp macro="" textlink="">
      <xdr:nvSpPr>
        <xdr:cNvPr id="13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3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5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3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3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3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3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3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3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4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4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4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4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43244</xdr:rowOff>
    </xdr:to>
    <xdr:sp macro="" textlink="">
      <xdr:nvSpPr>
        <xdr:cNvPr id="14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4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4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4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4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4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5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4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45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4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4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4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4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4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4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43244</xdr:rowOff>
    </xdr:to>
    <xdr:sp macro="" textlink="">
      <xdr:nvSpPr>
        <xdr:cNvPr id="14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43244</xdr:rowOff>
    </xdr:to>
    <xdr:sp macro="" textlink="">
      <xdr:nvSpPr>
        <xdr:cNvPr id="14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43244</xdr:rowOff>
    </xdr:to>
    <xdr:sp macro="" textlink="">
      <xdr:nvSpPr>
        <xdr:cNvPr id="14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43244</xdr:rowOff>
    </xdr:to>
    <xdr:sp macro="" textlink="">
      <xdr:nvSpPr>
        <xdr:cNvPr id="14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43244</xdr:rowOff>
    </xdr:to>
    <xdr:sp macro="" textlink="">
      <xdr:nvSpPr>
        <xdr:cNvPr id="14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43244</xdr:rowOff>
    </xdr:to>
    <xdr:sp macro="" textlink="">
      <xdr:nvSpPr>
        <xdr:cNvPr id="14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4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4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4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43244</xdr:rowOff>
    </xdr:to>
    <xdr:sp macro="" textlink="">
      <xdr:nvSpPr>
        <xdr:cNvPr id="15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5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43244</xdr:rowOff>
    </xdr:to>
    <xdr:sp macro="" textlink="">
      <xdr:nvSpPr>
        <xdr:cNvPr id="15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43244</xdr:rowOff>
    </xdr:to>
    <xdr:sp macro="" textlink="">
      <xdr:nvSpPr>
        <xdr:cNvPr id="15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15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43244</xdr:rowOff>
    </xdr:to>
    <xdr:sp macro="" textlink="">
      <xdr:nvSpPr>
        <xdr:cNvPr id="15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43244</xdr:rowOff>
    </xdr:to>
    <xdr:sp macro="" textlink="">
      <xdr:nvSpPr>
        <xdr:cNvPr id="15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5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43244</xdr:rowOff>
    </xdr:to>
    <xdr:sp macro="" textlink="">
      <xdr:nvSpPr>
        <xdr:cNvPr id="15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43244</xdr:rowOff>
    </xdr:to>
    <xdr:sp macro="" textlink="">
      <xdr:nvSpPr>
        <xdr:cNvPr id="15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5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43244</xdr:rowOff>
    </xdr:to>
    <xdr:sp macro="" textlink="">
      <xdr:nvSpPr>
        <xdr:cNvPr id="15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43244</xdr:rowOff>
    </xdr:to>
    <xdr:sp macro="" textlink="">
      <xdr:nvSpPr>
        <xdr:cNvPr id="15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5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43244</xdr:rowOff>
    </xdr:to>
    <xdr:sp macro="" textlink="">
      <xdr:nvSpPr>
        <xdr:cNvPr id="15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43244</xdr:rowOff>
    </xdr:to>
    <xdr:sp macro="" textlink="">
      <xdr:nvSpPr>
        <xdr:cNvPr id="15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5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43244</xdr:rowOff>
    </xdr:to>
    <xdr:sp macro="" textlink="">
      <xdr:nvSpPr>
        <xdr:cNvPr id="15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43244</xdr:rowOff>
    </xdr:to>
    <xdr:sp macro="" textlink="">
      <xdr:nvSpPr>
        <xdr:cNvPr id="15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5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43244</xdr:rowOff>
    </xdr:to>
    <xdr:sp macro="" textlink="">
      <xdr:nvSpPr>
        <xdr:cNvPr id="15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43244</xdr:rowOff>
    </xdr:to>
    <xdr:sp macro="" textlink="">
      <xdr:nvSpPr>
        <xdr:cNvPr id="15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43244</xdr:rowOff>
    </xdr:to>
    <xdr:sp macro="" textlink="">
      <xdr:nvSpPr>
        <xdr:cNvPr id="15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43244</xdr:rowOff>
    </xdr:to>
    <xdr:sp macro="" textlink="">
      <xdr:nvSpPr>
        <xdr:cNvPr id="15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43244</xdr:rowOff>
    </xdr:to>
    <xdr:sp macro="" textlink="">
      <xdr:nvSpPr>
        <xdr:cNvPr id="15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43244</xdr:rowOff>
    </xdr:to>
    <xdr:sp macro="" textlink="">
      <xdr:nvSpPr>
        <xdr:cNvPr id="15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43244</xdr:rowOff>
    </xdr:to>
    <xdr:sp macro="" textlink="">
      <xdr:nvSpPr>
        <xdr:cNvPr id="15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43244</xdr:rowOff>
    </xdr:to>
    <xdr:sp macro="" textlink="">
      <xdr:nvSpPr>
        <xdr:cNvPr id="15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43244</xdr:rowOff>
    </xdr:to>
    <xdr:sp macro="" textlink="">
      <xdr:nvSpPr>
        <xdr:cNvPr id="15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5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5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5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59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5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6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6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60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6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6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60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6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6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6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6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6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6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16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6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6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6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6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6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6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6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6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6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6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6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16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6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6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16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6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6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43434</xdr:rowOff>
    </xdr:to>
    <xdr:sp macro="" textlink="">
      <xdr:nvSpPr>
        <xdr:cNvPr id="16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43434</xdr:rowOff>
    </xdr:to>
    <xdr:sp macro="" textlink="">
      <xdr:nvSpPr>
        <xdr:cNvPr id="16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16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43434</xdr:rowOff>
    </xdr:to>
    <xdr:sp macro="" textlink="">
      <xdr:nvSpPr>
        <xdr:cNvPr id="16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43434</xdr:rowOff>
    </xdr:to>
    <xdr:sp macro="" textlink="">
      <xdr:nvSpPr>
        <xdr:cNvPr id="16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6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43434</xdr:rowOff>
    </xdr:to>
    <xdr:sp macro="" textlink="">
      <xdr:nvSpPr>
        <xdr:cNvPr id="16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43434</xdr:rowOff>
    </xdr:to>
    <xdr:sp macro="" textlink="">
      <xdr:nvSpPr>
        <xdr:cNvPr id="16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6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6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17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17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7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43434</xdr:rowOff>
    </xdr:to>
    <xdr:sp macro="" textlink="">
      <xdr:nvSpPr>
        <xdr:cNvPr id="17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17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7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17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17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7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17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17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7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7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7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7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7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7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7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7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7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7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7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7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7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7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7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7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7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7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7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7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18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8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8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8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8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8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8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8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18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18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18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18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82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8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8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18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8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18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18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43561</xdr:rowOff>
    </xdr:to>
    <xdr:sp macro="" textlink="">
      <xdr:nvSpPr>
        <xdr:cNvPr id="18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43561</xdr:rowOff>
    </xdr:to>
    <xdr:sp macro="" textlink="">
      <xdr:nvSpPr>
        <xdr:cNvPr id="18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43561</xdr:rowOff>
    </xdr:to>
    <xdr:sp macro="" textlink="">
      <xdr:nvSpPr>
        <xdr:cNvPr id="18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43561</xdr:rowOff>
    </xdr:to>
    <xdr:sp macro="" textlink="">
      <xdr:nvSpPr>
        <xdr:cNvPr id="18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43561</xdr:rowOff>
    </xdr:to>
    <xdr:sp macro="" textlink="">
      <xdr:nvSpPr>
        <xdr:cNvPr id="18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43561</xdr:rowOff>
    </xdr:to>
    <xdr:sp macro="" textlink="">
      <xdr:nvSpPr>
        <xdr:cNvPr id="18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43561</xdr:rowOff>
    </xdr:to>
    <xdr:sp macro="" textlink="">
      <xdr:nvSpPr>
        <xdr:cNvPr id="18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8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8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43561</xdr:rowOff>
    </xdr:to>
    <xdr:sp macro="" textlink="">
      <xdr:nvSpPr>
        <xdr:cNvPr id="18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43561</xdr:rowOff>
    </xdr:to>
    <xdr:sp macro="" textlink="">
      <xdr:nvSpPr>
        <xdr:cNvPr id="18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18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43561</xdr:rowOff>
    </xdr:to>
    <xdr:sp macro="" textlink="">
      <xdr:nvSpPr>
        <xdr:cNvPr id="18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43561</xdr:rowOff>
    </xdr:to>
    <xdr:sp macro="" textlink="">
      <xdr:nvSpPr>
        <xdr:cNvPr id="18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18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43561</xdr:rowOff>
    </xdr:to>
    <xdr:sp macro="" textlink="">
      <xdr:nvSpPr>
        <xdr:cNvPr id="18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43561</xdr:rowOff>
    </xdr:to>
    <xdr:sp macro="" textlink="">
      <xdr:nvSpPr>
        <xdr:cNvPr id="18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8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43561</xdr:rowOff>
    </xdr:to>
    <xdr:sp macro="" textlink="">
      <xdr:nvSpPr>
        <xdr:cNvPr id="18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43561</xdr:rowOff>
    </xdr:to>
    <xdr:sp macro="" textlink="">
      <xdr:nvSpPr>
        <xdr:cNvPr id="18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8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43561</xdr:rowOff>
    </xdr:to>
    <xdr:sp macro="" textlink="">
      <xdr:nvSpPr>
        <xdr:cNvPr id="18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43561</xdr:rowOff>
    </xdr:to>
    <xdr:sp macro="" textlink="">
      <xdr:nvSpPr>
        <xdr:cNvPr id="18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8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43561</xdr:rowOff>
    </xdr:to>
    <xdr:sp macro="" textlink="">
      <xdr:nvSpPr>
        <xdr:cNvPr id="18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43561</xdr:rowOff>
    </xdr:to>
    <xdr:sp macro="" textlink="">
      <xdr:nvSpPr>
        <xdr:cNvPr id="18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18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43561</xdr:rowOff>
    </xdr:to>
    <xdr:sp macro="" textlink="">
      <xdr:nvSpPr>
        <xdr:cNvPr id="18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43561</xdr:rowOff>
    </xdr:to>
    <xdr:sp macro="" textlink="">
      <xdr:nvSpPr>
        <xdr:cNvPr id="18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8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8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43561</xdr:rowOff>
    </xdr:to>
    <xdr:sp macro="" textlink="">
      <xdr:nvSpPr>
        <xdr:cNvPr id="19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43561</xdr:rowOff>
    </xdr:to>
    <xdr:sp macro="" textlink="">
      <xdr:nvSpPr>
        <xdr:cNvPr id="19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43561</xdr:rowOff>
    </xdr:to>
    <xdr:sp macro="" textlink="">
      <xdr:nvSpPr>
        <xdr:cNvPr id="19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43561</xdr:rowOff>
    </xdr:to>
    <xdr:sp macro="" textlink="">
      <xdr:nvSpPr>
        <xdr:cNvPr id="19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43561</xdr:rowOff>
    </xdr:to>
    <xdr:sp macro="" textlink="">
      <xdr:nvSpPr>
        <xdr:cNvPr id="19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43561</xdr:rowOff>
    </xdr:to>
    <xdr:sp macro="" textlink="">
      <xdr:nvSpPr>
        <xdr:cNvPr id="19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43561</xdr:rowOff>
    </xdr:to>
    <xdr:sp macro="" textlink="">
      <xdr:nvSpPr>
        <xdr:cNvPr id="19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43561</xdr:rowOff>
    </xdr:to>
    <xdr:sp macro="" textlink="">
      <xdr:nvSpPr>
        <xdr:cNvPr id="19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9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8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19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8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9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9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9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199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19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19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19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19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0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0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0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0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0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01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0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0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0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0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0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0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0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0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0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43624</xdr:rowOff>
    </xdr:to>
    <xdr:sp macro="" textlink="">
      <xdr:nvSpPr>
        <xdr:cNvPr id="20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0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0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0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43624</xdr:rowOff>
    </xdr:to>
    <xdr:sp macro="" textlink="">
      <xdr:nvSpPr>
        <xdr:cNvPr id="20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0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0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0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43624</xdr:rowOff>
    </xdr:to>
    <xdr:sp macro="" textlink="">
      <xdr:nvSpPr>
        <xdr:cNvPr id="20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43624</xdr:rowOff>
    </xdr:to>
    <xdr:sp macro="" textlink="">
      <xdr:nvSpPr>
        <xdr:cNvPr id="20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20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43624</xdr:rowOff>
    </xdr:to>
    <xdr:sp macro="" textlink="">
      <xdr:nvSpPr>
        <xdr:cNvPr id="20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43624</xdr:rowOff>
    </xdr:to>
    <xdr:sp macro="" textlink="">
      <xdr:nvSpPr>
        <xdr:cNvPr id="20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0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43624</xdr:rowOff>
    </xdr:to>
    <xdr:sp macro="" textlink="">
      <xdr:nvSpPr>
        <xdr:cNvPr id="20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43624</xdr:rowOff>
    </xdr:to>
    <xdr:sp macro="" textlink="">
      <xdr:nvSpPr>
        <xdr:cNvPr id="20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0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0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0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0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43624</xdr:rowOff>
    </xdr:to>
    <xdr:sp macro="" textlink="">
      <xdr:nvSpPr>
        <xdr:cNvPr id="20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0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0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0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0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0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0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0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0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0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0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0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0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0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0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1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1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1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1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1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1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1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1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6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21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7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1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7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1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1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1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1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1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1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1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1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1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1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1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1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1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1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1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1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1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1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2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22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22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22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22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43434</xdr:rowOff>
    </xdr:to>
    <xdr:sp macro="" textlink="">
      <xdr:nvSpPr>
        <xdr:cNvPr id="22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22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43434</xdr:rowOff>
    </xdr:to>
    <xdr:sp macro="" textlink="">
      <xdr:nvSpPr>
        <xdr:cNvPr id="22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2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43434</xdr:rowOff>
    </xdr:to>
    <xdr:sp macro="" textlink="">
      <xdr:nvSpPr>
        <xdr:cNvPr id="22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43434</xdr:rowOff>
    </xdr:to>
    <xdr:sp macro="" textlink="">
      <xdr:nvSpPr>
        <xdr:cNvPr id="22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22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43434</xdr:rowOff>
    </xdr:to>
    <xdr:sp macro="" textlink="">
      <xdr:nvSpPr>
        <xdr:cNvPr id="22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43434</xdr:rowOff>
    </xdr:to>
    <xdr:sp macro="" textlink="">
      <xdr:nvSpPr>
        <xdr:cNvPr id="22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2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43434</xdr:rowOff>
    </xdr:to>
    <xdr:sp macro="" textlink="">
      <xdr:nvSpPr>
        <xdr:cNvPr id="22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43434</xdr:rowOff>
    </xdr:to>
    <xdr:sp macro="" textlink="">
      <xdr:nvSpPr>
        <xdr:cNvPr id="22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2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22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22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2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43434</xdr:rowOff>
    </xdr:to>
    <xdr:sp macro="" textlink="">
      <xdr:nvSpPr>
        <xdr:cNvPr id="22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22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2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22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22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2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43434</xdr:rowOff>
    </xdr:to>
    <xdr:sp macro="" textlink="">
      <xdr:nvSpPr>
        <xdr:cNvPr id="22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43434</xdr:rowOff>
    </xdr:to>
    <xdr:sp macro="" textlink="">
      <xdr:nvSpPr>
        <xdr:cNvPr id="22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2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2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2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2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2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2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3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3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3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3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23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3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3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3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3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3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3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3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3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3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3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3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3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3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37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3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3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3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3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3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3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3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3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3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3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3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3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43624</xdr:rowOff>
    </xdr:to>
    <xdr:sp macro="" textlink="">
      <xdr:nvSpPr>
        <xdr:cNvPr id="23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3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3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3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4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4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4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43624</xdr:rowOff>
    </xdr:to>
    <xdr:sp macro="" textlink="">
      <xdr:nvSpPr>
        <xdr:cNvPr id="24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4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43624</xdr:rowOff>
    </xdr:to>
    <xdr:sp macro="" textlink="">
      <xdr:nvSpPr>
        <xdr:cNvPr id="24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4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43624</xdr:rowOff>
    </xdr:to>
    <xdr:sp macro="" textlink="">
      <xdr:nvSpPr>
        <xdr:cNvPr id="24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43624</xdr:rowOff>
    </xdr:to>
    <xdr:sp macro="" textlink="">
      <xdr:nvSpPr>
        <xdr:cNvPr id="24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24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43624</xdr:rowOff>
    </xdr:to>
    <xdr:sp macro="" textlink="">
      <xdr:nvSpPr>
        <xdr:cNvPr id="24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43624</xdr:rowOff>
    </xdr:to>
    <xdr:sp macro="" textlink="">
      <xdr:nvSpPr>
        <xdr:cNvPr id="24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4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43624</xdr:rowOff>
    </xdr:to>
    <xdr:sp macro="" textlink="">
      <xdr:nvSpPr>
        <xdr:cNvPr id="24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43624</xdr:rowOff>
    </xdr:to>
    <xdr:sp macro="" textlink="">
      <xdr:nvSpPr>
        <xdr:cNvPr id="24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4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4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4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4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43624</xdr:rowOff>
    </xdr:to>
    <xdr:sp macro="" textlink="">
      <xdr:nvSpPr>
        <xdr:cNvPr id="24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4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4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4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4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4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43624</xdr:rowOff>
    </xdr:to>
    <xdr:sp macro="" textlink="">
      <xdr:nvSpPr>
        <xdr:cNvPr id="24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43624</xdr:rowOff>
    </xdr:to>
    <xdr:sp macro="" textlink="">
      <xdr:nvSpPr>
        <xdr:cNvPr id="24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4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4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4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4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4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4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4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5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43624</xdr:rowOff>
    </xdr:to>
    <xdr:sp macro="" textlink="">
      <xdr:nvSpPr>
        <xdr:cNvPr id="25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43624</xdr:rowOff>
    </xdr:to>
    <xdr:sp macro="" textlink="">
      <xdr:nvSpPr>
        <xdr:cNvPr id="25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43624</xdr:rowOff>
    </xdr:to>
    <xdr:sp macro="" textlink="">
      <xdr:nvSpPr>
        <xdr:cNvPr id="25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43624</xdr:rowOff>
    </xdr:to>
    <xdr:sp macro="" textlink="">
      <xdr:nvSpPr>
        <xdr:cNvPr id="25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5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34"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43053</xdr:rowOff>
    </xdr:to>
    <xdr:sp macro="" textlink="">
      <xdr:nvSpPr>
        <xdr:cNvPr id="25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38"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5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4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5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46"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43053</xdr:rowOff>
    </xdr:to>
    <xdr:sp macro="" textlink="">
      <xdr:nvSpPr>
        <xdr:cNvPr id="25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5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5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5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562"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25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5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43625</xdr:rowOff>
    </xdr:to>
    <xdr:sp macro="" textlink="">
      <xdr:nvSpPr>
        <xdr:cNvPr id="25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43625</xdr:rowOff>
    </xdr:to>
    <xdr:sp macro="" textlink="">
      <xdr:nvSpPr>
        <xdr:cNvPr id="25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5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43625</xdr:rowOff>
    </xdr:to>
    <xdr:sp macro="" textlink="">
      <xdr:nvSpPr>
        <xdr:cNvPr id="25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5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469960</xdr:colOff>
      <xdr:row>0</xdr:row>
      <xdr:rowOff>43719</xdr:rowOff>
    </xdr:to>
    <xdr:sp macro="" textlink="">
      <xdr:nvSpPr>
        <xdr:cNvPr id="25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092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5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288985</xdr:colOff>
      <xdr:row>0</xdr:row>
      <xdr:rowOff>43719</xdr:rowOff>
    </xdr:to>
    <xdr:sp macro="" textlink="">
      <xdr:nvSpPr>
        <xdr:cNvPr id="25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282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5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288985</xdr:colOff>
      <xdr:row>0</xdr:row>
      <xdr:rowOff>43719</xdr:rowOff>
    </xdr:to>
    <xdr:sp macro="" textlink="">
      <xdr:nvSpPr>
        <xdr:cNvPr id="25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282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5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288985</xdr:colOff>
      <xdr:row>0</xdr:row>
      <xdr:rowOff>43719</xdr:rowOff>
    </xdr:to>
    <xdr:sp macro="" textlink="">
      <xdr:nvSpPr>
        <xdr:cNvPr id="25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282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5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469960</xdr:colOff>
      <xdr:row>0</xdr:row>
      <xdr:rowOff>43719</xdr:rowOff>
    </xdr:to>
    <xdr:sp macro="" textlink="">
      <xdr:nvSpPr>
        <xdr:cNvPr id="25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092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5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5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5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288985</xdr:colOff>
      <xdr:row>0</xdr:row>
      <xdr:rowOff>43719</xdr:rowOff>
    </xdr:to>
    <xdr:sp macro="" textlink="">
      <xdr:nvSpPr>
        <xdr:cNvPr id="26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282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288985</xdr:colOff>
      <xdr:row>0</xdr:row>
      <xdr:rowOff>43719</xdr:rowOff>
    </xdr:to>
    <xdr:sp macro="" textlink="">
      <xdr:nvSpPr>
        <xdr:cNvPr id="26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282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6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43719</xdr:rowOff>
    </xdr:to>
    <xdr:sp macro="" textlink="">
      <xdr:nvSpPr>
        <xdr:cNvPr id="26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188667</xdr:colOff>
      <xdr:row>0</xdr:row>
      <xdr:rowOff>43719</xdr:rowOff>
    </xdr:to>
    <xdr:sp macro="" textlink="">
      <xdr:nvSpPr>
        <xdr:cNvPr id="26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51498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26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43719</xdr:rowOff>
    </xdr:to>
    <xdr:sp macro="" textlink="">
      <xdr:nvSpPr>
        <xdr:cNvPr id="26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188667</xdr:colOff>
      <xdr:row>0</xdr:row>
      <xdr:rowOff>43719</xdr:rowOff>
    </xdr:to>
    <xdr:sp macro="" textlink="">
      <xdr:nvSpPr>
        <xdr:cNvPr id="26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51498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6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43719</xdr:rowOff>
    </xdr:to>
    <xdr:sp macro="" textlink="">
      <xdr:nvSpPr>
        <xdr:cNvPr id="26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217242</xdr:colOff>
      <xdr:row>0</xdr:row>
      <xdr:rowOff>43719</xdr:rowOff>
    </xdr:to>
    <xdr:sp macro="" textlink="">
      <xdr:nvSpPr>
        <xdr:cNvPr id="26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54356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6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43719</xdr:rowOff>
    </xdr:to>
    <xdr:sp macro="" textlink="">
      <xdr:nvSpPr>
        <xdr:cNvPr id="26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43719</xdr:rowOff>
    </xdr:to>
    <xdr:sp macro="" textlink="">
      <xdr:nvSpPr>
        <xdr:cNvPr id="26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6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431860</xdr:colOff>
      <xdr:row>0</xdr:row>
      <xdr:rowOff>43719</xdr:rowOff>
    </xdr:to>
    <xdr:sp macro="" textlink="">
      <xdr:nvSpPr>
        <xdr:cNvPr id="26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7117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43719</xdr:rowOff>
    </xdr:to>
    <xdr:sp macro="" textlink="">
      <xdr:nvSpPr>
        <xdr:cNvPr id="26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6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43719</xdr:rowOff>
    </xdr:to>
    <xdr:sp macro="" textlink="">
      <xdr:nvSpPr>
        <xdr:cNvPr id="26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43719</xdr:rowOff>
    </xdr:to>
    <xdr:sp macro="" textlink="">
      <xdr:nvSpPr>
        <xdr:cNvPr id="26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6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43719</xdr:rowOff>
    </xdr:to>
    <xdr:sp macro="" textlink="">
      <xdr:nvSpPr>
        <xdr:cNvPr id="26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43719</xdr:rowOff>
    </xdr:to>
    <xdr:sp macro="" textlink="">
      <xdr:nvSpPr>
        <xdr:cNvPr id="26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43719</xdr:rowOff>
    </xdr:to>
    <xdr:sp macro="" textlink="">
      <xdr:nvSpPr>
        <xdr:cNvPr id="26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43719</xdr:rowOff>
    </xdr:to>
    <xdr:sp macro="" textlink="">
      <xdr:nvSpPr>
        <xdr:cNvPr id="26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43719</xdr:rowOff>
    </xdr:to>
    <xdr:sp macro="" textlink="">
      <xdr:nvSpPr>
        <xdr:cNvPr id="26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43719</xdr:rowOff>
    </xdr:to>
    <xdr:sp macro="" textlink="">
      <xdr:nvSpPr>
        <xdr:cNvPr id="26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6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6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6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6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7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7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7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43719</xdr:rowOff>
    </xdr:to>
    <xdr:sp macro="" textlink="">
      <xdr:nvSpPr>
        <xdr:cNvPr id="27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7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7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7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7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7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43719</xdr:rowOff>
    </xdr:to>
    <xdr:sp macro="" textlink="">
      <xdr:nvSpPr>
        <xdr:cNvPr id="27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7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7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27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7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7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43434</xdr:rowOff>
    </xdr:to>
    <xdr:sp macro="" textlink="">
      <xdr:nvSpPr>
        <xdr:cNvPr id="27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7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7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27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7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7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43434</xdr:rowOff>
    </xdr:to>
    <xdr:sp macro="" textlink="">
      <xdr:nvSpPr>
        <xdr:cNvPr id="27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7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43053</xdr:rowOff>
    </xdr:to>
    <xdr:sp macro="" textlink="">
      <xdr:nvSpPr>
        <xdr:cNvPr id="2730" name="AutoShape 5" descr="Refresh">
          <a:hlinkClick xmlns:r="http://schemas.openxmlformats.org/officeDocument/2006/relationships" r:id="rId1"/>
        </xdr:cNvPr>
        <xdr:cNvSpPr>
          <a:spLocks noChangeAspect="1" noChangeArrowheads="1"/>
        </xdr:cNvSpPr>
      </xdr:nvSpPr>
      <xdr:spPr>
        <a:xfrm>
          <a:off x="2838450" y="0"/>
          <a:ext cx="311150" cy="42545"/>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43053</xdr:rowOff>
    </xdr:to>
    <xdr:sp macro="" textlink="">
      <xdr:nvSpPr>
        <xdr:cNvPr id="27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2545"/>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43053</xdr:rowOff>
    </xdr:to>
    <xdr:sp macro="" textlink="">
      <xdr:nvSpPr>
        <xdr:cNvPr id="27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2545"/>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460435</xdr:colOff>
      <xdr:row>0</xdr:row>
      <xdr:rowOff>43625</xdr:rowOff>
    </xdr:to>
    <xdr:sp macro="" textlink="">
      <xdr:nvSpPr>
        <xdr:cNvPr id="27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97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43625</xdr:rowOff>
    </xdr:to>
    <xdr:sp macro="" textlink="">
      <xdr:nvSpPr>
        <xdr:cNvPr id="27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279460</xdr:colOff>
      <xdr:row>0</xdr:row>
      <xdr:rowOff>43625</xdr:rowOff>
    </xdr:to>
    <xdr:sp macro="" textlink="">
      <xdr:nvSpPr>
        <xdr:cNvPr id="27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1877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7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7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7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7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7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7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7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7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43338</xdr:rowOff>
    </xdr:to>
    <xdr:sp macro="" textlink="">
      <xdr:nvSpPr>
        <xdr:cNvPr id="27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7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7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7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489010</xdr:colOff>
      <xdr:row>0</xdr:row>
      <xdr:rowOff>43338</xdr:rowOff>
    </xdr:to>
    <xdr:sp macro="" textlink="">
      <xdr:nvSpPr>
        <xdr:cNvPr id="27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283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7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7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308035</xdr:colOff>
      <xdr:row>0</xdr:row>
      <xdr:rowOff>43338</xdr:rowOff>
    </xdr:to>
    <xdr:sp macro="" textlink="">
      <xdr:nvSpPr>
        <xdr:cNvPr id="27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4734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7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7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43338</xdr:rowOff>
    </xdr:to>
    <xdr:sp macro="" textlink="">
      <xdr:nvSpPr>
        <xdr:cNvPr id="27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43338</xdr:rowOff>
    </xdr:to>
    <xdr:sp macro="" textlink="">
      <xdr:nvSpPr>
        <xdr:cNvPr id="27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152587</xdr:colOff>
      <xdr:row>0</xdr:row>
      <xdr:rowOff>43053</xdr:rowOff>
    </xdr:to>
    <xdr:sp macro="" textlink="">
      <xdr:nvSpPr>
        <xdr:cNvPr id="27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21005" cy="42545"/>
        </a:xfrm>
        <a:prstGeom prst="rect">
          <a:avLst/>
        </a:prstGeom>
        <a:noFill/>
      </xdr:spPr>
    </xdr:sp>
    <xdr:clientData/>
  </xdr:twoCellAnchor>
  <xdr:twoCellAnchor editAs="oneCell">
    <xdr:from>
      <xdr:col>4</xdr:col>
      <xdr:colOff>581025</xdr:colOff>
      <xdr:row>0</xdr:row>
      <xdr:rowOff>0</xdr:rowOff>
    </xdr:from>
    <xdr:to>
      <xdr:col>5</xdr:col>
      <xdr:colOff>136585</xdr:colOff>
      <xdr:row>0</xdr:row>
      <xdr:rowOff>43338</xdr:rowOff>
    </xdr:to>
    <xdr:sp macro="" textlink="">
      <xdr:nvSpPr>
        <xdr:cNvPr id="27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75895" cy="43180"/>
        </a:xfrm>
        <a:prstGeom prst="rect">
          <a:avLst/>
        </a:prstGeom>
        <a:noFill/>
      </xdr:spPr>
    </xdr:sp>
    <xdr:clientData/>
  </xdr:twoCellAnchor>
  <xdr:twoCellAnchor editAs="oneCell">
    <xdr:from>
      <xdr:col>5</xdr:col>
      <xdr:colOff>285750</xdr:colOff>
      <xdr:row>0</xdr:row>
      <xdr:rowOff>0</xdr:rowOff>
    </xdr:from>
    <xdr:to>
      <xdr:col>6</xdr:col>
      <xdr:colOff>131517</xdr:colOff>
      <xdr:row>0</xdr:row>
      <xdr:rowOff>43338</xdr:rowOff>
    </xdr:to>
    <xdr:sp macro="" textlink="">
      <xdr:nvSpPr>
        <xdr:cNvPr id="27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57835"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7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5</xdr:col>
      <xdr:colOff>200212</xdr:colOff>
      <xdr:row>0</xdr:row>
      <xdr:rowOff>43053</xdr:rowOff>
    </xdr:to>
    <xdr:sp macro="" textlink="">
      <xdr:nvSpPr>
        <xdr:cNvPr id="27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468630" cy="42545"/>
        </a:xfrm>
        <a:prstGeom prst="rect">
          <a:avLst/>
        </a:prstGeom>
        <a:noFill/>
      </xdr:spPr>
    </xdr:sp>
    <xdr:clientData/>
  </xdr:twoCellAnchor>
  <xdr:twoCellAnchor editAs="oneCell">
    <xdr:from>
      <xdr:col>4</xdr:col>
      <xdr:colOff>581025</xdr:colOff>
      <xdr:row>0</xdr:row>
      <xdr:rowOff>0</xdr:rowOff>
    </xdr:from>
    <xdr:to>
      <xdr:col>5</xdr:col>
      <xdr:colOff>146110</xdr:colOff>
      <xdr:row>0</xdr:row>
      <xdr:rowOff>43338</xdr:rowOff>
    </xdr:to>
    <xdr:sp macro="" textlink="">
      <xdr:nvSpPr>
        <xdr:cNvPr id="28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185420" cy="43180"/>
        </a:xfrm>
        <a:prstGeom prst="rect">
          <a:avLst/>
        </a:prstGeom>
        <a:noFill/>
      </xdr:spPr>
    </xdr:sp>
    <xdr:clientData/>
  </xdr:twoCellAnchor>
  <xdr:twoCellAnchor editAs="oneCell">
    <xdr:from>
      <xdr:col>5</xdr:col>
      <xdr:colOff>285750</xdr:colOff>
      <xdr:row>0</xdr:row>
      <xdr:rowOff>0</xdr:rowOff>
    </xdr:from>
    <xdr:to>
      <xdr:col>6</xdr:col>
      <xdr:colOff>160092</xdr:colOff>
      <xdr:row>0</xdr:row>
      <xdr:rowOff>43338</xdr:rowOff>
    </xdr:to>
    <xdr:sp macro="" textlink="">
      <xdr:nvSpPr>
        <xdr:cNvPr id="28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4864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8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28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28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8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450910</xdr:colOff>
      <xdr:row>0</xdr:row>
      <xdr:rowOff>43338</xdr:rowOff>
    </xdr:to>
    <xdr:sp macro="" textlink="">
      <xdr:nvSpPr>
        <xdr:cNvPr id="28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490220"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28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8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28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28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552069</xdr:colOff>
      <xdr:row>0</xdr:row>
      <xdr:rowOff>43053</xdr:rowOff>
    </xdr:to>
    <xdr:sp macro="" textlink="">
      <xdr:nvSpPr>
        <xdr:cNvPr id="28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199390" cy="42545"/>
        </a:xfrm>
        <a:prstGeom prst="rect">
          <a:avLst/>
        </a:prstGeom>
        <a:noFill/>
      </xdr:spPr>
    </xdr:sp>
    <xdr:clientData/>
  </xdr:twoCellAnchor>
  <xdr:twoCellAnchor editAs="oneCell">
    <xdr:from>
      <xdr:col>4</xdr:col>
      <xdr:colOff>581025</xdr:colOff>
      <xdr:row>0</xdr:row>
      <xdr:rowOff>0</xdr:rowOff>
    </xdr:from>
    <xdr:to>
      <xdr:col>5</xdr:col>
      <xdr:colOff>269935</xdr:colOff>
      <xdr:row>0</xdr:row>
      <xdr:rowOff>43338</xdr:rowOff>
    </xdr:to>
    <xdr:sp macro="" textlink="">
      <xdr:nvSpPr>
        <xdr:cNvPr id="28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09245" cy="43180"/>
        </a:xfrm>
        <a:prstGeom prst="rect">
          <a:avLst/>
        </a:prstGeom>
        <a:noFill/>
      </xdr:spPr>
    </xdr:sp>
    <xdr:clientData/>
  </xdr:twoCellAnchor>
  <xdr:twoCellAnchor editAs="oneCell">
    <xdr:from>
      <xdr:col>5</xdr:col>
      <xdr:colOff>285750</xdr:colOff>
      <xdr:row>0</xdr:row>
      <xdr:rowOff>0</xdr:rowOff>
    </xdr:from>
    <xdr:to>
      <xdr:col>5</xdr:col>
      <xdr:colOff>569214</xdr:colOff>
      <xdr:row>0</xdr:row>
      <xdr:rowOff>43338</xdr:rowOff>
    </xdr:to>
    <xdr:sp macro="" textlink="">
      <xdr:nvSpPr>
        <xdr:cNvPr id="28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2832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28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3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3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3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3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3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3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3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3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3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3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284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4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4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4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4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4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4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4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4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4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5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5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5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5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5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5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285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5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5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5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6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6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6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6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6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6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6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6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6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6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7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7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43338</xdr:rowOff>
    </xdr:to>
    <xdr:sp macro="" textlink="">
      <xdr:nvSpPr>
        <xdr:cNvPr id="287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7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7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7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7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7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43338</xdr:rowOff>
    </xdr:to>
    <xdr:sp macro="" textlink="">
      <xdr:nvSpPr>
        <xdr:cNvPr id="287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7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43338</xdr:rowOff>
    </xdr:to>
    <xdr:sp macro="" textlink="">
      <xdr:nvSpPr>
        <xdr:cNvPr id="288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43338</xdr:rowOff>
    </xdr:to>
    <xdr:sp macro="" textlink="">
      <xdr:nvSpPr>
        <xdr:cNvPr id="288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88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8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288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88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88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8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43719</xdr:rowOff>
    </xdr:to>
    <xdr:sp macro="" textlink="">
      <xdr:nvSpPr>
        <xdr:cNvPr id="288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88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89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9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289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89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43719</xdr:rowOff>
    </xdr:to>
    <xdr:sp macro="" textlink="">
      <xdr:nvSpPr>
        <xdr:cNvPr id="289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9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43719</xdr:rowOff>
    </xdr:to>
    <xdr:sp macro="" textlink="">
      <xdr:nvSpPr>
        <xdr:cNvPr id="289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43719</xdr:rowOff>
    </xdr:to>
    <xdr:sp macro="" textlink="">
      <xdr:nvSpPr>
        <xdr:cNvPr id="289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89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89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90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90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90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0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43434</xdr:rowOff>
    </xdr:to>
    <xdr:sp macro="" textlink="">
      <xdr:nvSpPr>
        <xdr:cNvPr id="290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90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90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0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90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90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910"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11"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912"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913"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43434</xdr:rowOff>
    </xdr:to>
    <xdr:sp macro="" textlink="">
      <xdr:nvSpPr>
        <xdr:cNvPr id="2914"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15"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43434</xdr:rowOff>
    </xdr:to>
    <xdr:sp macro="" textlink="">
      <xdr:nvSpPr>
        <xdr:cNvPr id="2916"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43434</xdr:rowOff>
    </xdr:to>
    <xdr:sp macro="" textlink="">
      <xdr:nvSpPr>
        <xdr:cNvPr id="2917"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918"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19"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479485</xdr:colOff>
      <xdr:row>0</xdr:row>
      <xdr:rowOff>43625</xdr:rowOff>
    </xdr:to>
    <xdr:sp macro="" textlink="">
      <xdr:nvSpPr>
        <xdr:cNvPr id="2920"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518795"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921"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922"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23"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924"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925"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twoCellAnchor editAs="oneCell">
    <xdr:from>
      <xdr:col>4</xdr:col>
      <xdr:colOff>38100</xdr:colOff>
      <xdr:row>0</xdr:row>
      <xdr:rowOff>0</xdr:rowOff>
    </xdr:from>
    <xdr:to>
      <xdr:col>4</xdr:col>
      <xdr:colOff>349758</xdr:colOff>
      <xdr:row>0</xdr:row>
      <xdr:rowOff>43625</xdr:rowOff>
    </xdr:to>
    <xdr:sp macro="" textlink="">
      <xdr:nvSpPr>
        <xdr:cNvPr id="2926" name="AutoShape 5" descr="Refresh">
          <a:hlinkClick xmlns:r="http://schemas.openxmlformats.org/officeDocument/2006/relationships" r:id="rId1"/>
        </xdr:cNvPr>
        <xdr:cNvSpPr>
          <a:spLocks noChangeAspect="1" noChangeArrowheads="1"/>
        </xdr:cNvSpPr>
      </xdr:nvSpPr>
      <xdr:spPr>
        <a:xfrm>
          <a:off x="2838450" y="0"/>
          <a:ext cx="311150" cy="43180"/>
        </a:xfrm>
        <a:prstGeom prst="rect">
          <a:avLst/>
        </a:prstGeom>
        <a:noFill/>
      </xdr:spPr>
    </xdr:sp>
    <xdr:clientData/>
  </xdr:twoCellAnchor>
  <xdr:twoCellAnchor editAs="oneCell">
    <xdr:from>
      <xdr:col>4</xdr:col>
      <xdr:colOff>352425</xdr:colOff>
      <xdr:row>0</xdr:row>
      <xdr:rowOff>0</xdr:rowOff>
    </xdr:from>
    <xdr:to>
      <xdr:col>4</xdr:col>
      <xdr:colOff>609219</xdr:colOff>
      <xdr:row>0</xdr:row>
      <xdr:rowOff>43053</xdr:rowOff>
    </xdr:to>
    <xdr:sp macro="" textlink="">
      <xdr:nvSpPr>
        <xdr:cNvPr id="2927" name="AutoShape 6" descr="https://icms.indianrail.gov.in/icmscss/images/clear_img.jpg">
          <a:hlinkClick xmlns:r="http://schemas.openxmlformats.org/officeDocument/2006/relationships" r:id="rId2"/>
        </xdr:cNvPr>
        <xdr:cNvSpPr>
          <a:spLocks noChangeAspect="1" noChangeArrowheads="1"/>
        </xdr:cNvSpPr>
      </xdr:nvSpPr>
      <xdr:spPr>
        <a:xfrm>
          <a:off x="3152775" y="0"/>
          <a:ext cx="262890" cy="42545"/>
        </a:xfrm>
        <a:prstGeom prst="rect">
          <a:avLst/>
        </a:prstGeom>
        <a:noFill/>
      </xdr:spPr>
    </xdr:sp>
    <xdr:clientData/>
  </xdr:twoCellAnchor>
  <xdr:twoCellAnchor editAs="oneCell">
    <xdr:from>
      <xdr:col>4</xdr:col>
      <xdr:colOff>581025</xdr:colOff>
      <xdr:row>0</xdr:row>
      <xdr:rowOff>0</xdr:rowOff>
    </xdr:from>
    <xdr:to>
      <xdr:col>5</xdr:col>
      <xdr:colOff>298510</xdr:colOff>
      <xdr:row>0</xdr:row>
      <xdr:rowOff>43625</xdr:rowOff>
    </xdr:to>
    <xdr:sp macro="" textlink="">
      <xdr:nvSpPr>
        <xdr:cNvPr id="2928" name="AutoShape 7" descr="https://icms.indianrail.gov.in/icmscss/images/back_to_top.png">
          <a:hlinkClick xmlns:r="http://schemas.openxmlformats.org/officeDocument/2006/relationships" r:id="rId3"/>
        </xdr:cNvPr>
        <xdr:cNvSpPr>
          <a:spLocks noChangeAspect="1" noChangeArrowheads="1"/>
        </xdr:cNvSpPr>
      </xdr:nvSpPr>
      <xdr:spPr>
        <a:xfrm>
          <a:off x="3381375" y="0"/>
          <a:ext cx="337820" cy="43180"/>
        </a:xfrm>
        <a:prstGeom prst="rect">
          <a:avLst/>
        </a:prstGeom>
        <a:noFill/>
      </xdr:spPr>
    </xdr:sp>
    <xdr:clientData/>
  </xdr:twoCellAnchor>
  <xdr:twoCellAnchor editAs="oneCell">
    <xdr:from>
      <xdr:col>5</xdr:col>
      <xdr:colOff>285750</xdr:colOff>
      <xdr:row>0</xdr:row>
      <xdr:rowOff>0</xdr:rowOff>
    </xdr:from>
    <xdr:to>
      <xdr:col>5</xdr:col>
      <xdr:colOff>607314</xdr:colOff>
      <xdr:row>0</xdr:row>
      <xdr:rowOff>43625</xdr:rowOff>
    </xdr:to>
    <xdr:sp macro="" textlink="">
      <xdr:nvSpPr>
        <xdr:cNvPr id="2929" name="AutoShape 8" descr="https://icms.indianrail.gov.in/icmscss/images/back_to_bottom.png">
          <a:hlinkClick xmlns:r="http://schemas.openxmlformats.org/officeDocument/2006/relationships" r:id="rId4"/>
        </xdr:cNvPr>
        <xdr:cNvSpPr>
          <a:spLocks noChangeAspect="1" noChangeArrowheads="1"/>
        </xdr:cNvSpPr>
      </xdr:nvSpPr>
      <xdr:spPr>
        <a:xfrm>
          <a:off x="3695700" y="0"/>
          <a:ext cx="321310" cy="43180"/>
        </a:xfrm>
        <a:prstGeom prst="rect">
          <a:avLst/>
        </a:prstGeom>
        <a:noFill/>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13</xdr:col>
      <xdr:colOff>304800</xdr:colOff>
      <xdr:row>1</xdr:row>
      <xdr:rowOff>30940</xdr:rowOff>
    </xdr:to>
    <xdr:sp macro="" textlink="">
      <xdr:nvSpPr>
        <xdr:cNvPr id="2" name="AutoShape 5" descr="Refresh">
          <a:hlinkClick xmlns:r="http://schemas.openxmlformats.org/officeDocument/2006/relationships" r:id="rId1"/>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86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6"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10"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14"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1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1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1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18" name="AutoShape 5" descr="Refresh">
          <a:hlinkClick xmlns:r="http://schemas.openxmlformats.org/officeDocument/2006/relationships" r:id="rId1"/>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466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2"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6"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0"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 name="AutoShape 5" descr="Refresh">
          <a:hlinkClick xmlns:r="http://schemas.openxmlformats.org/officeDocument/2006/relationships" r:id="rId1"/>
        </xdr:cNvPr>
        <xdr:cNvSpPr>
          <a:spLocks noChangeAspect="1" noChangeArrowheads="1"/>
        </xdr:cNvSpPr>
      </xdr:nvSpPr>
      <xdr:spPr>
        <a:xfrm>
          <a:off x="0" y="0"/>
          <a:ext cx="304800" cy="76136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16653</xdr:rowOff>
    </xdr:to>
    <xdr:sp macro="" textlink="">
      <xdr:nvSpPr>
        <xdr:cNvPr id="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5466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136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136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8"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 name="AutoShape 5" descr="Refresh">
          <a:hlinkClick xmlns:r="http://schemas.openxmlformats.org/officeDocument/2006/relationships" r:id="rId1"/>
        </xdr:cNvPr>
        <xdr:cNvSpPr>
          <a:spLocks noChangeAspect="1" noChangeArrowheads="1"/>
        </xdr:cNvSpPr>
      </xdr:nvSpPr>
      <xdr:spPr>
        <a:xfrm>
          <a:off x="0" y="0"/>
          <a:ext cx="304800" cy="43561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56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561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46"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4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4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4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0" name="AutoShape 5" descr="Refresh">
          <a:hlinkClick xmlns:r="http://schemas.openxmlformats.org/officeDocument/2006/relationships" r:id="rId1"/>
        </xdr:cNvPr>
        <xdr:cNvSpPr>
          <a:spLocks noChangeAspect="1" noChangeArrowheads="1"/>
        </xdr:cNvSpPr>
      </xdr:nvSpPr>
      <xdr:spPr>
        <a:xfrm>
          <a:off x="0" y="0"/>
          <a:ext cx="304800" cy="44958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958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958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54"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5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5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5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8" name="AutoShape 5" descr="Refresh">
          <a:hlinkClick xmlns:r="http://schemas.openxmlformats.org/officeDocument/2006/relationships" r:id="rId1"/>
        </xdr:cNvPr>
        <xdr:cNvSpPr>
          <a:spLocks noChangeAspect="1" noChangeArrowheads="1"/>
        </xdr:cNvSpPr>
      </xdr:nvSpPr>
      <xdr:spPr>
        <a:xfrm>
          <a:off x="0" y="0"/>
          <a:ext cx="304800" cy="76200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200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200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62"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6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6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6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66"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70"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7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7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7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74" name="AutoShape 5" descr="Refresh">
          <a:hlinkClick xmlns:r="http://schemas.openxmlformats.org/officeDocument/2006/relationships" r:id="rId1"/>
        </xdr:cNvPr>
        <xdr:cNvSpPr>
          <a:spLocks noChangeAspect="1" noChangeArrowheads="1"/>
        </xdr:cNvSpPr>
      </xdr:nvSpPr>
      <xdr:spPr>
        <a:xfrm>
          <a:off x="0" y="0"/>
          <a:ext cx="304800" cy="76200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200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200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78"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7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8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8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82"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86"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8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8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8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90"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94"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9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9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9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98"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102"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10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10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10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6"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10"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1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1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1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14"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18"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1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2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2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2"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26"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2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2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2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30"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134"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13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13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13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8"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42"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4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4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4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46"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50"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5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5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5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4"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58"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5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6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6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62"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166"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16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16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16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0"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74"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7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7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7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78"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82"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8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8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8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86"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190"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19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19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19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94"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198" name="AutoShape 5" descr="Refresh">
          <a:hlinkClick xmlns:r="http://schemas.openxmlformats.org/officeDocument/2006/relationships" r:id="rId1"/>
        </xdr:cNvPr>
        <xdr:cNvSpPr>
          <a:spLocks noChangeAspect="1" noChangeArrowheads="1"/>
        </xdr:cNvSpPr>
      </xdr:nvSpPr>
      <xdr:spPr>
        <a:xfrm>
          <a:off x="2152650" y="0"/>
          <a:ext cx="304800" cy="43053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19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3053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20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3053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20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2" name="AutoShape 5" descr="Refresh">
          <a:hlinkClick xmlns:r="http://schemas.openxmlformats.org/officeDocument/2006/relationships" r:id="rId1"/>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639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6390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206"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20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20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20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10" name="AutoShape 5" descr="Refresh">
          <a:hlinkClick xmlns:r="http://schemas.openxmlformats.org/officeDocument/2006/relationships" r:id="rId1"/>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3053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305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321469</xdr:rowOff>
    </xdr:to>
    <xdr:sp macro="" textlink="">
      <xdr:nvSpPr>
        <xdr:cNvPr id="214" name="AutoShape 5" descr="Refresh">
          <a:hlinkClick xmlns:r="http://schemas.openxmlformats.org/officeDocument/2006/relationships" r:id="rId1"/>
        </xdr:cNvPr>
        <xdr:cNvSpPr>
          <a:spLocks noChangeAspect="1" noChangeArrowheads="1"/>
        </xdr:cNvSpPr>
      </xdr:nvSpPr>
      <xdr:spPr>
        <a:xfrm>
          <a:off x="2152650" y="0"/>
          <a:ext cx="304800" cy="32131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321469</xdr:rowOff>
    </xdr:to>
    <xdr:sp macro="" textlink="">
      <xdr:nvSpPr>
        <xdr:cNvPr id="21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2131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321469</xdr:rowOff>
    </xdr:to>
    <xdr:sp macro="" textlink="">
      <xdr:nvSpPr>
        <xdr:cNvPr id="21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2131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321469</xdr:rowOff>
    </xdr:to>
    <xdr:sp macro="" textlink="">
      <xdr:nvSpPr>
        <xdr:cNvPr id="21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18" name="AutoShape 5" descr="Refresh">
          <a:hlinkClick xmlns:r="http://schemas.openxmlformats.org/officeDocument/2006/relationships" r:id="rId1"/>
        </xdr:cNvPr>
        <xdr:cNvSpPr>
          <a:spLocks noChangeAspect="1" noChangeArrowheads="1"/>
        </xdr:cNvSpPr>
      </xdr:nvSpPr>
      <xdr:spPr>
        <a:xfrm>
          <a:off x="0" y="0"/>
          <a:ext cx="304800" cy="32131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2131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22"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2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2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2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26"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230"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23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23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23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34" name="AutoShape 5" descr="Refresh">
          <a:hlinkClick xmlns:r="http://schemas.openxmlformats.org/officeDocument/2006/relationships" r:id="rId1"/>
        </xdr:cNvPr>
        <xdr:cNvSpPr>
          <a:spLocks noChangeAspect="1" noChangeArrowheads="1"/>
        </xdr:cNvSpPr>
      </xdr:nvSpPr>
      <xdr:spPr>
        <a:xfrm>
          <a:off x="0" y="0"/>
          <a:ext cx="304800" cy="32131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2131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321469</xdr:rowOff>
    </xdr:to>
    <xdr:sp macro="" textlink="">
      <xdr:nvSpPr>
        <xdr:cNvPr id="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2131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38"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3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4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4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42"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46"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4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4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4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50" name="AutoShape 5" descr="Refresh">
          <a:hlinkClick xmlns:r="http://schemas.openxmlformats.org/officeDocument/2006/relationships" r:id="rId1"/>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513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54"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5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5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5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58"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262"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26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26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26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66" name="AutoShape 5" descr="Refresh">
          <a:hlinkClick xmlns:r="http://schemas.openxmlformats.org/officeDocument/2006/relationships" r:id="rId1"/>
        </xdr:cNvPr>
        <xdr:cNvSpPr>
          <a:spLocks noChangeAspect="1" noChangeArrowheads="1"/>
        </xdr:cNvSpPr>
      </xdr:nvSpPr>
      <xdr:spPr>
        <a:xfrm>
          <a:off x="0" y="0"/>
          <a:ext cx="304800" cy="42608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60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608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70"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7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7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7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74"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78"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7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8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8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282" name="AutoShape 5" descr="Refresh">
          <a:hlinkClick xmlns:r="http://schemas.openxmlformats.org/officeDocument/2006/relationships" r:id="rId1"/>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86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286"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28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28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28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90"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294"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29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29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29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298" name="AutoShape 5" descr="Refresh">
          <a:hlinkClick xmlns:r="http://schemas.openxmlformats.org/officeDocument/2006/relationships" r:id="rId1"/>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466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02"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0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0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0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06"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10"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11"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12"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13"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314" name="AutoShape 5" descr="Refresh">
          <a:hlinkClick xmlns:r="http://schemas.openxmlformats.org/officeDocument/2006/relationships" r:id="rId1"/>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86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30940</xdr:rowOff>
    </xdr:to>
    <xdr:sp macro="" textlink="">
      <xdr:nvSpPr>
        <xdr:cNvPr id="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86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18"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19"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20"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21"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22"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326"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327"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328"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329"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330" name="AutoShape 5" descr="Refresh">
          <a:hlinkClick xmlns:r="http://schemas.openxmlformats.org/officeDocument/2006/relationships" r:id="rId1"/>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466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16653</xdr:rowOff>
    </xdr:to>
    <xdr:sp macro="" textlink="">
      <xdr:nvSpPr>
        <xdr:cNvPr id="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466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34"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35"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36"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37"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38"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42"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43"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44"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45"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152400</xdr:colOff>
      <xdr:row>0</xdr:row>
      <xdr:rowOff>0</xdr:rowOff>
    </xdr:from>
    <xdr:to>
      <xdr:col>13</xdr:col>
      <xdr:colOff>457200</xdr:colOff>
      <xdr:row>0</xdr:row>
      <xdr:rowOff>261938</xdr:rowOff>
    </xdr:to>
    <xdr:sp macro="" textlink="">
      <xdr:nvSpPr>
        <xdr:cNvPr id="3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3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1"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3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3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9"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3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67"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7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3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75"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7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3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83"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3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8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3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91"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9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3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99"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07"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1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4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15"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4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1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23"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2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31"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3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39"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4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4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47"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4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5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55"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5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63"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6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71"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7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4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79"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4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4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87"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9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4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495"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4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4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4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49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5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503"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5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5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5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0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5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511"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5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5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5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5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519"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5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5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5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2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69039</xdr:rowOff>
    </xdr:to>
    <xdr:sp macro="" textlink="">
      <xdr:nvSpPr>
        <xdr:cNvPr id="5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527" name="AutoShape 5" descr="Refresh">
          <a:hlinkClick xmlns:r="http://schemas.openxmlformats.org/officeDocument/2006/relationships" r:id="rId1"/>
        </xdr:cNvPr>
        <xdr:cNvSpPr>
          <a:spLocks noChangeAspect="1" noChangeArrowheads="1"/>
        </xdr:cNvSpPr>
      </xdr:nvSpPr>
      <xdr:spPr>
        <a:xfrm>
          <a:off x="2152650" y="0"/>
          <a:ext cx="304800" cy="49720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5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720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5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720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5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720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31" name="AutoShape 5" descr="Refresh">
          <a:hlinkClick xmlns:r="http://schemas.openxmlformats.org/officeDocument/2006/relationships" r:id="rId1"/>
        </xdr:cNvPr>
        <xdr:cNvSpPr>
          <a:spLocks noChangeAspect="1" noChangeArrowheads="1"/>
        </xdr:cNvSpPr>
      </xdr:nvSpPr>
      <xdr:spPr>
        <a:xfrm>
          <a:off x="0" y="0"/>
          <a:ext cx="304800" cy="49974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9974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3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4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5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47" name="AutoShape 5" descr="Refresh">
          <a:hlinkClick xmlns:r="http://schemas.openxmlformats.org/officeDocument/2006/relationships" r:id="rId1"/>
        </xdr:cNvPr>
        <xdr:cNvSpPr>
          <a:spLocks noChangeAspect="1" noChangeArrowheads="1"/>
        </xdr:cNvSpPr>
      </xdr:nvSpPr>
      <xdr:spPr>
        <a:xfrm>
          <a:off x="0" y="0"/>
          <a:ext cx="304800" cy="49974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5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9974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5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5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7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7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5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8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8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5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9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5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5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5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5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5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5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0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0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6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1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1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2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3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3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6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6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5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5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67"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6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671"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6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6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6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7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83"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6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6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6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6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6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91"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6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6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695"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6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6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6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69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0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07"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15" name="AutoShape 5" descr="Refresh">
          <a:hlinkClick xmlns:r="http://schemas.openxmlformats.org/officeDocument/2006/relationships" r:id="rId1"/>
        </xdr:cNvPr>
        <xdr:cNvSpPr>
          <a:spLocks noChangeAspect="1" noChangeArrowheads="1"/>
        </xdr:cNvSpPr>
      </xdr:nvSpPr>
      <xdr:spPr>
        <a:xfrm>
          <a:off x="0" y="0"/>
          <a:ext cx="304800" cy="18796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796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796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23"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7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727"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7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7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7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31" name="AutoShape 5" descr="Refresh">
          <a:hlinkClick xmlns:r="http://schemas.openxmlformats.org/officeDocument/2006/relationships" r:id="rId1"/>
        </xdr:cNvPr>
        <xdr:cNvSpPr>
          <a:spLocks noChangeAspect="1" noChangeArrowheads="1"/>
        </xdr:cNvSpPr>
      </xdr:nvSpPr>
      <xdr:spPr>
        <a:xfrm>
          <a:off x="0" y="0"/>
          <a:ext cx="304800" cy="18796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796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188118</xdr:rowOff>
    </xdr:to>
    <xdr:sp macro="" textlink="">
      <xdr:nvSpPr>
        <xdr:cNvPr id="7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796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39"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4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55"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7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759"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7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7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7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63"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71"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7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8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7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7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7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87"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7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7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791"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7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7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7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9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7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7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7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03"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11"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1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19"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8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823"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8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8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8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2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35"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3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43"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51"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8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855"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8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8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8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5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67"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7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75" name="AutoShape 5" descr="Refresh">
          <a:hlinkClick xmlns:r="http://schemas.openxmlformats.org/officeDocument/2006/relationships" r:id="rId1"/>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513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83"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8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887"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8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8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8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91" name="AutoShape 5" descr="Refresh">
          <a:hlinkClick xmlns:r="http://schemas.openxmlformats.org/officeDocument/2006/relationships" r:id="rId1"/>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8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8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513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89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8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8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8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899"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0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0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15"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9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919"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9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9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9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23"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2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31"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3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47"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9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951"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9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9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9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5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5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63"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71"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79"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185738</xdr:rowOff>
    </xdr:to>
    <xdr:sp macro="" textlink="">
      <xdr:nvSpPr>
        <xdr:cNvPr id="9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185738</xdr:rowOff>
    </xdr:to>
    <xdr:sp macro="" textlink="">
      <xdr:nvSpPr>
        <xdr:cNvPr id="983" name="AutoShape 5" descr="Refresh">
          <a:hlinkClick xmlns:r="http://schemas.openxmlformats.org/officeDocument/2006/relationships" r:id="rId1"/>
        </xdr:cNvPr>
        <xdr:cNvSpPr>
          <a:spLocks noChangeAspect="1" noChangeArrowheads="1"/>
        </xdr:cNvSpPr>
      </xdr:nvSpPr>
      <xdr:spPr>
        <a:xfrm>
          <a:off x="2152650" y="0"/>
          <a:ext cx="304800" cy="1854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185738</xdr:rowOff>
    </xdr:to>
    <xdr:sp macro="" textlink="">
      <xdr:nvSpPr>
        <xdr:cNvPr id="9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854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185738</xdr:rowOff>
    </xdr:to>
    <xdr:sp macro="" textlink="">
      <xdr:nvSpPr>
        <xdr:cNvPr id="9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1854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185738</xdr:rowOff>
    </xdr:to>
    <xdr:sp macro="" textlink="">
      <xdr:nvSpPr>
        <xdr:cNvPr id="9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8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9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9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9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9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9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95" name="AutoShape 5" descr="Refresh">
          <a:hlinkClick xmlns:r="http://schemas.openxmlformats.org/officeDocument/2006/relationships" r:id="rId1"/>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9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54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185738</xdr:rowOff>
    </xdr:to>
    <xdr:sp macro="" textlink="">
      <xdr:nvSpPr>
        <xdr:cNvPr id="9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54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9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0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0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0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0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0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0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0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0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1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0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01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0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0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0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1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0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0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0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0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0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2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0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0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0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0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0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0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3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0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039"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0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0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0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4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4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5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5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6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0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071"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0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0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0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7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0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7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8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9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0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0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0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0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0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0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1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103"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1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1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1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1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2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1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135"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1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1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1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3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4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5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1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167"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1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1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1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7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7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8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1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1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1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1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1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1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1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1199"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12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12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12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2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2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2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2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2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2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2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2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2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2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1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2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3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2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3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3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4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5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5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6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2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6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7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7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2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2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9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2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2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29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2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2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2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29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0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0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2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2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3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3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3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5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5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3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7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3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3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3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3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3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3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7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3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383"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3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3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3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8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3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3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3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3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3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3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9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3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3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39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0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1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4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15"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4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1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2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2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3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3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4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4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47"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4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5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5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6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7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4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79"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4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8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9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4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4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4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4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4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4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4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0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0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5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11"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5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2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3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3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57150</xdr:rowOff>
    </xdr:to>
    <xdr:sp macro="" textlink="">
      <xdr:nvSpPr>
        <xdr:cNvPr id="15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43" name="AutoShape 5" descr="Refresh">
          <a:hlinkClick xmlns:r="http://schemas.openxmlformats.org/officeDocument/2006/relationships" r:id="rId1"/>
        </xdr:cNvPr>
        <xdr:cNvSpPr>
          <a:spLocks noChangeAspect="1" noChangeArrowheads="1"/>
        </xdr:cNvSpPr>
      </xdr:nvSpPr>
      <xdr:spPr>
        <a:xfrm>
          <a:off x="2152650" y="0"/>
          <a:ext cx="304800" cy="50228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2285"/>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57150</xdr:rowOff>
    </xdr:to>
    <xdr:sp macro="" textlink="">
      <xdr:nvSpPr>
        <xdr:cNvPr id="15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228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5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69056</xdr:rowOff>
    </xdr:to>
    <xdr:sp macro="" textlink="">
      <xdr:nvSpPr>
        <xdr:cNvPr id="15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5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5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5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5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6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5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5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5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5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5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7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5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57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5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5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5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7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5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5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58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5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5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5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8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5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5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59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5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5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5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5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5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5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0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0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6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1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1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2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3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3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6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5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5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6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7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6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7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8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9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6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6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69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6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6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6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69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7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7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7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70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7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7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7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7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7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7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7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7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71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7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7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7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7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7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7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7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2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72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7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7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7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3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17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17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17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4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5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17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75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7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7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7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7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6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7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7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7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7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7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7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17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7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791"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7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7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7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9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7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7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79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0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1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1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18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82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8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8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8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2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3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3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4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4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5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18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85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8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8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8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5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6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7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7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8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18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188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18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18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18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9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8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8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8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8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8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8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89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19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9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19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190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19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19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19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0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1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1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9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2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19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2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3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3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4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5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9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5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5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6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7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7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8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19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8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19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9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19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19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19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9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19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19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19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1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1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0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1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2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3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3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4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4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0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5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0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0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0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0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0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0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06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0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0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0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071"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0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0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0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7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0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07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0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0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0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08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0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0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0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08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0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0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0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9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0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0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0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0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0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0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103"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1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1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1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1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2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135"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1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1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1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3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4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5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167"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1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1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1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7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7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8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1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1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1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1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1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1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1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199"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2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2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2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0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2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2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2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2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2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2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2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2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1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22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2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2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2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2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2</xdr:row>
      <xdr:rowOff>38099</xdr:rowOff>
    </xdr:to>
    <xdr:sp macro="" textlink="">
      <xdr:nvSpPr>
        <xdr:cNvPr id="2231" name="AutoShape 5" descr="Refresh">
          <a:hlinkClick xmlns:r="http://schemas.openxmlformats.org/officeDocument/2006/relationships" r:id="rId1"/>
        </xdr:cNvPr>
        <xdr:cNvSpPr>
          <a:spLocks noChangeAspect="1" noChangeArrowheads="1"/>
        </xdr:cNvSpPr>
      </xdr:nvSpPr>
      <xdr:spPr>
        <a:xfrm>
          <a:off x="2152650" y="0"/>
          <a:ext cx="304800" cy="756920"/>
        </a:xfrm>
        <a:prstGeom prst="rect">
          <a:avLst/>
        </a:prstGeom>
        <a:noFill/>
      </xdr:spPr>
    </xdr:sp>
    <xdr:clientData/>
  </xdr:twoCellAnchor>
  <xdr:twoCellAnchor editAs="oneCell">
    <xdr:from>
      <xdr:col>17</xdr:col>
      <xdr:colOff>352425</xdr:colOff>
      <xdr:row>0</xdr:row>
      <xdr:rowOff>0</xdr:rowOff>
    </xdr:from>
    <xdr:to>
      <xdr:col>17</xdr:col>
      <xdr:colOff>571500</xdr:colOff>
      <xdr:row>2</xdr:row>
      <xdr:rowOff>38099</xdr:rowOff>
    </xdr:to>
    <xdr:sp macro="" textlink="">
      <xdr:nvSpPr>
        <xdr:cNvPr id="22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756920"/>
        </a:xfrm>
        <a:prstGeom prst="rect">
          <a:avLst/>
        </a:prstGeom>
        <a:noFill/>
      </xdr:spPr>
    </xdr:sp>
    <xdr:clientData/>
  </xdr:twoCellAnchor>
  <xdr:twoCellAnchor editAs="oneCell">
    <xdr:from>
      <xdr:col>17</xdr:col>
      <xdr:colOff>581025</xdr:colOff>
      <xdr:row>0</xdr:row>
      <xdr:rowOff>0</xdr:rowOff>
    </xdr:from>
    <xdr:to>
      <xdr:col>17</xdr:col>
      <xdr:colOff>609600</xdr:colOff>
      <xdr:row>2</xdr:row>
      <xdr:rowOff>38099</xdr:rowOff>
    </xdr:to>
    <xdr:sp macro="" textlink="">
      <xdr:nvSpPr>
        <xdr:cNvPr id="22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756920"/>
        </a:xfrm>
        <a:prstGeom prst="rect">
          <a:avLst/>
        </a:prstGeom>
        <a:noFill/>
      </xdr:spPr>
    </xdr:sp>
    <xdr:clientData/>
  </xdr:twoCellAnchor>
  <xdr:twoCellAnchor editAs="oneCell">
    <xdr:from>
      <xdr:col>18</xdr:col>
      <xdr:colOff>285750</xdr:colOff>
      <xdr:row>0</xdr:row>
      <xdr:rowOff>0</xdr:rowOff>
    </xdr:from>
    <xdr:to>
      <xdr:col>18</xdr:col>
      <xdr:colOff>590550</xdr:colOff>
      <xdr:row>2</xdr:row>
      <xdr:rowOff>38099</xdr:rowOff>
    </xdr:to>
    <xdr:sp macro="" textlink="">
      <xdr:nvSpPr>
        <xdr:cNvPr id="22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3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2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2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2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2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2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24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2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2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2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5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2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5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6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2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6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2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7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2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7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2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2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2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9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2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2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29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2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2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2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29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3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3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0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0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2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2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3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3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5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5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3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7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8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3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8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3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9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3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3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3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3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3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3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4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4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4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40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4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4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4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4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4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4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4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41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4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4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41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4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4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4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1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2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42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4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4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3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3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4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4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44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4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4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4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5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5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6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4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47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4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4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4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8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8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9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4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4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4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4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4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4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4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0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0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5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511"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5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5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5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2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3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5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54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5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5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5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5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6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7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5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57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5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5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5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5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5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5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5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5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5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5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59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5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5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5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5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0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0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6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611"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6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6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1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1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2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3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3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6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5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5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6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7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6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7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8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9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6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6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69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6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6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6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69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0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7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7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1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7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2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2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7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3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3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7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3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7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4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7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7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7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7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7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7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75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7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7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7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75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7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7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7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7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76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7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7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7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77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7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7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27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77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7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7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7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7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7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7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7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7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7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7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7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7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791"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7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7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7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7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7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79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0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1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8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82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8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8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8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2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3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3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4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5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8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85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8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8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8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5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6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7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7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8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8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88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8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8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8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9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8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8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8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8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8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8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89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9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90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9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9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9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9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91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9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9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9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1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29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291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29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29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29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2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9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9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9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9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9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3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29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29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293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29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29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29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3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9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4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5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9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55"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29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5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9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6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9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7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9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7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8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29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8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29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9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29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29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29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9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29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29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29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1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1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0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1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2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2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3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3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4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4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0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5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6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7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7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7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0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8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0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9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0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0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09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0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0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0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0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10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1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1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1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0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1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2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3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1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13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1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1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1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3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4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4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5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6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1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16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1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1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1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7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7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7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8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1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1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1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1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1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1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9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1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1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19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2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2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2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0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0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1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1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2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2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2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231"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2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2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2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3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3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4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4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5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5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2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26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2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2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2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6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2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2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2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27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2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2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2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28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2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2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2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2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2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2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2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29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2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2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2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29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2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2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2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299"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3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3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0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0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2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27"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3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3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3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3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4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5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5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3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6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6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7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7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7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8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3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8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3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9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3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3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3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9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3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3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39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4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0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4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40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4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1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4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41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4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1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4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42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4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2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4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4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4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4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3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4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4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43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4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4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4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4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44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4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4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4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5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45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4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4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4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5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46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4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4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4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6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47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4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4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4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4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479"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4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4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4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8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4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48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4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4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4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9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4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4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49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4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4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4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49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0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0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5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511"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5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5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5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1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1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2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2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3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3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5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543"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5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5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5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47"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5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5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5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63"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67"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7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5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575"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5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5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5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7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8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5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91"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5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5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5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9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5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5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599"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6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6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6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0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69040</xdr:rowOff>
    </xdr:to>
    <xdr:sp macro="" textlink="">
      <xdr:nvSpPr>
        <xdr:cNvPr id="36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69040</xdr:rowOff>
    </xdr:to>
    <xdr:sp macro="" textlink="">
      <xdr:nvSpPr>
        <xdr:cNvPr id="3607" name="AutoShape 5" descr="Refresh">
          <a:hlinkClick xmlns:r="http://schemas.openxmlformats.org/officeDocument/2006/relationships" r:id="rId1"/>
        </xdr:cNvPr>
        <xdr:cNvSpPr>
          <a:spLocks noChangeAspect="1" noChangeArrowheads="1"/>
        </xdr:cNvSpPr>
      </xdr:nvSpPr>
      <xdr:spPr>
        <a:xfrm>
          <a:off x="2152650" y="0"/>
          <a:ext cx="304800" cy="50419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69040</xdr:rowOff>
    </xdr:to>
    <xdr:sp macro="" textlink="">
      <xdr:nvSpPr>
        <xdr:cNvPr id="36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50419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69040</xdr:rowOff>
    </xdr:to>
    <xdr:sp macro="" textlink="">
      <xdr:nvSpPr>
        <xdr:cNvPr id="36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50419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69040</xdr:rowOff>
    </xdr:to>
    <xdr:sp macro="" textlink="">
      <xdr:nvSpPr>
        <xdr:cNvPr id="36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11"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6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615"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6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6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6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1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2</xdr:row>
      <xdr:rowOff>38099</xdr:rowOff>
    </xdr:to>
    <xdr:sp macro="" textlink="">
      <xdr:nvSpPr>
        <xdr:cNvPr id="36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7569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36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57150</xdr:rowOff>
    </xdr:to>
    <xdr:sp macro="" textlink="">
      <xdr:nvSpPr>
        <xdr:cNvPr id="3623" name="AutoShape 5" descr="Refresh">
          <a:hlinkClick xmlns:r="http://schemas.openxmlformats.org/officeDocument/2006/relationships" r:id="rId1"/>
        </xdr:cNvPr>
        <xdr:cNvSpPr>
          <a:spLocks noChangeAspect="1" noChangeArrowheads="1"/>
        </xdr:cNvSpPr>
      </xdr:nvSpPr>
      <xdr:spPr>
        <a:xfrm>
          <a:off x="2152650" y="0"/>
          <a:ext cx="304800" cy="49974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57150</xdr:rowOff>
    </xdr:to>
    <xdr:sp macro="" textlink="">
      <xdr:nvSpPr>
        <xdr:cNvPr id="36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9974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57150</xdr:rowOff>
    </xdr:to>
    <xdr:sp macro="" textlink="">
      <xdr:nvSpPr>
        <xdr:cNvPr id="36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9974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57150</xdr:rowOff>
    </xdr:to>
    <xdr:sp macro="" textlink="">
      <xdr:nvSpPr>
        <xdr:cNvPr id="36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997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27"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3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3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39"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6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43" name="AutoShape 5" descr="Refresh">
          <a:hlinkClick xmlns:r="http://schemas.openxmlformats.org/officeDocument/2006/relationships" r:id="rId1"/>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22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57150</xdr:rowOff>
    </xdr:to>
    <xdr:sp macro="" textlink="">
      <xdr:nvSpPr>
        <xdr:cNvPr id="36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2285"/>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4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5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5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59"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6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6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71"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6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75" name="AutoShape 5" descr="Refresh">
          <a:hlinkClick xmlns:r="http://schemas.openxmlformats.org/officeDocument/2006/relationships" r:id="rId1"/>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756920"/>
        </a:xfrm>
        <a:prstGeom prst="rect">
          <a:avLst/>
        </a:prstGeom>
        <a:noFill/>
      </xdr:spPr>
    </xdr:sp>
    <xdr:clientData/>
  </xdr:twoCellAnchor>
  <xdr:twoCellAnchor editAs="oneCell">
    <xdr:from>
      <xdr:col>13</xdr:col>
      <xdr:colOff>0</xdr:colOff>
      <xdr:row>0</xdr:row>
      <xdr:rowOff>0</xdr:rowOff>
    </xdr:from>
    <xdr:to>
      <xdr:col>13</xdr:col>
      <xdr:colOff>304800</xdr:colOff>
      <xdr:row>2</xdr:row>
      <xdr:rowOff>38099</xdr:rowOff>
    </xdr:to>
    <xdr:sp macro="" textlink="">
      <xdr:nvSpPr>
        <xdr:cNvPr id="36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75692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7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8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8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69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6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6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6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695"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6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6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6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699"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03"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7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0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1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7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15"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19"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7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2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27"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7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31"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35" name="AutoShape 5" descr="Refresh">
          <a:hlinkClick xmlns:r="http://schemas.openxmlformats.org/officeDocument/2006/relationships" r:id="rId1"/>
        </xdr:cNvPr>
        <xdr:cNvSpPr>
          <a:spLocks noChangeAspect="1" noChangeArrowheads="1"/>
        </xdr:cNvSpPr>
      </xdr:nvSpPr>
      <xdr:spPr>
        <a:xfrm>
          <a:off x="2152650" y="0"/>
          <a:ext cx="304800" cy="447040"/>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7040"/>
        </a:xfrm>
        <a:prstGeom prst="rect">
          <a:avLst/>
        </a:prstGeom>
        <a:noFill/>
      </xdr:spPr>
    </xdr:sp>
    <xdr:clientData/>
  </xdr:twoCellAnchor>
  <xdr:twoCellAnchor editAs="oneCell">
    <xdr:from>
      <xdr:col>17</xdr:col>
      <xdr:colOff>581025</xdr:colOff>
      <xdr:row>0</xdr:row>
      <xdr:rowOff>0</xdr:rowOff>
    </xdr:from>
    <xdr:to>
      <xdr:col>17</xdr:col>
      <xdr:colOff>609600</xdr:colOff>
      <xdr:row>1</xdr:row>
      <xdr:rowOff>0</xdr:rowOff>
    </xdr:to>
    <xdr:sp macro="" textlink="">
      <xdr:nvSpPr>
        <xdr:cNvPr id="37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47040"/>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7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43"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7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4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0</xdr:rowOff>
    </xdr:to>
    <xdr:sp macro="" textlink="">
      <xdr:nvSpPr>
        <xdr:cNvPr id="37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1</xdr:row>
      <xdr:rowOff>0</xdr:rowOff>
    </xdr:to>
    <xdr:sp macro="" textlink="">
      <xdr:nvSpPr>
        <xdr:cNvPr id="3751" name="AutoShape 5" descr="Refresh">
          <a:hlinkClick xmlns:r="http://schemas.openxmlformats.org/officeDocument/2006/relationships" r:id="rId1"/>
        </xdr:cNvPr>
        <xdr:cNvSpPr>
          <a:spLocks noChangeAspect="1" noChangeArrowheads="1"/>
        </xdr:cNvSpPr>
      </xdr:nvSpPr>
      <xdr:spPr>
        <a:xfrm>
          <a:off x="2152650" y="0"/>
          <a:ext cx="304800" cy="442595"/>
        </a:xfrm>
        <a:prstGeom prst="rect">
          <a:avLst/>
        </a:prstGeom>
        <a:noFill/>
      </xdr:spPr>
    </xdr:sp>
    <xdr:clientData/>
  </xdr:twoCellAnchor>
  <xdr:twoCellAnchor editAs="oneCell">
    <xdr:from>
      <xdr:col>17</xdr:col>
      <xdr:colOff>352425</xdr:colOff>
      <xdr:row>0</xdr:row>
      <xdr:rowOff>0</xdr:rowOff>
    </xdr:from>
    <xdr:to>
      <xdr:col>17</xdr:col>
      <xdr:colOff>571500</xdr:colOff>
      <xdr:row>1</xdr:row>
      <xdr:rowOff>0</xdr:rowOff>
    </xdr:to>
    <xdr:sp macro="" textlink="">
      <xdr:nvSpPr>
        <xdr:cNvPr id="37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42595"/>
        </a:xfrm>
        <a:prstGeom prst="rect">
          <a:avLst/>
        </a:prstGeom>
        <a:noFill/>
      </xdr:spPr>
    </xdr:sp>
    <xdr:clientData/>
  </xdr:twoCellAnchor>
  <xdr:twoCellAnchor editAs="oneCell">
    <xdr:from>
      <xdr:col>17</xdr:col>
      <xdr:colOff>581025</xdr:colOff>
      <xdr:row>0</xdr:row>
      <xdr:rowOff>0</xdr:rowOff>
    </xdr:from>
    <xdr:to>
      <xdr:col>17</xdr:col>
      <xdr:colOff>685800</xdr:colOff>
      <xdr:row>1</xdr:row>
      <xdr:rowOff>0</xdr:rowOff>
    </xdr:to>
    <xdr:sp macro="" textlink="">
      <xdr:nvSpPr>
        <xdr:cNvPr id="37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442595"/>
        </a:xfrm>
        <a:prstGeom prst="rect">
          <a:avLst/>
        </a:prstGeom>
        <a:noFill/>
      </xdr:spPr>
    </xdr:sp>
    <xdr:clientData/>
  </xdr:twoCellAnchor>
  <xdr:twoCellAnchor editAs="oneCell">
    <xdr:from>
      <xdr:col>18</xdr:col>
      <xdr:colOff>285750</xdr:colOff>
      <xdr:row>0</xdr:row>
      <xdr:rowOff>0</xdr:rowOff>
    </xdr:from>
    <xdr:to>
      <xdr:col>18</xdr:col>
      <xdr:colOff>590550</xdr:colOff>
      <xdr:row>1</xdr:row>
      <xdr:rowOff>0</xdr:rowOff>
    </xdr:to>
    <xdr:sp macro="" textlink="">
      <xdr:nvSpPr>
        <xdr:cNvPr id="37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5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7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75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7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7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7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6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37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3767"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37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37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37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71"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7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7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77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7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7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7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7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7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7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78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7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7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7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8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7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791"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7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7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7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95" name="AutoShape 5" descr="Refresh">
          <a:hlinkClick xmlns:r="http://schemas.openxmlformats.org/officeDocument/2006/relationships" r:id="rId1"/>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7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7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005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79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803" name="AutoShape 5" descr="Refresh">
          <a:hlinkClick xmlns:r="http://schemas.openxmlformats.org/officeDocument/2006/relationships" r:id="rId1"/>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8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38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513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0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1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1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1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8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823"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8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8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8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2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3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3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3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4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4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5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8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855"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8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8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8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5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6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6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7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7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8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8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887"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8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8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8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9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8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8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89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8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8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8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89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0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0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1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1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9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919"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9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9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9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2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2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3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3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4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4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39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3951"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39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39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39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5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39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5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6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39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39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396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39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39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39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71"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9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97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9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9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9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7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39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3983"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39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39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39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87"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9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39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99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39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39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39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9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39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39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399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03" name="AutoShape 5" descr="Refresh">
          <a:hlinkClick xmlns:r="http://schemas.openxmlformats.org/officeDocument/2006/relationships" r:id="rId1"/>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005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0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1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0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015"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0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0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0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1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0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2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2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3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3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3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4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0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047"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0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0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0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51"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5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5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6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6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7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7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0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079"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0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0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0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83"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8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9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0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0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09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0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0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0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09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1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10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1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1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1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0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1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111"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1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1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1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1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1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11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1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1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1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2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1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1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12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1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1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1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3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1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135"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1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1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1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39" name="AutoShape 5" descr="Refresh">
          <a:hlinkClick xmlns:r="http://schemas.openxmlformats.org/officeDocument/2006/relationships" r:id="rId1"/>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005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4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47" name="AutoShape 5" descr="Refresh">
          <a:hlinkClick xmlns:r="http://schemas.openxmlformats.org/officeDocument/2006/relationships" r:id="rId1"/>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513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1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513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5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5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5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6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1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167"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1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1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1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7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7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7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8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1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1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1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1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19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1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1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1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9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1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1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199"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2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2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2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0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0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1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1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1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2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2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2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231"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2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2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2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3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3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4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4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5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5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5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2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263"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2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2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2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6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7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7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7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8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2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28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2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2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2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9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2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2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295"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2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2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2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29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3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3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3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30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3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3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3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0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3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31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3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3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3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15"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1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2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3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327"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3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3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3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31"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3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3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3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4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47" name="AutoShape 5" descr="Refresh">
          <a:hlinkClick xmlns:r="http://schemas.openxmlformats.org/officeDocument/2006/relationships" r:id="rId1"/>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005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005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5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5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3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359"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3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3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3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6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3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6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7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7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79"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8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3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3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3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8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3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3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391"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3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3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3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95"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3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3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39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0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0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11"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1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1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4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423"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4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4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4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27" name="AutoShape 5" descr="Refresh">
          <a:hlinkClick xmlns:r="http://schemas.openxmlformats.org/officeDocument/2006/relationships" r:id="rId1"/>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25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25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3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3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3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443"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4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4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4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5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4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455"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4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4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4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459"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4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4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6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6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4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4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47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4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4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4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4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28559</xdr:rowOff>
    </xdr:to>
    <xdr:sp macro="" textlink="">
      <xdr:nvSpPr>
        <xdr:cNvPr id="44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660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4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4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479"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4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4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4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83"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4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4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48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4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4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4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491" name="AutoShape 5" descr="Refresh">
          <a:hlinkClick xmlns:r="http://schemas.openxmlformats.org/officeDocument/2006/relationships" r:id="rId1"/>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4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4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4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656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49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4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4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4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499" name="AutoShape 5" descr="Refresh">
          <a:hlinkClick xmlns:r="http://schemas.openxmlformats.org/officeDocument/2006/relationships" r:id="rId1"/>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5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5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67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0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0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5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511"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5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5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5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515" name="AutoShape 5" descr="Refresh">
          <a:hlinkClick xmlns:r="http://schemas.openxmlformats.org/officeDocument/2006/relationships" r:id="rId1"/>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5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5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67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1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2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2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3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3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3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5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543"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5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5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5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4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5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5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5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6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6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7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5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575"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5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5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5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7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8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8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5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9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5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5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5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9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5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5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59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0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6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607"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6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6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6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1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6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61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1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6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62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2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6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63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3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6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639"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6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6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6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4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6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6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64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5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6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6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65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6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6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6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59"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6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66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6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6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6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6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6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671"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6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6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6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75"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6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46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67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6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6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6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8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6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68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6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6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6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691" name="AutoShape 5" descr="Refresh">
          <a:hlinkClick xmlns:r="http://schemas.openxmlformats.org/officeDocument/2006/relationships" r:id="rId1"/>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6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6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6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656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69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6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6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6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69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7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703"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7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7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7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70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7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7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1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1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1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23"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2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3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7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735"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7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7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7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39"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4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4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5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55"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5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6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7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767"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7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7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7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71"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7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7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7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8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87"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7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47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79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7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7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7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9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47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7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4799"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48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48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48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803"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8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8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48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80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8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8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8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81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48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8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48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481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48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48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48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81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1</xdr:row>
      <xdr:rowOff>28559</xdr:rowOff>
    </xdr:to>
    <xdr:sp macro="" textlink="">
      <xdr:nvSpPr>
        <xdr:cNvPr id="48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660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8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69040</xdr:rowOff>
    </xdr:to>
    <xdr:sp macro="" textlink="">
      <xdr:nvSpPr>
        <xdr:cNvPr id="48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823"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8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8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8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827" name="AutoShape 5" descr="Refresh">
          <a:hlinkClick xmlns:r="http://schemas.openxmlformats.org/officeDocument/2006/relationships" r:id="rId1"/>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8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4704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0</xdr:rowOff>
    </xdr:to>
    <xdr:sp macro="" textlink="">
      <xdr:nvSpPr>
        <xdr:cNvPr id="48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4704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3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835" name="AutoShape 5" descr="Refresh">
          <a:hlinkClick xmlns:r="http://schemas.openxmlformats.org/officeDocument/2006/relationships" r:id="rId1"/>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8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48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656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3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43" name="AutoShape 5" descr="Refresh">
          <a:hlinkClick xmlns:r="http://schemas.openxmlformats.org/officeDocument/2006/relationships" r:id="rId1"/>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67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4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5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8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855"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8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8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8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59" name="AutoShape 5" descr="Refresh">
          <a:hlinkClick xmlns:r="http://schemas.openxmlformats.org/officeDocument/2006/relationships" r:id="rId1"/>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673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69056</xdr:rowOff>
    </xdr:to>
    <xdr:sp macro="" textlink="">
      <xdr:nvSpPr>
        <xdr:cNvPr id="48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673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6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6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7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7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7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8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8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887"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8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8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8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9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8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8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89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8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8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8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89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0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0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1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1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9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919"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9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9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9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23"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2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3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3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3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3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3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3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3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3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39"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4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4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4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43"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4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4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4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47"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94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4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5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951"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95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95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95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55"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5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5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5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5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6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6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6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63"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6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6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6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67"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6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6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7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71"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7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7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7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75"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7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7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7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79"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523869</xdr:rowOff>
    </xdr:to>
    <xdr:sp macro="" textlink="">
      <xdr:nvSpPr>
        <xdr:cNvPr id="498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8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8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523869</xdr:rowOff>
    </xdr:to>
    <xdr:sp macro="" textlink="">
      <xdr:nvSpPr>
        <xdr:cNvPr id="4983" name="AutoShape 5" descr="Refresh">
          <a:hlinkClick xmlns:r="http://schemas.openxmlformats.org/officeDocument/2006/relationships" r:id="rId1"/>
        </xdr:cNvPr>
        <xdr:cNvSpPr>
          <a:spLocks noChangeAspect="1" noChangeArrowheads="1"/>
        </xdr:cNvSpPr>
      </xdr:nvSpPr>
      <xdr:spPr>
        <a:xfrm>
          <a:off x="2152650" y="0"/>
          <a:ext cx="304800" cy="42799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523869</xdr:rowOff>
    </xdr:to>
    <xdr:sp macro="" textlink="">
      <xdr:nvSpPr>
        <xdr:cNvPr id="498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42799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523869</xdr:rowOff>
    </xdr:to>
    <xdr:sp macro="" textlink="">
      <xdr:nvSpPr>
        <xdr:cNvPr id="498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42799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523869</xdr:rowOff>
    </xdr:to>
    <xdr:sp macro="" textlink="">
      <xdr:nvSpPr>
        <xdr:cNvPr id="498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87" name="AutoShape 5" descr="Refresh">
          <a:hlinkClick xmlns:r="http://schemas.openxmlformats.org/officeDocument/2006/relationships" r:id="rId1"/>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8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8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50419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69039</xdr:rowOff>
    </xdr:to>
    <xdr:sp macro="" textlink="">
      <xdr:nvSpPr>
        <xdr:cNvPr id="499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5041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91"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499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499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499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95"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345281</xdr:rowOff>
    </xdr:to>
    <xdr:sp macro="" textlink="">
      <xdr:nvSpPr>
        <xdr:cNvPr id="499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34988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9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499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319088</xdr:rowOff>
    </xdr:to>
    <xdr:sp macro="" textlink="">
      <xdr:nvSpPr>
        <xdr:cNvPr id="4999" name="AutoShape 5" descr="Refresh">
          <a:hlinkClick xmlns:r="http://schemas.openxmlformats.org/officeDocument/2006/relationships" r:id="rId1"/>
        </xdr:cNvPr>
        <xdr:cNvSpPr>
          <a:spLocks noChangeAspect="1" noChangeArrowheads="1"/>
        </xdr:cNvSpPr>
      </xdr:nvSpPr>
      <xdr:spPr>
        <a:xfrm>
          <a:off x="2152650" y="0"/>
          <a:ext cx="304800" cy="31877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319088</xdr:rowOff>
    </xdr:to>
    <xdr:sp macro="" textlink="">
      <xdr:nvSpPr>
        <xdr:cNvPr id="500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31877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319088</xdr:rowOff>
    </xdr:to>
    <xdr:sp macro="" textlink="">
      <xdr:nvSpPr>
        <xdr:cNvPr id="500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31877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319088</xdr:rowOff>
    </xdr:to>
    <xdr:sp macro="" textlink="">
      <xdr:nvSpPr>
        <xdr:cNvPr id="500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03"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0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0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0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0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0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0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1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1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501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1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1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5015"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501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501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501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19" name="AutoShape 5" descr="Refresh">
          <a:hlinkClick xmlns:r="http://schemas.openxmlformats.org/officeDocument/2006/relationships" r:id="rId1"/>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2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2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31877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319088</xdr:rowOff>
    </xdr:to>
    <xdr:sp macro="" textlink="">
      <xdr:nvSpPr>
        <xdr:cNvPr id="502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31877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2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2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2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2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2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2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2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3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3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3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3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3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5035" name="AutoShape 5" descr="Refresh">
          <a:hlinkClick xmlns:r="http://schemas.openxmlformats.org/officeDocument/2006/relationships" r:id="rId1"/>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3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503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5656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19034</xdr:rowOff>
    </xdr:to>
    <xdr:sp macro="" textlink="">
      <xdr:nvSpPr>
        <xdr:cNvPr id="503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5656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3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4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4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4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4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504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4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4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5047"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504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504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505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5051" name="AutoShape 5" descr="Refresh">
          <a:hlinkClick xmlns:r="http://schemas.openxmlformats.org/officeDocument/2006/relationships" r:id="rId1"/>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5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505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2799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523869</xdr:rowOff>
    </xdr:to>
    <xdr:sp macro="" textlink="">
      <xdr:nvSpPr>
        <xdr:cNvPr id="505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2799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5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5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5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5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59"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6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6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6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6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6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6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6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067"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6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06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07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71"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7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7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7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75"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507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7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7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5079"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508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508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508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083"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8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08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08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8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8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8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9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91"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092"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93"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094"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095"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096"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097"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098"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099" name="AutoShape 5" descr="Refresh">
          <a:hlinkClick xmlns:r="http://schemas.openxmlformats.org/officeDocument/2006/relationships" r:id="rId1"/>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100"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101"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8069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40465</xdr:rowOff>
    </xdr:to>
    <xdr:sp macro="" textlink="">
      <xdr:nvSpPr>
        <xdr:cNvPr id="5102"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8069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103"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104"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105"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106"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07"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261938</xdr:rowOff>
    </xdr:to>
    <xdr:sp macro="" textlink="">
      <xdr:nvSpPr>
        <xdr:cNvPr id="5108"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09"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10"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261938</xdr:rowOff>
    </xdr:to>
    <xdr:sp macro="" textlink="">
      <xdr:nvSpPr>
        <xdr:cNvPr id="5111" name="AutoShape 5" descr="Refresh">
          <a:hlinkClick xmlns:r="http://schemas.openxmlformats.org/officeDocument/2006/relationships" r:id="rId1"/>
        </xdr:cNvPr>
        <xdr:cNvSpPr>
          <a:spLocks noChangeAspect="1" noChangeArrowheads="1"/>
        </xdr:cNvSpPr>
      </xdr:nvSpPr>
      <xdr:spPr>
        <a:xfrm>
          <a:off x="2152650" y="0"/>
          <a:ext cx="304800" cy="26162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261938</xdr:rowOff>
    </xdr:to>
    <xdr:sp macro="" textlink="">
      <xdr:nvSpPr>
        <xdr:cNvPr id="5112"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261620"/>
        </a:xfrm>
        <a:prstGeom prst="rect">
          <a:avLst/>
        </a:prstGeom>
        <a:noFill/>
      </xdr:spPr>
    </xdr:sp>
    <xdr:clientData/>
  </xdr:twoCellAnchor>
  <xdr:twoCellAnchor editAs="oneCell">
    <xdr:from>
      <xdr:col>17</xdr:col>
      <xdr:colOff>581025</xdr:colOff>
      <xdr:row>0</xdr:row>
      <xdr:rowOff>0</xdr:rowOff>
    </xdr:from>
    <xdr:to>
      <xdr:col>17</xdr:col>
      <xdr:colOff>609600</xdr:colOff>
      <xdr:row>0</xdr:row>
      <xdr:rowOff>261938</xdr:rowOff>
    </xdr:to>
    <xdr:sp macro="" textlink="">
      <xdr:nvSpPr>
        <xdr:cNvPr id="5113"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28575" cy="26162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261938</xdr:rowOff>
    </xdr:to>
    <xdr:sp macro="" textlink="">
      <xdr:nvSpPr>
        <xdr:cNvPr id="5114"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115" name="AutoShape 5" descr="Refresh">
          <a:hlinkClick xmlns:r="http://schemas.openxmlformats.org/officeDocument/2006/relationships" r:id="rId1"/>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116"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117"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461645"/>
        </a:xfrm>
        <a:prstGeom prst="rect">
          <a:avLst/>
        </a:prstGeom>
        <a:noFill/>
      </xdr:spPr>
    </xdr:sp>
    <xdr:clientData/>
  </xdr:twoCellAnchor>
  <xdr:twoCellAnchor editAs="oneCell">
    <xdr:from>
      <xdr:col>13</xdr:col>
      <xdr:colOff>0</xdr:colOff>
      <xdr:row>0</xdr:row>
      <xdr:rowOff>0</xdr:rowOff>
    </xdr:from>
    <xdr:to>
      <xdr:col>13</xdr:col>
      <xdr:colOff>304800</xdr:colOff>
      <xdr:row>1</xdr:row>
      <xdr:rowOff>23796</xdr:rowOff>
    </xdr:to>
    <xdr:sp macro="" textlink="">
      <xdr:nvSpPr>
        <xdr:cNvPr id="5118"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461645"/>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119"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120"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121"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122"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23" name="AutoShape 5" descr="Refresh">
          <a:hlinkClick xmlns:r="http://schemas.openxmlformats.org/officeDocument/2006/relationships" r:id="rId1"/>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219075</xdr:colOff>
      <xdr:row>0</xdr:row>
      <xdr:rowOff>219075</xdr:rowOff>
    </xdr:to>
    <xdr:sp macro="" textlink="">
      <xdr:nvSpPr>
        <xdr:cNvPr id="5124"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219075"/>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25"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261620"/>
        </a:xfrm>
        <a:prstGeom prst="rect">
          <a:avLst/>
        </a:prstGeom>
        <a:noFill/>
      </xdr:spPr>
    </xdr:sp>
    <xdr:clientData/>
  </xdr:twoCellAnchor>
  <xdr:twoCellAnchor editAs="oneCell">
    <xdr:from>
      <xdr:col>13</xdr:col>
      <xdr:colOff>0</xdr:colOff>
      <xdr:row>0</xdr:row>
      <xdr:rowOff>0</xdr:rowOff>
    </xdr:from>
    <xdr:to>
      <xdr:col>13</xdr:col>
      <xdr:colOff>304800</xdr:colOff>
      <xdr:row>0</xdr:row>
      <xdr:rowOff>261938</xdr:rowOff>
    </xdr:to>
    <xdr:sp macro="" textlink="">
      <xdr:nvSpPr>
        <xdr:cNvPr id="5126"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261620"/>
        </a:xfrm>
        <a:prstGeom prst="rect">
          <a:avLst/>
        </a:prstGeom>
        <a:noFill/>
      </xdr:spPr>
    </xdr:sp>
    <xdr:clientData/>
  </xdr:twoCellAnchor>
  <xdr:twoCellAnchor editAs="oneCell">
    <xdr:from>
      <xdr:col>17</xdr:col>
      <xdr:colOff>38100</xdr:colOff>
      <xdr:row>0</xdr:row>
      <xdr:rowOff>0</xdr:rowOff>
    </xdr:from>
    <xdr:to>
      <xdr:col>17</xdr:col>
      <xdr:colOff>342900</xdr:colOff>
      <xdr:row>0</xdr:row>
      <xdr:rowOff>190500</xdr:rowOff>
    </xdr:to>
    <xdr:sp macro="" textlink="">
      <xdr:nvSpPr>
        <xdr:cNvPr id="5127" name="AutoShape 5" descr="Refresh">
          <a:hlinkClick xmlns:r="http://schemas.openxmlformats.org/officeDocument/2006/relationships" r:id="rId1"/>
        </xdr:cNvPr>
        <xdr:cNvSpPr>
          <a:spLocks noChangeAspect="1" noChangeArrowheads="1"/>
        </xdr:cNvSpPr>
      </xdr:nvSpPr>
      <xdr:spPr>
        <a:xfrm>
          <a:off x="2152650" y="0"/>
          <a:ext cx="304800" cy="190500"/>
        </a:xfrm>
        <a:prstGeom prst="rect">
          <a:avLst/>
        </a:prstGeom>
        <a:noFill/>
      </xdr:spPr>
    </xdr:sp>
    <xdr:clientData/>
  </xdr:twoCellAnchor>
  <xdr:twoCellAnchor editAs="oneCell">
    <xdr:from>
      <xdr:col>17</xdr:col>
      <xdr:colOff>352425</xdr:colOff>
      <xdr:row>0</xdr:row>
      <xdr:rowOff>0</xdr:rowOff>
    </xdr:from>
    <xdr:to>
      <xdr:col>17</xdr:col>
      <xdr:colOff>571500</xdr:colOff>
      <xdr:row>0</xdr:row>
      <xdr:rowOff>190500</xdr:rowOff>
    </xdr:to>
    <xdr:sp macro="" textlink="">
      <xdr:nvSpPr>
        <xdr:cNvPr id="5128" name="AutoShape 6" descr="https://icms.indianrail.gov.in/icmscss/images/clear_img.jpg">
          <a:hlinkClick xmlns:r="http://schemas.openxmlformats.org/officeDocument/2006/relationships" r:id="rId2"/>
        </xdr:cNvPr>
        <xdr:cNvSpPr>
          <a:spLocks noChangeAspect="1" noChangeArrowheads="1"/>
        </xdr:cNvSpPr>
      </xdr:nvSpPr>
      <xdr:spPr>
        <a:xfrm>
          <a:off x="2466975" y="0"/>
          <a:ext cx="219075" cy="190500"/>
        </a:xfrm>
        <a:prstGeom prst="rect">
          <a:avLst/>
        </a:prstGeom>
        <a:noFill/>
      </xdr:spPr>
    </xdr:sp>
    <xdr:clientData/>
  </xdr:twoCellAnchor>
  <xdr:twoCellAnchor editAs="oneCell">
    <xdr:from>
      <xdr:col>17</xdr:col>
      <xdr:colOff>581025</xdr:colOff>
      <xdr:row>0</xdr:row>
      <xdr:rowOff>0</xdr:rowOff>
    </xdr:from>
    <xdr:to>
      <xdr:col>17</xdr:col>
      <xdr:colOff>685800</xdr:colOff>
      <xdr:row>0</xdr:row>
      <xdr:rowOff>190500</xdr:rowOff>
    </xdr:to>
    <xdr:sp macro="" textlink="">
      <xdr:nvSpPr>
        <xdr:cNvPr id="5129" name="AutoShape 7" descr="https://icms.indianrail.gov.in/icmscss/images/back_to_top.png">
          <a:hlinkClick xmlns:r="http://schemas.openxmlformats.org/officeDocument/2006/relationships" r:id="rId3"/>
        </xdr:cNvPr>
        <xdr:cNvSpPr>
          <a:spLocks noChangeAspect="1" noChangeArrowheads="1"/>
        </xdr:cNvSpPr>
      </xdr:nvSpPr>
      <xdr:spPr>
        <a:xfrm>
          <a:off x="2695575" y="0"/>
          <a:ext cx="104775" cy="190500"/>
        </a:xfrm>
        <a:prstGeom prst="rect">
          <a:avLst/>
        </a:prstGeom>
        <a:noFill/>
      </xdr:spPr>
    </xdr:sp>
    <xdr:clientData/>
  </xdr:twoCellAnchor>
  <xdr:twoCellAnchor editAs="oneCell">
    <xdr:from>
      <xdr:col>18</xdr:col>
      <xdr:colOff>285750</xdr:colOff>
      <xdr:row>0</xdr:row>
      <xdr:rowOff>0</xdr:rowOff>
    </xdr:from>
    <xdr:to>
      <xdr:col>18</xdr:col>
      <xdr:colOff>590550</xdr:colOff>
      <xdr:row>0</xdr:row>
      <xdr:rowOff>190500</xdr:rowOff>
    </xdr:to>
    <xdr:sp macro="" textlink="">
      <xdr:nvSpPr>
        <xdr:cNvPr id="5130" name="AutoShape 8" descr="https://icms.indianrail.gov.in/icmscss/images/back_to_bottom.png">
          <a:hlinkClick xmlns:r="http://schemas.openxmlformats.org/officeDocument/2006/relationships" r:id="rId4"/>
        </xdr:cNvPr>
        <xdr:cNvSpPr>
          <a:spLocks noChangeAspect="1" noChangeArrowheads="1"/>
        </xdr:cNvSpPr>
      </xdr:nvSpPr>
      <xdr:spPr>
        <a:xfrm>
          <a:off x="3105150" y="0"/>
          <a:ext cx="304800" cy="190500"/>
        </a:xfrm>
        <a:prstGeom prst="rect">
          <a:avLst/>
        </a:prstGeom>
        <a:noFill/>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xdr:colOff>
      <xdr:row>0</xdr:row>
      <xdr:rowOff>0</xdr:rowOff>
    </xdr:from>
    <xdr:to>
      <xdr:col>4</xdr:col>
      <xdr:colOff>421482</xdr:colOff>
      <xdr:row>11</xdr:row>
      <xdr:rowOff>35721</xdr:rowOff>
    </xdr:to>
    <xdr:sp macro="" textlink="">
      <xdr:nvSpPr>
        <xdr:cNvPr id="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45246</xdr:rowOff>
    </xdr:to>
    <xdr:sp macro="" textlink="">
      <xdr:nvSpPr>
        <xdr:cNvPr id="6" name="AutoShape 5" descr="Refresh">
          <a:hlinkClick xmlns:r="http://schemas.openxmlformats.org/officeDocument/2006/relationships" r:id="rId1"/>
        </xdr:cNvPr>
        <xdr:cNvSpPr>
          <a:spLocks noChangeAspect="1" noChangeArrowheads="1"/>
        </xdr:cNvSpPr>
      </xdr:nvSpPr>
      <xdr:spPr>
        <a:xfrm>
          <a:off x="2476500" y="0"/>
          <a:ext cx="382905" cy="167640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45246</xdr:rowOff>
    </xdr:to>
    <xdr:sp macro="" textlink="">
      <xdr:nvSpPr>
        <xdr:cNvPr id="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7640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45246</xdr:rowOff>
    </xdr:to>
    <xdr:sp macro="" textlink="">
      <xdr:nvSpPr>
        <xdr:cNvPr id="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76400"/>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17</xdr:row>
      <xdr:rowOff>411957</xdr:rowOff>
    </xdr:to>
    <xdr:sp macro="" textlink="">
      <xdr:nvSpPr>
        <xdr:cNvPr id="14" name="AutoShape 5" descr="Refresh">
          <a:hlinkClick xmlns:r="http://schemas.openxmlformats.org/officeDocument/2006/relationships" r:id="rId1"/>
        </xdr:cNvPr>
        <xdr:cNvSpPr>
          <a:spLocks noChangeAspect="1" noChangeArrowheads="1"/>
        </xdr:cNvSpPr>
      </xdr:nvSpPr>
      <xdr:spPr>
        <a:xfrm>
          <a:off x="2476500" y="0"/>
          <a:ext cx="304800" cy="23050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17</xdr:row>
      <xdr:rowOff>411957</xdr:rowOff>
    </xdr:to>
    <xdr:sp macro="" textlink="">
      <xdr:nvSpPr>
        <xdr:cNvPr id="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2305050"/>
        </a:xfrm>
        <a:prstGeom prst="rect">
          <a:avLst/>
        </a:prstGeom>
        <a:noFill/>
      </xdr:spPr>
    </xdr:sp>
    <xdr:clientData/>
  </xdr:twoCellAnchor>
  <xdr:twoCellAnchor editAs="oneCell">
    <xdr:from>
      <xdr:col>5</xdr:col>
      <xdr:colOff>285750</xdr:colOff>
      <xdr:row>0</xdr:row>
      <xdr:rowOff>0</xdr:rowOff>
    </xdr:from>
    <xdr:to>
      <xdr:col>5</xdr:col>
      <xdr:colOff>414338</xdr:colOff>
      <xdr:row>17</xdr:row>
      <xdr:rowOff>411957</xdr:rowOff>
    </xdr:to>
    <xdr:sp macro="" textlink="">
      <xdr:nvSpPr>
        <xdr:cNvPr id="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2305050"/>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102395</xdr:rowOff>
    </xdr:to>
    <xdr:sp macro="" textlink="">
      <xdr:nvSpPr>
        <xdr:cNvPr id="18" name="AutoShape 5" descr="Refresh">
          <a:hlinkClick xmlns:r="http://schemas.openxmlformats.org/officeDocument/2006/relationships" r:id="rId1"/>
        </xdr:cNvPr>
        <xdr:cNvSpPr>
          <a:spLocks noChangeAspect="1" noChangeArrowheads="1"/>
        </xdr:cNvSpPr>
      </xdr:nvSpPr>
      <xdr:spPr>
        <a:xfrm>
          <a:off x="2476500" y="0"/>
          <a:ext cx="304800" cy="17335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102395</xdr:rowOff>
    </xdr:to>
    <xdr:sp macro="" textlink="">
      <xdr:nvSpPr>
        <xdr:cNvPr id="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73355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102395</xdr:rowOff>
    </xdr:to>
    <xdr:sp macro="" textlink="">
      <xdr:nvSpPr>
        <xdr:cNvPr id="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733550"/>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17</xdr:row>
      <xdr:rowOff>421482</xdr:rowOff>
    </xdr:to>
    <xdr:sp macro="" textlink="">
      <xdr:nvSpPr>
        <xdr:cNvPr id="26" name="AutoShape 5" descr="Refresh">
          <a:hlinkClick xmlns:r="http://schemas.openxmlformats.org/officeDocument/2006/relationships" r:id="rId1"/>
        </xdr:cNvPr>
        <xdr:cNvSpPr>
          <a:spLocks noChangeAspect="1" noChangeArrowheads="1"/>
        </xdr:cNvSpPr>
      </xdr:nvSpPr>
      <xdr:spPr>
        <a:xfrm>
          <a:off x="2476500" y="0"/>
          <a:ext cx="304800" cy="23145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17</xdr:row>
      <xdr:rowOff>421482</xdr:rowOff>
    </xdr:to>
    <xdr:sp macro="" textlink="">
      <xdr:nvSpPr>
        <xdr:cNvPr id="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2314575"/>
        </a:xfrm>
        <a:prstGeom prst="rect">
          <a:avLst/>
        </a:prstGeom>
        <a:noFill/>
      </xdr:spPr>
    </xdr:sp>
    <xdr:clientData/>
  </xdr:twoCellAnchor>
  <xdr:twoCellAnchor editAs="oneCell">
    <xdr:from>
      <xdr:col>5</xdr:col>
      <xdr:colOff>285750</xdr:colOff>
      <xdr:row>0</xdr:row>
      <xdr:rowOff>0</xdr:rowOff>
    </xdr:from>
    <xdr:to>
      <xdr:col>5</xdr:col>
      <xdr:colOff>414338</xdr:colOff>
      <xdr:row>17</xdr:row>
      <xdr:rowOff>421482</xdr:rowOff>
    </xdr:to>
    <xdr:sp macro="" textlink="">
      <xdr:nvSpPr>
        <xdr:cNvPr id="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23145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102395</xdr:rowOff>
    </xdr:to>
    <xdr:sp macro="" textlink="">
      <xdr:nvSpPr>
        <xdr:cNvPr id="30" name="AutoShape 5" descr="Refresh">
          <a:hlinkClick xmlns:r="http://schemas.openxmlformats.org/officeDocument/2006/relationships" r:id="rId1"/>
        </xdr:cNvPr>
        <xdr:cNvSpPr>
          <a:spLocks noChangeAspect="1" noChangeArrowheads="1"/>
        </xdr:cNvSpPr>
      </xdr:nvSpPr>
      <xdr:spPr>
        <a:xfrm>
          <a:off x="2476500" y="0"/>
          <a:ext cx="304800" cy="17335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102395</xdr:rowOff>
    </xdr:to>
    <xdr:sp macro="" textlink="">
      <xdr:nvSpPr>
        <xdr:cNvPr id="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73355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102395</xdr:rowOff>
    </xdr:to>
    <xdr:sp macro="" textlink="">
      <xdr:nvSpPr>
        <xdr:cNvPr id="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733550"/>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17</xdr:row>
      <xdr:rowOff>421482</xdr:rowOff>
    </xdr:to>
    <xdr:sp macro="" textlink="">
      <xdr:nvSpPr>
        <xdr:cNvPr id="38" name="AutoShape 5" descr="Refresh">
          <a:hlinkClick xmlns:r="http://schemas.openxmlformats.org/officeDocument/2006/relationships" r:id="rId1"/>
        </xdr:cNvPr>
        <xdr:cNvSpPr>
          <a:spLocks noChangeAspect="1" noChangeArrowheads="1"/>
        </xdr:cNvSpPr>
      </xdr:nvSpPr>
      <xdr:spPr>
        <a:xfrm>
          <a:off x="2476500" y="0"/>
          <a:ext cx="304800" cy="23145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17</xdr:row>
      <xdr:rowOff>421482</xdr:rowOff>
    </xdr:to>
    <xdr:sp macro="" textlink="">
      <xdr:nvSpPr>
        <xdr:cNvPr id="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2314575"/>
        </a:xfrm>
        <a:prstGeom prst="rect">
          <a:avLst/>
        </a:prstGeom>
        <a:noFill/>
      </xdr:spPr>
    </xdr:sp>
    <xdr:clientData/>
  </xdr:twoCellAnchor>
  <xdr:twoCellAnchor editAs="oneCell">
    <xdr:from>
      <xdr:col>5</xdr:col>
      <xdr:colOff>285750</xdr:colOff>
      <xdr:row>0</xdr:row>
      <xdr:rowOff>0</xdr:rowOff>
    </xdr:from>
    <xdr:to>
      <xdr:col>5</xdr:col>
      <xdr:colOff>414338</xdr:colOff>
      <xdr:row>17</xdr:row>
      <xdr:rowOff>421482</xdr:rowOff>
    </xdr:to>
    <xdr:sp macro="" textlink="">
      <xdr:nvSpPr>
        <xdr:cNvPr id="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23145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102395</xdr:rowOff>
    </xdr:to>
    <xdr:sp macro="" textlink="">
      <xdr:nvSpPr>
        <xdr:cNvPr id="42" name="AutoShape 5" descr="Refresh">
          <a:hlinkClick xmlns:r="http://schemas.openxmlformats.org/officeDocument/2006/relationships" r:id="rId1"/>
        </xdr:cNvPr>
        <xdr:cNvSpPr>
          <a:spLocks noChangeAspect="1" noChangeArrowheads="1"/>
        </xdr:cNvSpPr>
      </xdr:nvSpPr>
      <xdr:spPr>
        <a:xfrm>
          <a:off x="2476500" y="0"/>
          <a:ext cx="304800" cy="17335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102395</xdr:rowOff>
    </xdr:to>
    <xdr:sp macro="" textlink="">
      <xdr:nvSpPr>
        <xdr:cNvPr id="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73355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102395</xdr:rowOff>
    </xdr:to>
    <xdr:sp macro="" textlink="">
      <xdr:nvSpPr>
        <xdr:cNvPr id="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733550"/>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4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102395</xdr:rowOff>
    </xdr:to>
    <xdr:sp macro="" textlink="">
      <xdr:nvSpPr>
        <xdr:cNvPr id="50" name="AutoShape 5" descr="Refresh">
          <a:hlinkClick xmlns:r="http://schemas.openxmlformats.org/officeDocument/2006/relationships" r:id="rId1"/>
        </xdr:cNvPr>
        <xdr:cNvSpPr>
          <a:spLocks noChangeAspect="1" noChangeArrowheads="1"/>
        </xdr:cNvSpPr>
      </xdr:nvSpPr>
      <xdr:spPr>
        <a:xfrm>
          <a:off x="2476500" y="0"/>
          <a:ext cx="378460" cy="17335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102395</xdr:rowOff>
    </xdr:to>
    <xdr:sp macro="" textlink="">
      <xdr:nvSpPr>
        <xdr:cNvPr id="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73355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102395</xdr:rowOff>
    </xdr:to>
    <xdr:sp macro="" textlink="">
      <xdr:nvSpPr>
        <xdr:cNvPr id="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733550"/>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102395</xdr:rowOff>
    </xdr:to>
    <xdr:sp macro="" textlink="">
      <xdr:nvSpPr>
        <xdr:cNvPr id="54" name="AutoShape 5" descr="Refresh">
          <a:hlinkClick xmlns:r="http://schemas.openxmlformats.org/officeDocument/2006/relationships" r:id="rId1"/>
        </xdr:cNvPr>
        <xdr:cNvSpPr>
          <a:spLocks noChangeAspect="1" noChangeArrowheads="1"/>
        </xdr:cNvSpPr>
      </xdr:nvSpPr>
      <xdr:spPr>
        <a:xfrm>
          <a:off x="2476500" y="0"/>
          <a:ext cx="378460" cy="173355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102395</xdr:rowOff>
    </xdr:to>
    <xdr:sp macro="" textlink="">
      <xdr:nvSpPr>
        <xdr:cNvPr id="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73355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102395</xdr:rowOff>
    </xdr:to>
    <xdr:sp macro="" textlink="">
      <xdr:nvSpPr>
        <xdr:cNvPr id="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733550"/>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45246</xdr:rowOff>
    </xdr:to>
    <xdr:sp macro="" textlink="">
      <xdr:nvSpPr>
        <xdr:cNvPr id="62" name="AutoShape 5" descr="Refresh">
          <a:hlinkClick xmlns:r="http://schemas.openxmlformats.org/officeDocument/2006/relationships" r:id="rId1"/>
        </xdr:cNvPr>
        <xdr:cNvSpPr>
          <a:spLocks noChangeAspect="1" noChangeArrowheads="1"/>
        </xdr:cNvSpPr>
      </xdr:nvSpPr>
      <xdr:spPr>
        <a:xfrm>
          <a:off x="2476500" y="0"/>
          <a:ext cx="382905" cy="1676400"/>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45246</xdr:rowOff>
    </xdr:to>
    <xdr:sp macro="" textlink="">
      <xdr:nvSpPr>
        <xdr:cNvPr id="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76400"/>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45246</xdr:rowOff>
    </xdr:to>
    <xdr:sp macro="" textlink="">
      <xdr:nvSpPr>
        <xdr:cNvPr id="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76400"/>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0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0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1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1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1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2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2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3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3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3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4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4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5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5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5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6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6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7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7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7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8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8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9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9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19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1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0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0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1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1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1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2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3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3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4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4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5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5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5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6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6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27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2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2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7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7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8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8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9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9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2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2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29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2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0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0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1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1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1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2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2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3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3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3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4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4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5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5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5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6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6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37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3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3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7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7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8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8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9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9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3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3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39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3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0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0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1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1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1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2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3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3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4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4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5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5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5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6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6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7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47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4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4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7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8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8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9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9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4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4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49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4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0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0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1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14"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1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2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2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53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421482</xdr:colOff>
      <xdr:row>0</xdr:row>
      <xdr:rowOff>180975</xdr:rowOff>
    </xdr:to>
    <xdr:sp macro="" textlink="">
      <xdr:nvSpPr>
        <xdr:cNvPr id="5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8580"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3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3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4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4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5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5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5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6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6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7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57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7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8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8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5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9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9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5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5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59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5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0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0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10"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1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1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2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3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3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4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4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5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5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58"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62"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421482</xdr:colOff>
      <xdr:row>11</xdr:row>
      <xdr:rowOff>35721</xdr:rowOff>
    </xdr:to>
    <xdr:sp macro="" textlink="">
      <xdr:nvSpPr>
        <xdr:cNvPr id="666" name="AutoShape 5" descr="Refresh">
          <a:hlinkClick xmlns:r="http://schemas.openxmlformats.org/officeDocument/2006/relationships" r:id="rId1"/>
        </xdr:cNvPr>
        <xdr:cNvSpPr>
          <a:spLocks noChangeAspect="1" noChangeArrowheads="1"/>
        </xdr:cNvSpPr>
      </xdr:nvSpPr>
      <xdr:spPr>
        <a:xfrm>
          <a:off x="2476500" y="0"/>
          <a:ext cx="382905"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7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7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67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6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8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8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9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9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6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6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69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6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0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0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1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1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1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2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2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3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3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3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4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4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5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5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5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6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6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7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7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77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7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8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8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9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9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7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7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79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7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0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0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1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1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1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2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3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3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4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4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5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5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5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6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6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7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7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7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88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8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8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9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9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8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8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89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8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0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0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1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1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1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2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2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3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3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3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4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4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5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9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5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5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6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6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7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7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7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7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8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8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98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8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8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8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8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8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8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8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9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9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9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9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9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9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99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99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99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99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0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0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0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0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0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0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0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0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0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0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1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1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1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1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1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1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1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1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1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1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2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2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2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2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2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2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2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2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2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2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3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3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3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3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34"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3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3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3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38"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3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4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4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42"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4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4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4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46"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4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4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4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342900</xdr:colOff>
      <xdr:row>11</xdr:row>
      <xdr:rowOff>35721</xdr:rowOff>
    </xdr:to>
    <xdr:sp macro="" textlink="">
      <xdr:nvSpPr>
        <xdr:cNvPr id="1050" name="AutoShape 5" descr="Refresh">
          <a:hlinkClick xmlns:r="http://schemas.openxmlformats.org/officeDocument/2006/relationships" r:id="rId1"/>
        </xdr:cNvPr>
        <xdr:cNvSpPr>
          <a:spLocks noChangeAspect="1" noChangeArrowheads="1"/>
        </xdr:cNvSpPr>
      </xdr:nvSpPr>
      <xdr:spPr>
        <a:xfrm>
          <a:off x="2476500" y="0"/>
          <a:ext cx="30480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5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5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419100</xdr:colOff>
      <xdr:row>11</xdr:row>
      <xdr:rowOff>35721</xdr:rowOff>
    </xdr:to>
    <xdr:sp macro="" textlink="">
      <xdr:nvSpPr>
        <xdr:cNvPr id="105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3335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5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5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5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5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58"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59"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60"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61"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62"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63"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64"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65"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66"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67"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68"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69"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70"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71"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72"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73"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twoCellAnchor editAs="oneCell">
    <xdr:from>
      <xdr:col>4</xdr:col>
      <xdr:colOff>38100</xdr:colOff>
      <xdr:row>0</xdr:row>
      <xdr:rowOff>0</xdr:rowOff>
    </xdr:from>
    <xdr:to>
      <xdr:col>4</xdr:col>
      <xdr:colOff>416719</xdr:colOff>
      <xdr:row>11</xdr:row>
      <xdr:rowOff>35721</xdr:rowOff>
    </xdr:to>
    <xdr:sp macro="" textlink="">
      <xdr:nvSpPr>
        <xdr:cNvPr id="1074" name="AutoShape 5" descr="Refresh">
          <a:hlinkClick xmlns:r="http://schemas.openxmlformats.org/officeDocument/2006/relationships" r:id="rId1"/>
        </xdr:cNvPr>
        <xdr:cNvSpPr>
          <a:spLocks noChangeAspect="1" noChangeArrowheads="1"/>
        </xdr:cNvSpPr>
      </xdr:nvSpPr>
      <xdr:spPr>
        <a:xfrm>
          <a:off x="2476500" y="0"/>
          <a:ext cx="378460" cy="1666875"/>
        </a:xfrm>
        <a:prstGeom prst="rect">
          <a:avLst/>
        </a:prstGeom>
        <a:noFill/>
      </xdr:spPr>
    </xdr:sp>
    <xdr:clientData/>
  </xdr:twoCellAnchor>
  <xdr:twoCellAnchor editAs="oneCell">
    <xdr:from>
      <xdr:col>4</xdr:col>
      <xdr:colOff>352425</xdr:colOff>
      <xdr:row>0</xdr:row>
      <xdr:rowOff>0</xdr:rowOff>
    </xdr:from>
    <xdr:to>
      <xdr:col>4</xdr:col>
      <xdr:colOff>416719</xdr:colOff>
      <xdr:row>0</xdr:row>
      <xdr:rowOff>180975</xdr:rowOff>
    </xdr:to>
    <xdr:sp macro="" textlink="">
      <xdr:nvSpPr>
        <xdr:cNvPr id="1075" name="AutoShape 6" descr="https://icms.indianrail.gov.in/icmscss/images/clear_img.jpg">
          <a:hlinkClick xmlns:r="http://schemas.openxmlformats.org/officeDocument/2006/relationships" r:id="rId2"/>
        </xdr:cNvPr>
        <xdr:cNvSpPr>
          <a:spLocks noChangeAspect="1" noChangeArrowheads="1"/>
        </xdr:cNvSpPr>
      </xdr:nvSpPr>
      <xdr:spPr>
        <a:xfrm>
          <a:off x="2790825" y="0"/>
          <a:ext cx="64135" cy="180975"/>
        </a:xfrm>
        <a:prstGeom prst="rect">
          <a:avLst/>
        </a:prstGeom>
        <a:noFill/>
      </xdr:spPr>
    </xdr:sp>
    <xdr:clientData/>
  </xdr:twoCellAnchor>
  <xdr:twoCellAnchor editAs="oneCell">
    <xdr:from>
      <xdr:col>4</xdr:col>
      <xdr:colOff>581025</xdr:colOff>
      <xdr:row>0</xdr:row>
      <xdr:rowOff>0</xdr:rowOff>
    </xdr:from>
    <xdr:to>
      <xdr:col>4</xdr:col>
      <xdr:colOff>583406</xdr:colOff>
      <xdr:row>11</xdr:row>
      <xdr:rowOff>35721</xdr:rowOff>
    </xdr:to>
    <xdr:sp macro="" textlink="">
      <xdr:nvSpPr>
        <xdr:cNvPr id="1076" name="AutoShape 7" descr="https://icms.indianrail.gov.in/icmscss/images/back_to_top.png">
          <a:hlinkClick xmlns:r="http://schemas.openxmlformats.org/officeDocument/2006/relationships" r:id="rId3"/>
        </xdr:cNvPr>
        <xdr:cNvSpPr>
          <a:spLocks noChangeAspect="1" noChangeArrowheads="1"/>
        </xdr:cNvSpPr>
      </xdr:nvSpPr>
      <xdr:spPr>
        <a:xfrm>
          <a:off x="3019425" y="0"/>
          <a:ext cx="1905" cy="1666875"/>
        </a:xfrm>
        <a:prstGeom prst="rect">
          <a:avLst/>
        </a:prstGeom>
        <a:noFill/>
      </xdr:spPr>
    </xdr:sp>
    <xdr:clientData/>
  </xdr:twoCellAnchor>
  <xdr:twoCellAnchor editAs="oneCell">
    <xdr:from>
      <xdr:col>5</xdr:col>
      <xdr:colOff>285750</xdr:colOff>
      <xdr:row>0</xdr:row>
      <xdr:rowOff>0</xdr:rowOff>
    </xdr:from>
    <xdr:to>
      <xdr:col>5</xdr:col>
      <xdr:colOff>414338</xdr:colOff>
      <xdr:row>11</xdr:row>
      <xdr:rowOff>35721</xdr:rowOff>
    </xdr:to>
    <xdr:sp macro="" textlink="">
      <xdr:nvSpPr>
        <xdr:cNvPr id="1077" name="AutoShape 8" descr="https://icms.indianrail.gov.in/icmscss/images/back_to_bottom.png">
          <a:hlinkClick xmlns:r="http://schemas.openxmlformats.org/officeDocument/2006/relationships" r:id="rId4"/>
        </xdr:cNvPr>
        <xdr:cNvSpPr>
          <a:spLocks noChangeAspect="1" noChangeArrowheads="1"/>
        </xdr:cNvSpPr>
      </xdr:nvSpPr>
      <xdr:spPr>
        <a:xfrm>
          <a:off x="3333750" y="0"/>
          <a:ext cx="128270" cy="1666875"/>
        </a:xfrm>
        <a:prstGeom prst="rect">
          <a:avLst/>
        </a:prstGeom>
        <a:noFill/>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0</xdr:row>
      <xdr:rowOff>190500</xdr:rowOff>
    </xdr:to>
    <xdr:sp macro="" textlink="">
      <xdr:nvSpPr>
        <xdr:cNvPr id="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50"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58"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66"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9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3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7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86"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94"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3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402"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5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49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22"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30"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38"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7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5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58"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66"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74"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69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3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7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794"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7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02"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10" name="AutoShape 5" descr="Refresh">
          <a:hlinkClick xmlns:r="http://schemas.openxmlformats.org/officeDocument/2006/relationships" r:id="rId1"/>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190499</xdr:rowOff>
    </xdr:to>
    <xdr:sp macro="" textlink="">
      <xdr:nvSpPr>
        <xdr:cNvPr id="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8986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5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89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3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9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0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1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2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3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3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4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5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6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7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190500</xdr:rowOff>
    </xdr:to>
    <xdr:sp macro="" textlink="">
      <xdr:nvSpPr>
        <xdr:cNvPr id="1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2"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0"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89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1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1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19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1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18"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6"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4" name="AutoShape 5" descr="Refresh">
          <a:hlinkClick xmlns:r="http://schemas.openxmlformats.org/officeDocument/2006/relationships" r:id="rId1"/>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494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5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7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09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1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4"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38"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2"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28575</xdr:colOff>
      <xdr:row>0</xdr:row>
      <xdr:rowOff>190500</xdr:rowOff>
    </xdr:to>
    <xdr:sp macro="" textlink="">
      <xdr:nvSpPr>
        <xdr:cNvPr id="2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6"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50" name="AutoShape 5" descr="Refresh">
          <a:hlinkClick xmlns:r="http://schemas.openxmlformats.org/officeDocument/2006/relationships" r:id="rId1"/>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190500</xdr:rowOff>
    </xdr:to>
    <xdr:sp macro="" textlink="">
      <xdr:nvSpPr>
        <xdr:cNvPr id="2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90500"/>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190500</xdr:rowOff>
    </xdr:to>
    <xdr:sp macro="" textlink="">
      <xdr:nvSpPr>
        <xdr:cNvPr id="2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190500</xdr:rowOff>
    </xdr:to>
    <xdr:sp macro="" textlink="">
      <xdr:nvSpPr>
        <xdr:cNvPr id="2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9050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2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0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1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1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4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3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4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5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7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8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9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6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1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1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2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8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4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5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6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2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2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2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2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2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2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0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4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4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5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6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8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3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3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3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3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3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0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4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4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5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6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7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69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69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70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2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3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4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8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6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7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7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4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4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4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4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4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4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09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0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1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5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4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6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8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5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5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5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5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5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0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2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4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6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6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0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1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2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4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5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5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8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6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7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6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8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6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9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6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6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6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5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0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14"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22"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3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2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3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4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50"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58"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66" name="AutoShape 5" descr="Refresh">
          <a:hlinkClick xmlns:r="http://schemas.openxmlformats.org/officeDocument/2006/relationships" r:id="rId1"/>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161924</xdr:rowOff>
    </xdr:to>
    <xdr:sp macro="" textlink="">
      <xdr:nvSpPr>
        <xdr:cNvPr id="7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29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29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0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1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6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7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7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8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4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4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2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6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6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5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6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6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6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6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6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6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7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7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7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7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7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79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7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7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7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7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8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8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8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8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8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8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8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8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8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9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3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9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79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9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79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79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79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79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0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0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0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6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0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0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0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0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0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0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1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1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1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1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1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1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1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0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1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2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1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2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2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2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2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2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2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2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3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3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3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3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104775</xdr:colOff>
      <xdr:row>0</xdr:row>
      <xdr:rowOff>161925</xdr:rowOff>
    </xdr:to>
    <xdr:sp macro="" textlink="">
      <xdr:nvSpPr>
        <xdr:cNvPr id="83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047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38"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3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46"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3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5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3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3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3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3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3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3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3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3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4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4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4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74"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82"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4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90" name="AutoShape 5" descr="Refresh">
          <a:hlinkClick xmlns:r="http://schemas.openxmlformats.org/officeDocument/2006/relationships" r:id="rId1"/>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166687</xdr:rowOff>
    </xdr:to>
    <xdr:sp macro="" textlink="">
      <xdr:nvSpPr>
        <xdr:cNvPr id="84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6370"/>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4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4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4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5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1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1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1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1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1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2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2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2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528"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2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3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3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36"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3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3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4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4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4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4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5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552"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5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5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5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60"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6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6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6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6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7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2"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7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576"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7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7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0"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8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84"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8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8"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8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0"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91"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592"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3"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4"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95"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6"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7"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598"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599"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28575</xdr:colOff>
      <xdr:row>0</xdr:row>
      <xdr:rowOff>161925</xdr:rowOff>
    </xdr:to>
    <xdr:sp macro="" textlink="">
      <xdr:nvSpPr>
        <xdr:cNvPr id="8600" name="AutoShape 7" descr="https://icms.indianrail.gov.in/icmscss/images/back_to_top.png">
          <a:hlinkClick xmlns:r="http://schemas.openxmlformats.org/officeDocument/2006/relationships" r:id="rId3"/>
        </xdr:cNvPr>
        <xdr:cNvSpPr>
          <a:spLocks noChangeAspect="1" noChangeArrowheads="1"/>
        </xdr:cNvSpPr>
      </xdr:nvSpPr>
      <xdr:spPr>
        <a:xfrm>
          <a:off x="0" y="0"/>
          <a:ext cx="285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1"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2"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603"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4" name="AutoShape 7" descr="https://icms.indianrail.gov.in/icmscss/images/back_to_top.png">
          <a:hlinkClick xmlns:r="http://schemas.openxmlformats.org/officeDocument/2006/relationships" r:id="rId3"/>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5"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6" name="AutoShape 5" descr="Refresh">
          <a:hlinkClick xmlns:r="http://schemas.openxmlformats.org/officeDocument/2006/relationships" r:id="rId1"/>
        </xdr:cNvPr>
        <xdr:cNvSpPr>
          <a:spLocks noChangeAspect="1" noChangeArrowheads="1"/>
        </xdr:cNvSpPr>
      </xdr:nvSpPr>
      <xdr:spPr>
        <a:xfrm>
          <a:off x="0" y="0"/>
          <a:ext cx="304800" cy="161925"/>
        </a:xfrm>
        <a:prstGeom prst="rect">
          <a:avLst/>
        </a:prstGeom>
        <a:noFill/>
      </xdr:spPr>
    </xdr:sp>
    <xdr:clientData/>
  </xdr:twoCellAnchor>
  <xdr:twoCellAnchor editAs="oneCell">
    <xdr:from>
      <xdr:col>0</xdr:col>
      <xdr:colOff>0</xdr:colOff>
      <xdr:row>0</xdr:row>
      <xdr:rowOff>0</xdr:rowOff>
    </xdr:from>
    <xdr:to>
      <xdr:col>0</xdr:col>
      <xdr:colOff>219075</xdr:colOff>
      <xdr:row>0</xdr:row>
      <xdr:rowOff>161925</xdr:rowOff>
    </xdr:to>
    <xdr:sp macro="" textlink="">
      <xdr:nvSpPr>
        <xdr:cNvPr id="8607" name="AutoShape 6" descr="https://icms.indianrail.gov.in/icmscss/images/clear_img.jpg">
          <a:hlinkClick xmlns:r="http://schemas.openxmlformats.org/officeDocument/2006/relationships" r:id="rId2"/>
        </xdr:cNvPr>
        <xdr:cNvSpPr>
          <a:spLocks noChangeAspect="1" noChangeArrowheads="1"/>
        </xdr:cNvSpPr>
      </xdr:nvSpPr>
      <xdr:spPr>
        <a:xfrm>
          <a:off x="0" y="0"/>
          <a:ext cx="219075" cy="161925"/>
        </a:xfrm>
        <a:prstGeom prst="rect">
          <a:avLst/>
        </a:prstGeom>
        <a:noFill/>
      </xdr:spPr>
    </xdr:sp>
    <xdr:clientData/>
  </xdr:twoCellAnchor>
  <xdr:twoCellAnchor editAs="oneCell">
    <xdr:from>
      <xdr:col>0</xdr:col>
      <xdr:colOff>0</xdr:colOff>
      <xdr:row>0</xdr:row>
      <xdr:rowOff>0</xdr:rowOff>
    </xdr:from>
    <xdr:to>
      <xdr:col>1</xdr:col>
      <xdr:colOff>609600</xdr:colOff>
      <xdr:row>0</xdr:row>
      <xdr:rowOff>161925</xdr:rowOff>
    </xdr:to>
    <xdr:sp macro="" textlink="">
      <xdr:nvSpPr>
        <xdr:cNvPr id="8608" name="AutoShape 7" descr="https://icms.indianrail.gov.in/icmscss/images/back_to_top.png">
          <a:hlinkClick xmlns:r="http://schemas.openxmlformats.org/officeDocument/2006/relationships" r:id="rId3"/>
        </xdr:cNvPr>
        <xdr:cNvSpPr>
          <a:spLocks noChangeAspect="1" noChangeArrowheads="1"/>
        </xdr:cNvSpPr>
      </xdr:nvSpPr>
      <xdr:spPr>
        <a:xfrm>
          <a:off x="0" y="0"/>
          <a:ext cx="1666875" cy="161925"/>
        </a:xfrm>
        <a:prstGeom prst="rect">
          <a:avLst/>
        </a:prstGeom>
        <a:noFill/>
      </xdr:spPr>
    </xdr:sp>
    <xdr:clientData/>
  </xdr:twoCellAnchor>
  <xdr:twoCellAnchor editAs="oneCell">
    <xdr:from>
      <xdr:col>0</xdr:col>
      <xdr:colOff>0</xdr:colOff>
      <xdr:row>0</xdr:row>
      <xdr:rowOff>0</xdr:rowOff>
    </xdr:from>
    <xdr:to>
      <xdr:col>0</xdr:col>
      <xdr:colOff>304800</xdr:colOff>
      <xdr:row>0</xdr:row>
      <xdr:rowOff>161925</xdr:rowOff>
    </xdr:to>
    <xdr:sp macro="" textlink="">
      <xdr:nvSpPr>
        <xdr:cNvPr id="8609" name="AutoShape 8" descr="https://icms.indianrail.gov.in/icmscss/images/back_to_bottom.png">
          <a:hlinkClick xmlns:r="http://schemas.openxmlformats.org/officeDocument/2006/relationships" r:id="rId4"/>
        </xdr:cNvPr>
        <xdr:cNvSpPr>
          <a:spLocks noChangeAspect="1" noChangeArrowheads="1"/>
        </xdr:cNvSpPr>
      </xdr:nvSpPr>
      <xdr:spPr>
        <a:xfrm>
          <a:off x="0" y="0"/>
          <a:ext cx="304800" cy="161925"/>
        </a:xfrm>
        <a:prstGeom prst="rect">
          <a:avLst/>
        </a:prstGeom>
        <a:noFill/>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javascript:showAFIDDetail('5370693')" TargetMode="External"/><Relationship Id="rId13" Type="http://schemas.openxmlformats.org/officeDocument/2006/relationships/hyperlink" Target="javascript:showAFIDDetail('5370689')" TargetMode="External"/><Relationship Id="rId18" Type="http://schemas.openxmlformats.org/officeDocument/2006/relationships/hyperlink" Target="javascript:showAFIDDetail('5370665')" TargetMode="External"/><Relationship Id="rId26" Type="http://schemas.openxmlformats.org/officeDocument/2006/relationships/hyperlink" Target="javascript:showAFIDDetail('5370684')" TargetMode="External"/><Relationship Id="rId3" Type="http://schemas.openxmlformats.org/officeDocument/2006/relationships/hyperlink" Target="javascript:showAFIDDetail('5369497')" TargetMode="External"/><Relationship Id="rId21" Type="http://schemas.openxmlformats.org/officeDocument/2006/relationships/hyperlink" Target="javascript:showAFIDDetail('5370639')" TargetMode="External"/><Relationship Id="rId34" Type="http://schemas.openxmlformats.org/officeDocument/2006/relationships/drawing" Target="../drawings/drawing1.xml"/><Relationship Id="rId7" Type="http://schemas.openxmlformats.org/officeDocument/2006/relationships/hyperlink" Target="javascript:showAFIDDetail('5369602')" TargetMode="External"/><Relationship Id="rId12" Type="http://schemas.openxmlformats.org/officeDocument/2006/relationships/hyperlink" Target="javascript:showAFIDDetail('5370381')" TargetMode="External"/><Relationship Id="rId17" Type="http://schemas.openxmlformats.org/officeDocument/2006/relationships/hyperlink" Target="javascript:showAFIDDetail('5370107')" TargetMode="External"/><Relationship Id="rId25" Type="http://schemas.openxmlformats.org/officeDocument/2006/relationships/hyperlink" Target="javascript:showAFIDDetail('5370312')" TargetMode="External"/><Relationship Id="rId33" Type="http://schemas.openxmlformats.org/officeDocument/2006/relationships/printerSettings" Target="../printerSettings/printerSettings3.bin"/><Relationship Id="rId2" Type="http://schemas.openxmlformats.org/officeDocument/2006/relationships/hyperlink" Target="javascript:showAFIDDetail('5370297')" TargetMode="External"/><Relationship Id="rId16" Type="http://schemas.openxmlformats.org/officeDocument/2006/relationships/hyperlink" Target="javascript:showAFIDDetail('5369968')" TargetMode="External"/><Relationship Id="rId20" Type="http://schemas.openxmlformats.org/officeDocument/2006/relationships/hyperlink" Target="javascript:showAFIDDetail('5369442')" TargetMode="External"/><Relationship Id="rId29" Type="http://schemas.openxmlformats.org/officeDocument/2006/relationships/hyperlink" Target="javascript:showAFIDDetail('5370323')" TargetMode="External"/><Relationship Id="rId1" Type="http://schemas.openxmlformats.org/officeDocument/2006/relationships/hyperlink" Target="javascript:showAFIDDetail('5369451')" TargetMode="External"/><Relationship Id="rId6" Type="http://schemas.openxmlformats.org/officeDocument/2006/relationships/hyperlink" Target="javascript:showAFIDDetail('5369601')" TargetMode="External"/><Relationship Id="rId11" Type="http://schemas.openxmlformats.org/officeDocument/2006/relationships/hyperlink" Target="javascript:showAFIDDetail('5370366')" TargetMode="External"/><Relationship Id="rId24" Type="http://schemas.openxmlformats.org/officeDocument/2006/relationships/hyperlink" Target="javascript:showAFIDDetail('5369973')" TargetMode="External"/><Relationship Id="rId32" Type="http://schemas.openxmlformats.org/officeDocument/2006/relationships/hyperlink" Target="javascript:showAFIDDetail('5369595')" TargetMode="External"/><Relationship Id="rId5" Type="http://schemas.openxmlformats.org/officeDocument/2006/relationships/hyperlink" Target="javascript:showAFIDDetail('5369598')" TargetMode="External"/><Relationship Id="rId15" Type="http://schemas.openxmlformats.org/officeDocument/2006/relationships/hyperlink" Target="javascript:showAFIDDetail('5369966')" TargetMode="External"/><Relationship Id="rId23" Type="http://schemas.openxmlformats.org/officeDocument/2006/relationships/hyperlink" Target="javascript:showAFIDDetail('5369590')" TargetMode="External"/><Relationship Id="rId28" Type="http://schemas.openxmlformats.org/officeDocument/2006/relationships/hyperlink" Target="javascript:showAFIDDetail('5370102')" TargetMode="External"/><Relationship Id="rId10" Type="http://schemas.openxmlformats.org/officeDocument/2006/relationships/hyperlink" Target="javascript:showAFIDDetail('5370651')" TargetMode="External"/><Relationship Id="rId19" Type="http://schemas.openxmlformats.org/officeDocument/2006/relationships/hyperlink" Target="javascript:showAFIDDetail('5370659')" TargetMode="External"/><Relationship Id="rId31" Type="http://schemas.openxmlformats.org/officeDocument/2006/relationships/hyperlink" Target="javascript:showAFIDDetail('5370333')" TargetMode="External"/><Relationship Id="rId4" Type="http://schemas.openxmlformats.org/officeDocument/2006/relationships/hyperlink" Target="javascript:showAFIDDetail('5369970')" TargetMode="External"/><Relationship Id="rId9" Type="http://schemas.openxmlformats.org/officeDocument/2006/relationships/hyperlink" Target="javascript:showAFIDDetail('5370359')" TargetMode="External"/><Relationship Id="rId14" Type="http://schemas.openxmlformats.org/officeDocument/2006/relationships/hyperlink" Target="javascript:showAFIDDetail('5369440')" TargetMode="External"/><Relationship Id="rId22" Type="http://schemas.openxmlformats.org/officeDocument/2006/relationships/hyperlink" Target="javascript:showAFIDDetail('5369525')" TargetMode="External"/><Relationship Id="rId27" Type="http://schemas.openxmlformats.org/officeDocument/2006/relationships/hyperlink" Target="javascript:showAFIDDetail('5370327')" TargetMode="External"/><Relationship Id="rId30" Type="http://schemas.openxmlformats.org/officeDocument/2006/relationships/hyperlink" Target="javascript:showAFIDDetail('537031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javascript:drillDown('TSR','','RPT','DV','SDAH')" TargetMode="External"/><Relationship Id="rId13" Type="http://schemas.openxmlformats.org/officeDocument/2006/relationships/drawing" Target="../drawings/drawing2.xml"/><Relationship Id="rId3" Type="http://schemas.openxmlformats.org/officeDocument/2006/relationships/hyperlink" Target="javascript:drillDown('RTIS','RTIS','RPT','DV','SDAH')" TargetMode="External"/><Relationship Id="rId7" Type="http://schemas.openxmlformats.org/officeDocument/2006/relationships/hyperlink" Target="javascript:drillDown('TOTAL_AUTOMATIC','','RPT','DV','SDAH')" TargetMode="External"/><Relationship Id="rId12" Type="http://schemas.openxmlformats.org/officeDocument/2006/relationships/printerSettings" Target="../printerSettings/printerSettings4.bin"/><Relationship Id="rId2" Type="http://schemas.openxmlformats.org/officeDocument/2006/relationships/hyperlink" Target="javascript:drillDown('ALL','RTIS','ACT','DV','SDAH')" TargetMode="External"/><Relationship Id="rId1" Type="http://schemas.openxmlformats.org/officeDocument/2006/relationships/hyperlink" Target="javascript:drillDown('ALL','ALL','RPT','DV','SDAH')" TargetMode="External"/><Relationship Id="rId6" Type="http://schemas.openxmlformats.org/officeDocument/2006/relationships/hyperlink" Target="javascript:drillDown('DATA_LOGGER','','RPT','DV','SDAH')" TargetMode="External"/><Relationship Id="rId11" Type="http://schemas.openxmlformats.org/officeDocument/2006/relationships/hyperlink" Target="javascript:drillDown('TOTAL_MANUAL','','RPT','DV','SDAH')" TargetMode="External"/><Relationship Id="rId5" Type="http://schemas.openxmlformats.org/officeDocument/2006/relationships/hyperlink" Target="javascript:drillDown('RMLT','RMLT','RPT','DV','SDAH')" TargetMode="External"/><Relationship Id="rId10" Type="http://schemas.openxmlformats.org/officeDocument/2006/relationships/hyperlink" Target="javascript:drillDown('PAMUSER','','RPT','DV','SDAH')" TargetMode="External"/><Relationship Id="rId4" Type="http://schemas.openxmlformats.org/officeDocument/2006/relationships/hyperlink" Target="javascript:drillDown('ALL','RMLT','ACT','DV','SDAH')" TargetMode="External"/><Relationship Id="rId9" Type="http://schemas.openxmlformats.org/officeDocument/2006/relationships/hyperlink" Target="javascript:drillDown('CONTROLLER','','RPT','DV','SDAH')"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icms.indianrail.gov.in/reports/javascript:showAFIDDetail('5369968')" TargetMode="External"/><Relationship Id="rId7" Type="http://schemas.openxmlformats.org/officeDocument/2006/relationships/drawing" Target="../drawings/drawing3.xml"/><Relationship Id="rId2" Type="http://schemas.openxmlformats.org/officeDocument/2006/relationships/hyperlink" Target="https://icms.indianrail.gov.in/reports/javascript:showAFIDDetail('5369966')" TargetMode="External"/><Relationship Id="rId1" Type="http://schemas.openxmlformats.org/officeDocument/2006/relationships/hyperlink" Target="https://icms.indianrail.gov.in/reports/javascript:showAFIDDetail('5369440')" TargetMode="External"/><Relationship Id="rId6" Type="http://schemas.openxmlformats.org/officeDocument/2006/relationships/hyperlink" Target="https://icms.indianrail.gov.in/reports/javascript:showAFIDDetail('5370659')" TargetMode="External"/><Relationship Id="rId5" Type="http://schemas.openxmlformats.org/officeDocument/2006/relationships/hyperlink" Target="https://icms.indianrail.gov.in/reports/javascript:showAFIDDetail('5370665')" TargetMode="External"/><Relationship Id="rId4" Type="http://schemas.openxmlformats.org/officeDocument/2006/relationships/hyperlink" Target="https://icms.indianrail.gov.in/reports/javascript:showAFIDDetail('5370107')"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icms.indianrail.gov.in/reports/javascript:showAFIDDetail('5357911')" TargetMode="External"/></Relationships>
</file>

<file path=xl/worksheets/sheet1.xml><?xml version="1.0" encoding="utf-8"?>
<worksheet xmlns="http://schemas.openxmlformats.org/spreadsheetml/2006/main" xmlns:r="http://schemas.openxmlformats.org/officeDocument/2006/relationships">
  <dimension ref="A1:N11"/>
  <sheetViews>
    <sheetView tabSelected="1" workbookViewId="0">
      <selection activeCell="G6" sqref="G6"/>
    </sheetView>
  </sheetViews>
  <sheetFormatPr defaultRowHeight="15"/>
  <cols>
    <col min="1" max="1" width="16.5703125" style="7" customWidth="1"/>
    <col min="2" max="2" width="9.28515625" customWidth="1"/>
    <col min="3" max="4" width="8.85546875" customWidth="1"/>
    <col min="5" max="5" width="11" customWidth="1"/>
    <col min="6" max="6" width="10.140625" customWidth="1"/>
    <col min="7" max="7" width="19.85546875" customWidth="1"/>
    <col min="8" max="8" width="10.85546875" customWidth="1"/>
    <col min="9" max="9" width="10.5703125" customWidth="1"/>
    <col min="10" max="10" width="10.42578125" customWidth="1"/>
    <col min="11" max="11" width="11" customWidth="1"/>
    <col min="12" max="12" width="10.85546875" customWidth="1"/>
    <col min="13" max="13" width="18.140625" customWidth="1"/>
    <col min="14" max="14" width="1" style="8" hidden="1" customWidth="1"/>
    <col min="15" max="15" width="13.5703125" customWidth="1"/>
    <col min="16" max="16" width="11.28515625" customWidth="1"/>
    <col min="17" max="17" width="8.5703125" customWidth="1"/>
    <col min="18" max="18" width="12.7109375" customWidth="1"/>
    <col min="19" max="19" width="11.28515625" customWidth="1"/>
    <col min="20" max="20" width="10.140625" customWidth="1"/>
    <col min="21" max="21" width="11.140625" customWidth="1"/>
    <col min="22" max="22" width="10.28515625" customWidth="1"/>
    <col min="23" max="23" width="12" customWidth="1"/>
    <col min="24" max="24" width="13.85546875" customWidth="1"/>
    <col min="25" max="25" width="12.7109375" customWidth="1"/>
  </cols>
  <sheetData>
    <row r="1" spans="1:13" ht="25.5">
      <c r="A1" s="221"/>
      <c r="B1" s="222"/>
      <c r="C1" s="222"/>
      <c r="D1" s="222"/>
      <c r="E1" s="222"/>
      <c r="F1" s="222"/>
      <c r="G1" s="222"/>
      <c r="H1" s="222"/>
      <c r="I1" s="222"/>
      <c r="J1" s="222"/>
      <c r="K1" s="222"/>
      <c r="L1" s="222"/>
      <c r="M1" s="223"/>
    </row>
    <row r="2" spans="1:13" ht="25.5">
      <c r="A2" s="224" t="s">
        <v>394</v>
      </c>
      <c r="B2" s="225"/>
      <c r="C2" s="225"/>
      <c r="D2" s="225"/>
      <c r="E2" s="225"/>
      <c r="F2" s="225"/>
      <c r="G2" s="225"/>
      <c r="H2" s="225"/>
      <c r="I2" s="225"/>
      <c r="J2" s="225"/>
      <c r="K2" s="225"/>
      <c r="L2" s="225"/>
      <c r="M2" s="226"/>
    </row>
    <row r="3" spans="1:13" ht="57">
      <c r="A3" s="185"/>
      <c r="B3" s="186"/>
      <c r="C3" s="186"/>
      <c r="D3" s="186"/>
      <c r="E3" s="186"/>
      <c r="F3" s="186"/>
      <c r="G3" s="187" t="s">
        <v>395</v>
      </c>
      <c r="H3" s="188"/>
      <c r="I3" s="189" t="s">
        <v>228</v>
      </c>
      <c r="J3" s="190"/>
      <c r="K3" s="191" t="s">
        <v>396</v>
      </c>
      <c r="L3" s="192"/>
      <c r="M3" s="193"/>
    </row>
    <row r="4" spans="1:13" ht="78.75">
      <c r="A4" s="194" t="s">
        <v>0</v>
      </c>
      <c r="B4" s="195" t="s">
        <v>1</v>
      </c>
      <c r="C4" s="195" t="s">
        <v>2</v>
      </c>
      <c r="D4" s="195" t="s">
        <v>3</v>
      </c>
      <c r="E4" s="195" t="s">
        <v>4</v>
      </c>
      <c r="F4" s="196" t="s">
        <v>5</v>
      </c>
      <c r="G4" s="195" t="s">
        <v>6</v>
      </c>
      <c r="H4" s="195" t="s">
        <v>7</v>
      </c>
      <c r="I4" s="197" t="s">
        <v>8</v>
      </c>
      <c r="J4" s="197" t="s">
        <v>9</v>
      </c>
      <c r="K4" s="198" t="s">
        <v>8</v>
      </c>
      <c r="L4" s="198" t="s">
        <v>10</v>
      </c>
      <c r="M4" s="199"/>
    </row>
    <row r="5" spans="1:13" ht="75">
      <c r="A5" s="194" t="s">
        <v>11</v>
      </c>
      <c r="B5" s="159">
        <v>24</v>
      </c>
      <c r="C5" s="160">
        <v>0</v>
      </c>
      <c r="D5" s="160">
        <v>0</v>
      </c>
      <c r="E5" s="161">
        <f t="shared" ref="E5:E10" si="0">B5-(C5+D5)</f>
        <v>24</v>
      </c>
      <c r="F5" s="159">
        <v>0</v>
      </c>
      <c r="G5" s="200">
        <v>1.5</v>
      </c>
      <c r="H5" s="201">
        <v>15</v>
      </c>
      <c r="I5" s="162">
        <v>2</v>
      </c>
      <c r="J5" s="202">
        <v>12</v>
      </c>
      <c r="K5" s="162">
        <v>0</v>
      </c>
      <c r="L5" s="202">
        <v>0</v>
      </c>
      <c r="M5" s="203" t="s">
        <v>239</v>
      </c>
    </row>
    <row r="6" spans="1:13" ht="141.75">
      <c r="A6" s="204" t="s">
        <v>12</v>
      </c>
      <c r="B6" s="159">
        <v>154</v>
      </c>
      <c r="C6" s="160">
        <v>0</v>
      </c>
      <c r="D6" s="160">
        <v>0</v>
      </c>
      <c r="E6" s="161">
        <f t="shared" si="0"/>
        <v>154</v>
      </c>
      <c r="F6" s="205">
        <v>0</v>
      </c>
      <c r="G6" s="206" t="s">
        <v>229</v>
      </c>
      <c r="H6" s="200">
        <v>13.6</v>
      </c>
      <c r="I6" s="162">
        <v>4</v>
      </c>
      <c r="J6" s="202">
        <v>16.3</v>
      </c>
      <c r="K6" s="162">
        <v>12</v>
      </c>
      <c r="L6" s="202">
        <v>15.1</v>
      </c>
      <c r="M6" s="203" t="s">
        <v>397</v>
      </c>
    </row>
    <row r="7" spans="1:13" ht="75">
      <c r="A7" s="207" t="s">
        <v>13</v>
      </c>
      <c r="B7" s="159">
        <v>142</v>
      </c>
      <c r="C7" s="160">
        <v>0</v>
      </c>
      <c r="D7" s="160">
        <v>0</v>
      </c>
      <c r="E7" s="161">
        <f t="shared" si="0"/>
        <v>142</v>
      </c>
      <c r="F7" s="205">
        <v>0</v>
      </c>
      <c r="G7" s="206" t="s">
        <v>398</v>
      </c>
      <c r="H7" s="200">
        <v>15</v>
      </c>
      <c r="I7" s="162">
        <v>6</v>
      </c>
      <c r="J7" s="208" t="s">
        <v>230</v>
      </c>
      <c r="K7" s="162">
        <v>1</v>
      </c>
      <c r="L7" s="208" t="s">
        <v>399</v>
      </c>
      <c r="M7" s="209" t="s">
        <v>400</v>
      </c>
    </row>
    <row r="8" spans="1:13" ht="75">
      <c r="A8" s="210" t="s">
        <v>14</v>
      </c>
      <c r="B8" s="159">
        <v>225</v>
      </c>
      <c r="C8" s="160">
        <v>0</v>
      </c>
      <c r="D8" s="160">
        <v>0</v>
      </c>
      <c r="E8" s="161">
        <f t="shared" si="0"/>
        <v>225</v>
      </c>
      <c r="F8" s="211">
        <v>0</v>
      </c>
      <c r="G8" s="212" t="s">
        <v>401</v>
      </c>
      <c r="H8" s="213">
        <v>18.899999999999999</v>
      </c>
      <c r="I8" s="162">
        <v>15</v>
      </c>
      <c r="J8" s="214">
        <v>14</v>
      </c>
      <c r="K8" s="162">
        <v>4</v>
      </c>
      <c r="L8" s="214">
        <v>16.3</v>
      </c>
      <c r="M8" s="209" t="s">
        <v>402</v>
      </c>
    </row>
    <row r="9" spans="1:13" ht="81">
      <c r="A9" s="215" t="s">
        <v>15</v>
      </c>
      <c r="B9" s="168">
        <v>134</v>
      </c>
      <c r="C9" s="160">
        <v>0</v>
      </c>
      <c r="D9" s="160">
        <v>0</v>
      </c>
      <c r="E9" s="161">
        <f t="shared" si="0"/>
        <v>134</v>
      </c>
      <c r="F9" s="205">
        <v>0</v>
      </c>
      <c r="G9" s="200">
        <v>8.5</v>
      </c>
      <c r="H9" s="200">
        <v>18.5</v>
      </c>
      <c r="I9" s="162">
        <v>8</v>
      </c>
      <c r="J9" s="216">
        <v>15.1</v>
      </c>
      <c r="K9" s="162">
        <v>4</v>
      </c>
      <c r="L9" s="216">
        <v>17.8</v>
      </c>
      <c r="M9" s="209" t="s">
        <v>403</v>
      </c>
    </row>
    <row r="10" spans="1:13" ht="101.25">
      <c r="A10" s="11" t="s">
        <v>16</v>
      </c>
      <c r="B10" s="12">
        <v>146</v>
      </c>
      <c r="C10" s="160">
        <v>0</v>
      </c>
      <c r="D10" s="160">
        <v>0</v>
      </c>
      <c r="E10" s="13">
        <f t="shared" si="0"/>
        <v>146</v>
      </c>
      <c r="F10" s="14">
        <v>0</v>
      </c>
      <c r="G10" s="15" t="s">
        <v>404</v>
      </c>
      <c r="H10" s="16">
        <v>15.2</v>
      </c>
      <c r="I10" s="17">
        <v>11</v>
      </c>
      <c r="J10" s="18">
        <v>16.3</v>
      </c>
      <c r="K10" s="17">
        <v>13</v>
      </c>
      <c r="L10" s="18">
        <v>16.899999999999999</v>
      </c>
      <c r="M10" s="209" t="s">
        <v>405</v>
      </c>
    </row>
    <row r="11" spans="1:13" ht="162">
      <c r="A11" s="217" t="s">
        <v>17</v>
      </c>
      <c r="B11" s="170">
        <f>SUM(B5:B10)</f>
        <v>825</v>
      </c>
      <c r="C11" s="170">
        <f>SUM(C5:C10)</f>
        <v>0</v>
      </c>
      <c r="D11" s="170">
        <f t="shared" ref="D11" si="1">SUM(D5:D10)</f>
        <v>0</v>
      </c>
      <c r="E11" s="218">
        <f>SUM(E5:E10)</f>
        <v>825</v>
      </c>
      <c r="F11" s="218">
        <f>SUM(F5:F10)</f>
        <v>0</v>
      </c>
      <c r="G11" s="219">
        <v>54.3</v>
      </c>
      <c r="H11" s="202">
        <v>16.100000000000001</v>
      </c>
      <c r="I11" s="220">
        <f>I5+I6+I7+I8+I9+I10</f>
        <v>46</v>
      </c>
      <c r="J11" s="216">
        <v>14.543478260869565</v>
      </c>
      <c r="K11" s="220">
        <f>K5+K6+K7+K8+K9+K10</f>
        <v>34</v>
      </c>
      <c r="L11" s="216">
        <v>16.399999999999999</v>
      </c>
      <c r="M11" s="209" t="s">
        <v>406</v>
      </c>
    </row>
  </sheetData>
  <mergeCells count="2">
    <mergeCell ref="A1:M1"/>
    <mergeCell ref="A2:M2"/>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sheetPr>
    <pageSetUpPr fitToPage="1"/>
  </sheetPr>
  <dimension ref="A1:DB204"/>
  <sheetViews>
    <sheetView zoomScale="60" zoomScaleNormal="60" zoomScaleSheetLayoutView="50" workbookViewId="0">
      <selection activeCell="E18" sqref="E18"/>
    </sheetView>
  </sheetViews>
  <sheetFormatPr defaultRowHeight="12.75"/>
  <cols>
    <col min="1" max="1" width="14.140625" style="10" customWidth="1"/>
    <col min="2" max="2" width="13.85546875" style="10" customWidth="1"/>
    <col min="3" max="3" width="18.140625" style="10" customWidth="1"/>
    <col min="4" max="4" width="19.28515625" style="10" customWidth="1"/>
    <col min="5" max="5" width="255.7109375" style="26" customWidth="1"/>
    <col min="6" max="10" width="9.140625" style="10"/>
    <col min="11" max="11" width="9.5703125" style="10" bestFit="1" customWidth="1"/>
    <col min="12" max="16384" width="9.140625" style="10"/>
  </cols>
  <sheetData>
    <row r="1" spans="1:106" s="31" customFormat="1" ht="64.5" customHeight="1">
      <c r="A1" s="227" t="s">
        <v>350</v>
      </c>
      <c r="B1" s="228"/>
      <c r="C1" s="228"/>
      <c r="D1" s="228"/>
      <c r="E1" s="229"/>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32"/>
    </row>
    <row r="2" spans="1:106" s="45" customFormat="1" ht="64.5" customHeight="1">
      <c r="A2" s="172" t="s">
        <v>32</v>
      </c>
      <c r="B2" s="173" t="s">
        <v>33</v>
      </c>
      <c r="C2" s="173" t="s">
        <v>34</v>
      </c>
      <c r="D2" s="173" t="s">
        <v>35</v>
      </c>
      <c r="E2" s="174" t="s">
        <v>36</v>
      </c>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44"/>
    </row>
    <row r="3" spans="1:106" ht="73.5" customHeight="1">
      <c r="A3" s="230" t="s">
        <v>37</v>
      </c>
      <c r="B3" s="230"/>
      <c r="C3" s="230"/>
      <c r="D3" s="230"/>
      <c r="E3" s="230"/>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row>
    <row r="4" spans="1:106" ht="81.75" customHeight="1">
      <c r="A4" s="408" t="s">
        <v>351</v>
      </c>
      <c r="B4" s="408">
        <v>13185</v>
      </c>
      <c r="C4" s="409" t="s">
        <v>43</v>
      </c>
      <c r="D4" s="409" t="s">
        <v>215</v>
      </c>
      <c r="E4" s="410" t="s">
        <v>294</v>
      </c>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row>
    <row r="5" spans="1:106" ht="81.75" customHeight="1">
      <c r="A5" s="176" t="s">
        <v>352</v>
      </c>
      <c r="B5" s="176">
        <v>13188</v>
      </c>
      <c r="C5" s="176" t="s">
        <v>46</v>
      </c>
      <c r="D5" s="176" t="s">
        <v>47</v>
      </c>
      <c r="E5" s="175" t="s">
        <v>353</v>
      </c>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c r="CU5" s="27"/>
    </row>
    <row r="6" spans="1:106" ht="79.5" customHeight="1">
      <c r="A6" s="176" t="s">
        <v>352</v>
      </c>
      <c r="B6" s="176">
        <v>13147</v>
      </c>
      <c r="C6" s="176" t="s">
        <v>177</v>
      </c>
      <c r="D6" s="176" t="s">
        <v>354</v>
      </c>
      <c r="E6" s="175" t="s">
        <v>355</v>
      </c>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row>
    <row r="7" spans="1:106" ht="87.75" customHeight="1">
      <c r="A7" s="176" t="s">
        <v>352</v>
      </c>
      <c r="B7" s="176">
        <v>13121</v>
      </c>
      <c r="C7" s="176" t="s">
        <v>177</v>
      </c>
      <c r="D7" s="176" t="s">
        <v>354</v>
      </c>
      <c r="E7" s="175" t="s">
        <v>356</v>
      </c>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row>
    <row r="8" spans="1:106" ht="73.5" customHeight="1">
      <c r="A8" s="411" t="s">
        <v>352</v>
      </c>
      <c r="B8" s="411">
        <v>12501</v>
      </c>
      <c r="C8" s="411" t="s">
        <v>43</v>
      </c>
      <c r="D8" s="411" t="s">
        <v>215</v>
      </c>
      <c r="E8" s="410" t="s">
        <v>357</v>
      </c>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row>
    <row r="9" spans="1:106" ht="83.25">
      <c r="A9" s="411" t="s">
        <v>352</v>
      </c>
      <c r="B9" s="411">
        <v>13155</v>
      </c>
      <c r="C9" s="411" t="s">
        <v>43</v>
      </c>
      <c r="D9" s="411" t="s">
        <v>215</v>
      </c>
      <c r="E9" s="410" t="s">
        <v>358</v>
      </c>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row>
    <row r="10" spans="1:106" ht="83.25">
      <c r="A10" s="411" t="s">
        <v>352</v>
      </c>
      <c r="B10" s="411">
        <v>13153</v>
      </c>
      <c r="C10" s="411" t="s">
        <v>43</v>
      </c>
      <c r="D10" s="411" t="s">
        <v>215</v>
      </c>
      <c r="E10" s="410" t="s">
        <v>359</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row>
    <row r="11" spans="1:106" ht="55.5">
      <c r="A11" s="411" t="s">
        <v>352</v>
      </c>
      <c r="B11" s="411">
        <v>13163</v>
      </c>
      <c r="C11" s="411" t="s">
        <v>43</v>
      </c>
      <c r="D11" s="411" t="s">
        <v>215</v>
      </c>
      <c r="E11" s="410" t="s">
        <v>301</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row>
    <row r="12" spans="1:106" ht="55.5">
      <c r="A12" s="411" t="s">
        <v>352</v>
      </c>
      <c r="B12" s="411">
        <v>13189</v>
      </c>
      <c r="C12" s="411" t="s">
        <v>43</v>
      </c>
      <c r="D12" s="411" t="s">
        <v>215</v>
      </c>
      <c r="E12" s="410" t="s">
        <v>360</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row>
    <row r="13" spans="1:106" ht="31.5">
      <c r="A13" s="236" t="s">
        <v>38</v>
      </c>
      <c r="B13" s="236"/>
      <c r="C13" s="236"/>
      <c r="D13" s="236"/>
      <c r="E13" s="236"/>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row>
    <row r="14" spans="1:106" ht="63">
      <c r="A14" s="412" t="s">
        <v>40</v>
      </c>
      <c r="B14" s="413">
        <v>63041</v>
      </c>
      <c r="C14" s="412" t="s">
        <v>43</v>
      </c>
      <c r="D14" s="412" t="s">
        <v>215</v>
      </c>
      <c r="E14" s="414" t="s">
        <v>361</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row>
    <row r="15" spans="1:106" ht="74.25" customHeight="1">
      <c r="A15" s="415" t="s">
        <v>352</v>
      </c>
      <c r="B15" s="416" t="s">
        <v>362</v>
      </c>
      <c r="C15" s="415" t="s">
        <v>43</v>
      </c>
      <c r="D15" s="415" t="s">
        <v>215</v>
      </c>
      <c r="E15" s="417" t="s">
        <v>363</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row>
    <row r="16" spans="1:106" ht="70.5" customHeight="1">
      <c r="A16" s="415" t="s">
        <v>352</v>
      </c>
      <c r="B16" s="416" t="s">
        <v>364</v>
      </c>
      <c r="C16" s="415" t="s">
        <v>43</v>
      </c>
      <c r="D16" s="415" t="s">
        <v>215</v>
      </c>
      <c r="E16" s="417" t="s">
        <v>365</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row>
    <row r="17" spans="1:99" ht="63">
      <c r="A17" s="173" t="s">
        <v>352</v>
      </c>
      <c r="B17" s="178">
        <v>63105</v>
      </c>
      <c r="C17" s="173" t="s">
        <v>197</v>
      </c>
      <c r="D17" s="173" t="s">
        <v>197</v>
      </c>
      <c r="E17" s="177" t="s">
        <v>366</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row>
    <row r="18" spans="1:99" ht="70.5" customHeight="1">
      <c r="A18" s="418" t="s">
        <v>352</v>
      </c>
      <c r="B18" s="419">
        <v>53180</v>
      </c>
      <c r="C18" s="418" t="s">
        <v>216</v>
      </c>
      <c r="D18" s="418" t="s">
        <v>217</v>
      </c>
      <c r="E18" s="420" t="s">
        <v>367</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row>
    <row r="19" spans="1:99" ht="31.5">
      <c r="A19" s="237" t="s">
        <v>350</v>
      </c>
      <c r="B19" s="237"/>
      <c r="C19" s="237"/>
      <c r="D19" s="237"/>
      <c r="E19" s="23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row>
    <row r="20" spans="1:99" ht="63">
      <c r="A20" s="172" t="s">
        <v>44</v>
      </c>
      <c r="B20" s="172" t="s">
        <v>8</v>
      </c>
      <c r="C20" s="173" t="s">
        <v>34</v>
      </c>
      <c r="D20" s="173" t="s">
        <v>45</v>
      </c>
      <c r="E20" s="174" t="s">
        <v>36</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row>
    <row r="21" spans="1:99" ht="45" customHeight="1">
      <c r="A21" s="238">
        <v>1</v>
      </c>
      <c r="B21" s="238">
        <v>4</v>
      </c>
      <c r="C21" s="239" t="s">
        <v>46</v>
      </c>
      <c r="D21" s="239" t="s">
        <v>47</v>
      </c>
      <c r="E21" s="179" t="s">
        <v>368</v>
      </c>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row>
    <row r="22" spans="1:99" ht="46.5" customHeight="1">
      <c r="A22" s="238"/>
      <c r="B22" s="238"/>
      <c r="C22" s="239"/>
      <c r="D22" s="239"/>
      <c r="E22" s="180" t="s">
        <v>369</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row>
    <row r="23" spans="1:99" ht="63">
      <c r="A23" s="238"/>
      <c r="B23" s="238"/>
      <c r="C23" s="239"/>
      <c r="D23" s="239"/>
      <c r="E23" s="179" t="s">
        <v>370</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row>
    <row r="24" spans="1:99" ht="50.25" customHeight="1">
      <c r="A24" s="231">
        <v>2</v>
      </c>
      <c r="B24" s="231">
        <v>4</v>
      </c>
      <c r="C24" s="233" t="s">
        <v>41</v>
      </c>
      <c r="D24" s="182" t="s">
        <v>195</v>
      </c>
      <c r="E24" s="181" t="s">
        <v>393</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row>
    <row r="25" spans="1:99" ht="63">
      <c r="A25" s="232"/>
      <c r="B25" s="232"/>
      <c r="C25" s="234"/>
      <c r="D25" s="182" t="s">
        <v>48</v>
      </c>
      <c r="E25" s="181" t="s">
        <v>371</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row>
    <row r="26" spans="1:99" ht="63">
      <c r="A26" s="401">
        <v>3</v>
      </c>
      <c r="B26" s="401">
        <v>4</v>
      </c>
      <c r="C26" s="402" t="s">
        <v>43</v>
      </c>
      <c r="D26" s="402" t="s">
        <v>227</v>
      </c>
      <c r="E26" s="403" t="s">
        <v>372</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row>
    <row r="27" spans="1:99" ht="63">
      <c r="A27" s="404"/>
      <c r="B27" s="404"/>
      <c r="C27" s="405"/>
      <c r="D27" s="405"/>
      <c r="E27" s="397" t="s">
        <v>373</v>
      </c>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row>
    <row r="28" spans="1:99" ht="63">
      <c r="A28" s="404"/>
      <c r="B28" s="404"/>
      <c r="C28" s="405"/>
      <c r="D28" s="405"/>
      <c r="E28" s="397" t="s">
        <v>374</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row>
    <row r="29" spans="1:99" ht="63">
      <c r="A29" s="406"/>
      <c r="B29" s="406"/>
      <c r="C29" s="407"/>
      <c r="D29" s="407"/>
      <c r="E29" s="397" t="s">
        <v>375</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row>
    <row r="30" spans="1:99" ht="63">
      <c r="A30" s="231">
        <v>4</v>
      </c>
      <c r="B30" s="231">
        <v>4</v>
      </c>
      <c r="C30" s="240" t="s">
        <v>376</v>
      </c>
      <c r="D30" s="176" t="s">
        <v>208</v>
      </c>
      <c r="E30" s="180" t="s">
        <v>377</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row>
    <row r="31" spans="1:99" ht="63">
      <c r="A31" s="235"/>
      <c r="B31" s="235"/>
      <c r="C31" s="241"/>
      <c r="D31" s="183" t="s">
        <v>208</v>
      </c>
      <c r="E31" s="179" t="s">
        <v>378</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row>
    <row r="32" spans="1:99" ht="63">
      <c r="A32" s="235"/>
      <c r="B32" s="235"/>
      <c r="C32" s="241"/>
      <c r="D32" s="183" t="s">
        <v>379</v>
      </c>
      <c r="E32" s="179" t="s">
        <v>380</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row>
    <row r="33" spans="1:99" ht="31.5">
      <c r="A33" s="232"/>
      <c r="B33" s="232"/>
      <c r="C33" s="242"/>
      <c r="D33" s="183" t="s">
        <v>266</v>
      </c>
      <c r="E33" s="179" t="s">
        <v>381</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row>
    <row r="34" spans="1:99" ht="31.5">
      <c r="A34" s="383">
        <v>5</v>
      </c>
      <c r="B34" s="383">
        <v>3</v>
      </c>
      <c r="C34" s="384" t="s">
        <v>382</v>
      </c>
      <c r="D34" s="384" t="s">
        <v>48</v>
      </c>
      <c r="E34" s="385" t="s">
        <v>383</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row>
    <row r="35" spans="1:99" ht="31.5">
      <c r="A35" s="387"/>
      <c r="B35" s="387"/>
      <c r="C35" s="388"/>
      <c r="D35" s="388"/>
      <c r="E35" s="386" t="s">
        <v>384</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row>
    <row r="36" spans="1:99" ht="94.5">
      <c r="A36" s="398">
        <v>6</v>
      </c>
      <c r="B36" s="398">
        <v>2</v>
      </c>
      <c r="C36" s="399" t="s">
        <v>206</v>
      </c>
      <c r="D36" s="399" t="s">
        <v>207</v>
      </c>
      <c r="E36" s="400" t="s">
        <v>385</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row>
    <row r="37" spans="1:99" ht="63">
      <c r="A37" s="231">
        <v>7</v>
      </c>
      <c r="B37" s="231">
        <v>2</v>
      </c>
      <c r="C37" s="240" t="s">
        <v>197</v>
      </c>
      <c r="D37" s="240" t="s">
        <v>197</v>
      </c>
      <c r="E37" s="184" t="s">
        <v>386</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row>
    <row r="38" spans="1:99" ht="63">
      <c r="A38" s="232"/>
      <c r="B38" s="232"/>
      <c r="C38" s="242"/>
      <c r="D38" s="242"/>
      <c r="E38" s="180" t="s">
        <v>387</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row>
    <row r="39" spans="1:99" ht="31.5">
      <c r="A39" s="389">
        <v>8</v>
      </c>
      <c r="B39" s="389">
        <v>11</v>
      </c>
      <c r="C39" s="390" t="s">
        <v>216</v>
      </c>
      <c r="D39" s="390" t="s">
        <v>217</v>
      </c>
      <c r="E39" s="391" t="s">
        <v>388</v>
      </c>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row>
    <row r="40" spans="1:99" ht="31.5">
      <c r="A40" s="392"/>
      <c r="B40" s="392"/>
      <c r="C40" s="393"/>
      <c r="D40" s="393"/>
      <c r="E40" s="394" t="s">
        <v>389</v>
      </c>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row>
    <row r="41" spans="1:99" ht="31.5">
      <c r="A41" s="392"/>
      <c r="B41" s="392"/>
      <c r="C41" s="393"/>
      <c r="D41" s="393"/>
      <c r="E41" s="394" t="s">
        <v>390</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row>
    <row r="42" spans="1:99" ht="31.5">
      <c r="A42" s="392"/>
      <c r="B42" s="392"/>
      <c r="C42" s="393"/>
      <c r="D42" s="393"/>
      <c r="E42" s="394" t="s">
        <v>391</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row>
    <row r="43" spans="1:99" ht="31.5">
      <c r="A43" s="395"/>
      <c r="B43" s="395"/>
      <c r="C43" s="396"/>
      <c r="D43" s="396"/>
      <c r="E43" s="394" t="s">
        <v>392</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row>
    <row r="44" spans="1:99" ht="57.75" customHeight="1">
      <c r="A44" s="46" t="s">
        <v>17</v>
      </c>
      <c r="B44" s="47">
        <f>SUM(B21:B39)</f>
        <v>34</v>
      </c>
      <c r="C44" s="31"/>
      <c r="D44" s="31"/>
      <c r="E44" s="48"/>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row>
    <row r="45" spans="1:99">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row>
    <row r="46" spans="1:99">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row>
    <row r="47" spans="1:99">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row>
    <row r="48" spans="1:99">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row>
    <row r="49" spans="6:99">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row>
    <row r="50" spans="6:99">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row>
    <row r="51" spans="6:99">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row>
    <row r="52" spans="6:99">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row>
    <row r="53" spans="6:99">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row>
    <row r="54" spans="6:99">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row>
    <row r="55" spans="6:99">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row>
    <row r="56" spans="6:99">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row>
    <row r="57" spans="6:99">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row>
    <row r="58" spans="6:99">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row>
    <row r="59" spans="6:99">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row>
    <row r="60" spans="6:99">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row>
    <row r="61" spans="6:99">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row>
    <row r="62" spans="6:99">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row>
    <row r="63" spans="6:99">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row>
    <row r="64" spans="6:99">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row>
    <row r="65" spans="6:99">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row>
    <row r="66" spans="6:99">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row>
    <row r="67" spans="6:99">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row>
    <row r="68" spans="6:99">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row>
    <row r="69" spans="6:99">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row>
    <row r="70" spans="6:99">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row>
    <row r="71" spans="6:99">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row>
    <row r="72" spans="6:99">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row>
    <row r="73" spans="6:99">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row>
    <row r="74" spans="6:99">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row>
    <row r="75" spans="6:99">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row>
    <row r="76" spans="6:99">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row>
    <row r="77" spans="6:99">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row>
    <row r="78" spans="6:99">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row>
    <row r="79" spans="6:99">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row>
    <row r="80" spans="6:99">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row>
    <row r="81" spans="6:99">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row>
    <row r="82" spans="6:99">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row>
    <row r="83" spans="6:99">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row>
    <row r="84" spans="6:99">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row>
    <row r="85" spans="6:99">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c r="CU85" s="27"/>
    </row>
    <row r="86" spans="6:99">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row>
    <row r="87" spans="6:99">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c r="CU87" s="27"/>
    </row>
    <row r="88" spans="6:99">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7"/>
      <c r="CN88" s="27"/>
      <c r="CO88" s="27"/>
      <c r="CP88" s="27"/>
      <c r="CQ88" s="27"/>
      <c r="CR88" s="27"/>
      <c r="CS88" s="27"/>
      <c r="CT88" s="27"/>
      <c r="CU88" s="27"/>
    </row>
    <row r="89" spans="6:99">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row>
    <row r="90" spans="6:99">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row>
    <row r="91" spans="6:99">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row>
    <row r="92" spans="6:99">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row>
    <row r="93" spans="6:99">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c r="CU93" s="27"/>
    </row>
    <row r="94" spans="6:99">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row>
    <row r="95" spans="6:99">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row>
    <row r="96" spans="6:99">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row>
    <row r="97" spans="6:99">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row>
    <row r="98" spans="6:99">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row>
    <row r="99" spans="6:99">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row>
    <row r="100" spans="6:99">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row>
    <row r="101" spans="6:99">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row>
    <row r="102" spans="6:99">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row>
    <row r="103" spans="6:99">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c r="CU103" s="27"/>
    </row>
    <row r="104" spans="6:99">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row>
    <row r="105" spans="6:99">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row>
    <row r="106" spans="6:99">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row>
    <row r="107" spans="6:99">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row>
    <row r="108" spans="6:99">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row>
    <row r="109" spans="6:99">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row>
    <row r="110" spans="6:99">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row>
    <row r="111" spans="6:99">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row>
    <row r="112" spans="6:99">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row>
    <row r="113" spans="6:99">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row>
    <row r="114" spans="6:99">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row>
    <row r="115" spans="6:99">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row>
    <row r="116" spans="6:99">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row>
    <row r="117" spans="6:99">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c r="CU117" s="27"/>
    </row>
    <row r="118" spans="6:99">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c r="CU118" s="27"/>
    </row>
    <row r="119" spans="6:99">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row>
    <row r="120" spans="6:99">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c r="CU120" s="27"/>
    </row>
    <row r="121" spans="6:99">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c r="CU121" s="27"/>
    </row>
    <row r="122" spans="6:99">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row>
    <row r="123" spans="6:99">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row>
    <row r="124" spans="6:99">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row>
    <row r="125" spans="6:99">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row>
    <row r="126" spans="6:99">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row>
    <row r="127" spans="6:99">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row>
    <row r="128" spans="6:99">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row>
    <row r="129" spans="6:99">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row>
    <row r="130" spans="6:99">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row>
    <row r="131" spans="6:99">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row>
    <row r="132" spans="6:99">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c r="CU132" s="27"/>
    </row>
    <row r="133" spans="6:99">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row>
    <row r="134" spans="6:99">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row>
    <row r="135" spans="6:99">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row>
    <row r="136" spans="6:99">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row>
    <row r="137" spans="6:99">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row>
    <row r="138" spans="6:99">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row>
    <row r="139" spans="6:99">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row>
    <row r="140" spans="6:99">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row>
    <row r="141" spans="6:99">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row>
    <row r="142" spans="6:99">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c r="CU142" s="27"/>
    </row>
    <row r="143" spans="6:99">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row>
    <row r="144" spans="6:99">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row>
    <row r="145" spans="6:99">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row>
    <row r="146" spans="6:99">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row>
    <row r="147" spans="6:99">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row>
    <row r="148" spans="6:99">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7"/>
      <c r="CN148" s="27"/>
      <c r="CO148" s="27"/>
      <c r="CP148" s="27"/>
      <c r="CQ148" s="27"/>
      <c r="CR148" s="27"/>
      <c r="CS148" s="27"/>
      <c r="CT148" s="27"/>
      <c r="CU148" s="27"/>
    </row>
    <row r="149" spans="6:99">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row>
    <row r="150" spans="6:99">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row>
    <row r="151" spans="6:99">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row>
    <row r="152" spans="6:99">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row>
    <row r="153" spans="6:99">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row>
    <row r="154" spans="6:99">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7"/>
      <c r="CM154" s="27"/>
      <c r="CN154" s="27"/>
      <c r="CO154" s="27"/>
      <c r="CP154" s="27"/>
      <c r="CQ154" s="27"/>
      <c r="CR154" s="27"/>
      <c r="CS154" s="27"/>
      <c r="CT154" s="27"/>
      <c r="CU154" s="27"/>
    </row>
    <row r="155" spans="6:99">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row>
    <row r="156" spans="6:99">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row>
    <row r="157" spans="6:99">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row>
    <row r="158" spans="6:99">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row>
    <row r="159" spans="6:99">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row>
    <row r="160" spans="6:99">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c r="CU160" s="27"/>
    </row>
    <row r="161" spans="6:99">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row>
    <row r="162" spans="6:99">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c r="CU162" s="27"/>
    </row>
    <row r="163" spans="6:99">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c r="CU163" s="27"/>
    </row>
    <row r="164" spans="6:99">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row>
    <row r="165" spans="6:99">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c r="CU165" s="27"/>
    </row>
    <row r="166" spans="6:99">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7"/>
      <c r="CM166" s="27"/>
      <c r="CN166" s="27"/>
      <c r="CO166" s="27"/>
      <c r="CP166" s="27"/>
      <c r="CQ166" s="27"/>
      <c r="CR166" s="27"/>
      <c r="CS166" s="27"/>
      <c r="CT166" s="27"/>
      <c r="CU166" s="27"/>
    </row>
    <row r="167" spans="6:99">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c r="CU167" s="27"/>
    </row>
    <row r="168" spans="6:99">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c r="CE168" s="27"/>
      <c r="CF168" s="27"/>
      <c r="CG168" s="27"/>
      <c r="CH168" s="27"/>
      <c r="CI168" s="27"/>
      <c r="CJ168" s="27"/>
      <c r="CK168" s="27"/>
      <c r="CL168" s="27"/>
      <c r="CM168" s="27"/>
      <c r="CN168" s="27"/>
      <c r="CO168" s="27"/>
      <c r="CP168" s="27"/>
      <c r="CQ168" s="27"/>
      <c r="CR168" s="27"/>
      <c r="CS168" s="27"/>
      <c r="CT168" s="27"/>
      <c r="CU168" s="27"/>
    </row>
    <row r="169" spans="6:99">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c r="BU169" s="27"/>
      <c r="BV169" s="27"/>
      <c r="BW169" s="27"/>
      <c r="BX169" s="27"/>
      <c r="BY169" s="27"/>
      <c r="BZ169" s="27"/>
      <c r="CA169" s="27"/>
      <c r="CB169" s="27"/>
      <c r="CC169" s="27"/>
      <c r="CD169" s="27"/>
      <c r="CE169" s="27"/>
      <c r="CF169" s="27"/>
      <c r="CG169" s="27"/>
      <c r="CH169" s="27"/>
      <c r="CI169" s="27"/>
      <c r="CJ169" s="27"/>
      <c r="CK169" s="27"/>
      <c r="CL169" s="27"/>
      <c r="CM169" s="27"/>
      <c r="CN169" s="27"/>
      <c r="CO169" s="27"/>
      <c r="CP169" s="27"/>
      <c r="CQ169" s="27"/>
      <c r="CR169" s="27"/>
      <c r="CS169" s="27"/>
      <c r="CT169" s="27"/>
      <c r="CU169" s="27"/>
    </row>
    <row r="170" spans="6:99">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row>
    <row r="171" spans="6:99">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row>
    <row r="172" spans="6:99">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row>
    <row r="173" spans="6:99">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row>
    <row r="174" spans="6:99">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row>
    <row r="175" spans="6:99">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7"/>
      <c r="CF175" s="27"/>
      <c r="CG175" s="27"/>
      <c r="CH175" s="27"/>
      <c r="CI175" s="27"/>
      <c r="CJ175" s="27"/>
      <c r="CK175" s="27"/>
      <c r="CL175" s="27"/>
      <c r="CM175" s="27"/>
      <c r="CN175" s="27"/>
      <c r="CO175" s="27"/>
      <c r="CP175" s="27"/>
      <c r="CQ175" s="27"/>
      <c r="CR175" s="27"/>
      <c r="CS175" s="27"/>
      <c r="CT175" s="27"/>
      <c r="CU175" s="27"/>
    </row>
    <row r="176" spans="6:99">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row>
    <row r="177" spans="6:99">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c r="CU177" s="27"/>
    </row>
    <row r="178" spans="6:99">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row>
    <row r="179" spans="6:99">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c r="CU179" s="27"/>
    </row>
    <row r="180" spans="6:99">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c r="CU180" s="27"/>
    </row>
    <row r="181" spans="6:99">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c r="CL181" s="27"/>
      <c r="CM181" s="27"/>
      <c r="CN181" s="27"/>
      <c r="CO181" s="27"/>
      <c r="CP181" s="27"/>
      <c r="CQ181" s="27"/>
      <c r="CR181" s="27"/>
      <c r="CS181" s="27"/>
      <c r="CT181" s="27"/>
      <c r="CU181" s="27"/>
    </row>
    <row r="182" spans="6:99">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row>
    <row r="183" spans="6:99">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27"/>
      <c r="BX183" s="27"/>
      <c r="BY183" s="27"/>
      <c r="BZ183" s="27"/>
      <c r="CA183" s="27"/>
      <c r="CB183" s="27"/>
      <c r="CC183" s="27"/>
      <c r="CD183" s="27"/>
      <c r="CE183" s="27"/>
      <c r="CF183" s="27"/>
      <c r="CG183" s="27"/>
      <c r="CH183" s="27"/>
      <c r="CI183" s="27"/>
      <c r="CJ183" s="27"/>
      <c r="CK183" s="27"/>
      <c r="CL183" s="27"/>
      <c r="CM183" s="27"/>
      <c r="CN183" s="27"/>
      <c r="CO183" s="27"/>
      <c r="CP183" s="27"/>
      <c r="CQ183" s="27"/>
      <c r="CR183" s="27"/>
      <c r="CS183" s="27"/>
      <c r="CT183" s="27"/>
      <c r="CU183" s="27"/>
    </row>
    <row r="184" spans="6:99">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c r="CE184" s="27"/>
      <c r="CF184" s="27"/>
      <c r="CG184" s="27"/>
      <c r="CH184" s="27"/>
      <c r="CI184" s="27"/>
      <c r="CJ184" s="27"/>
      <c r="CK184" s="27"/>
      <c r="CL184" s="27"/>
      <c r="CM184" s="27"/>
      <c r="CN184" s="27"/>
      <c r="CO184" s="27"/>
      <c r="CP184" s="27"/>
      <c r="CQ184" s="27"/>
      <c r="CR184" s="27"/>
      <c r="CS184" s="27"/>
      <c r="CT184" s="27"/>
      <c r="CU184" s="27"/>
    </row>
    <row r="185" spans="6:99">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row>
    <row r="186" spans="6:99">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row>
    <row r="187" spans="6:99">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c r="CU187" s="27"/>
    </row>
    <row r="188" spans="6:99">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row>
    <row r="189" spans="6:99">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c r="CU189" s="27"/>
    </row>
    <row r="190" spans="6:99">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c r="CU190" s="27"/>
    </row>
    <row r="191" spans="6:99">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row>
    <row r="192" spans="6:99">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row>
    <row r="193" spans="6:99">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row>
    <row r="194" spans="6:99">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row>
    <row r="195" spans="6:99">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row>
    <row r="196" spans="6:99">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c r="CU196" s="27"/>
    </row>
    <row r="197" spans="6:99">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row>
    <row r="198" spans="6:99">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c r="CU198" s="27"/>
    </row>
    <row r="199" spans="6:99">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c r="CU199" s="27"/>
    </row>
    <row r="200" spans="6:99">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row>
    <row r="201" spans="6:99">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row>
    <row r="202" spans="6:99">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row>
    <row r="203" spans="6:99">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row>
    <row r="204" spans="6:99">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c r="CU204" s="27"/>
    </row>
  </sheetData>
  <mergeCells count="30">
    <mergeCell ref="D39:D43"/>
    <mergeCell ref="A34:A35"/>
    <mergeCell ref="B34:B35"/>
    <mergeCell ref="C34:C35"/>
    <mergeCell ref="D34:D35"/>
    <mergeCell ref="A37:A38"/>
    <mergeCell ref="B37:B38"/>
    <mergeCell ref="C37:C38"/>
    <mergeCell ref="D37:D38"/>
    <mergeCell ref="A30:A33"/>
    <mergeCell ref="B30:B33"/>
    <mergeCell ref="C30:C33"/>
    <mergeCell ref="A39:A43"/>
    <mergeCell ref="B39:B43"/>
    <mergeCell ref="C39:C43"/>
    <mergeCell ref="A26:A29"/>
    <mergeCell ref="B26:B29"/>
    <mergeCell ref="A13:E13"/>
    <mergeCell ref="A19:E19"/>
    <mergeCell ref="A21:A23"/>
    <mergeCell ref="B21:B23"/>
    <mergeCell ref="C21:C23"/>
    <mergeCell ref="D21:D23"/>
    <mergeCell ref="C26:C29"/>
    <mergeCell ref="D26:D29"/>
    <mergeCell ref="A1:E1"/>
    <mergeCell ref="A3:E3"/>
    <mergeCell ref="A24:A25"/>
    <mergeCell ref="B24:B25"/>
    <mergeCell ref="C24:C25"/>
  </mergeCells>
  <pageMargins left="0.22" right="0.17" top="0.34" bottom="0.39" header="0.18" footer="0.2"/>
  <pageSetup paperSize="9" scale="10" orientation="portrait" r:id="rId1"/>
</worksheet>
</file>

<file path=xl/worksheets/sheet3.xml><?xml version="1.0" encoding="utf-8"?>
<worksheet xmlns="http://schemas.openxmlformats.org/spreadsheetml/2006/main" xmlns:r="http://schemas.openxmlformats.org/officeDocument/2006/relationships">
  <dimension ref="A1:AB305"/>
  <sheetViews>
    <sheetView workbookViewId="0">
      <selection activeCell="J9" sqref="J9"/>
    </sheetView>
  </sheetViews>
  <sheetFormatPr defaultRowHeight="39.75" customHeight="1"/>
  <cols>
    <col min="1" max="1" width="20" style="3" customWidth="1"/>
    <col min="2" max="2" width="16.28515625" style="3" bestFit="1" customWidth="1"/>
    <col min="3" max="3" width="17.140625" style="3" customWidth="1"/>
    <col min="4" max="4" width="17" style="3" customWidth="1"/>
    <col min="5" max="5" width="9.85546875" style="3" bestFit="1" customWidth="1"/>
    <col min="6" max="6" width="11.140625" style="3" bestFit="1" customWidth="1"/>
    <col min="7" max="7" width="17.140625" style="3" bestFit="1" customWidth="1"/>
    <col min="8" max="8" width="13.7109375" style="3" bestFit="1" customWidth="1"/>
    <col min="9" max="9" width="9.28515625" style="3" customWidth="1"/>
    <col min="10" max="11" width="11" style="3" bestFit="1" customWidth="1"/>
    <col min="12" max="12" width="13.5703125" style="3" customWidth="1"/>
    <col min="13" max="13" width="13.85546875" style="49" customWidth="1"/>
    <col min="14" max="15" width="9.140625" style="5" hidden="1" customWidth="1"/>
    <col min="16" max="16" width="4.28515625" style="5" customWidth="1"/>
    <col min="17" max="17" width="3.5703125" style="5" customWidth="1"/>
    <col min="18" max="18" width="9.140625" style="3" hidden="1" customWidth="1"/>
    <col min="19" max="19" width="15.5703125" style="3" hidden="1" customWidth="1"/>
    <col min="20" max="20" width="9.140625" style="3" hidden="1" customWidth="1"/>
    <col min="21" max="21" width="10.28515625" style="3" hidden="1" customWidth="1"/>
    <col min="22" max="24" width="9.140625" style="3" hidden="1" customWidth="1"/>
    <col min="25" max="25" width="5" style="3" hidden="1" customWidth="1"/>
    <col min="26" max="26" width="9.140625" style="3" hidden="1" customWidth="1"/>
    <col min="27" max="27" width="34.5703125" style="3" hidden="1" customWidth="1"/>
    <col min="28" max="28" width="9.140625" style="3" hidden="1" customWidth="1"/>
    <col min="29" max="248" width="9.140625" style="3" customWidth="1"/>
    <col min="249" max="249" width="171.7109375" style="3" customWidth="1"/>
    <col min="250" max="253" width="0" style="3" hidden="1" customWidth="1"/>
    <col min="254" max="16384" width="9.140625" style="3"/>
  </cols>
  <sheetData>
    <row r="1" spans="1:28" ht="48" customHeight="1" thickBot="1">
      <c r="A1" s="243" t="s">
        <v>348</v>
      </c>
      <c r="B1" s="244"/>
      <c r="C1" s="244"/>
      <c r="D1" s="244"/>
      <c r="E1" s="244"/>
      <c r="F1" s="244"/>
      <c r="G1" s="244"/>
      <c r="H1" s="244"/>
      <c r="I1" s="244"/>
      <c r="J1" s="244"/>
      <c r="K1" s="244"/>
      <c r="L1" s="245"/>
      <c r="M1" s="28"/>
    </row>
    <row r="2" spans="1:28" ht="69.75" customHeight="1">
      <c r="A2" s="246" t="s">
        <v>0</v>
      </c>
      <c r="B2" s="248" t="s">
        <v>18</v>
      </c>
      <c r="C2" s="248" t="s">
        <v>19</v>
      </c>
      <c r="D2" s="250" t="s">
        <v>20</v>
      </c>
      <c r="E2" s="250" t="s">
        <v>21</v>
      </c>
      <c r="F2" s="250" t="s">
        <v>22</v>
      </c>
      <c r="G2" s="252" t="s">
        <v>23</v>
      </c>
      <c r="H2" s="252" t="s">
        <v>24</v>
      </c>
      <c r="I2" s="252" t="s">
        <v>25</v>
      </c>
      <c r="J2" s="252" t="s">
        <v>26</v>
      </c>
      <c r="K2" s="252" t="s">
        <v>27</v>
      </c>
      <c r="L2" s="254" t="s">
        <v>28</v>
      </c>
      <c r="M2" s="256"/>
    </row>
    <row r="3" spans="1:28" s="5" customFormat="1" ht="112.5" hidden="1" customHeight="1">
      <c r="A3" s="247"/>
      <c r="B3" s="249"/>
      <c r="C3" s="249"/>
      <c r="D3" s="251"/>
      <c r="E3" s="251"/>
      <c r="F3" s="251"/>
      <c r="G3" s="253"/>
      <c r="H3" s="253"/>
      <c r="I3" s="253"/>
      <c r="J3" s="253"/>
      <c r="K3" s="253"/>
      <c r="L3" s="255"/>
      <c r="M3" s="256"/>
      <c r="R3" s="3"/>
      <c r="S3" s="3"/>
      <c r="T3" s="3"/>
      <c r="U3" s="3"/>
      <c r="V3" s="3"/>
      <c r="W3" s="3"/>
      <c r="X3" s="3"/>
      <c r="Y3" s="3"/>
      <c r="Z3" s="3"/>
      <c r="AA3" s="3"/>
      <c r="AB3" s="3"/>
    </row>
    <row r="4" spans="1:28" s="5" customFormat="1" ht="60.75" customHeight="1">
      <c r="A4" s="158" t="s">
        <v>11</v>
      </c>
      <c r="B4" s="159">
        <v>24</v>
      </c>
      <c r="C4" s="160">
        <v>0</v>
      </c>
      <c r="D4" s="160">
        <v>0</v>
      </c>
      <c r="E4" s="161">
        <f t="shared" ref="E4:E9" si="0">B4-(C4+D4)</f>
        <v>24</v>
      </c>
      <c r="F4" s="162">
        <v>0</v>
      </c>
      <c r="G4" s="163">
        <f t="shared" ref="G4:G9" si="1">E4-F4</f>
        <v>24</v>
      </c>
      <c r="H4" s="164">
        <f t="shared" ref="H4:H10" si="2">G4/E4*100</f>
        <v>100</v>
      </c>
      <c r="I4" s="165">
        <v>0</v>
      </c>
      <c r="J4" s="165">
        <v>0</v>
      </c>
      <c r="K4" s="165">
        <v>0</v>
      </c>
      <c r="L4" s="166">
        <v>0</v>
      </c>
      <c r="M4" s="167">
        <f>SUM(I4:L4)</f>
        <v>0</v>
      </c>
      <c r="R4" s="3"/>
      <c r="S4" s="3"/>
      <c r="T4" s="3"/>
      <c r="U4" s="3"/>
      <c r="V4" s="3"/>
      <c r="W4" s="3"/>
      <c r="X4" s="3"/>
      <c r="Y4" s="3"/>
      <c r="Z4" s="3"/>
      <c r="AA4" s="3"/>
      <c r="AB4" s="3"/>
    </row>
    <row r="5" spans="1:28" s="5" customFormat="1" ht="65.25" customHeight="1">
      <c r="A5" s="158" t="s">
        <v>12</v>
      </c>
      <c r="B5" s="159">
        <v>154</v>
      </c>
      <c r="C5" s="160">
        <v>0</v>
      </c>
      <c r="D5" s="160">
        <v>0</v>
      </c>
      <c r="E5" s="161">
        <v>164</v>
      </c>
      <c r="F5" s="165">
        <v>12</v>
      </c>
      <c r="G5" s="163">
        <f t="shared" si="1"/>
        <v>152</v>
      </c>
      <c r="H5" s="164">
        <f t="shared" si="2"/>
        <v>92.682926829268297</v>
      </c>
      <c r="I5" s="165">
        <v>6</v>
      </c>
      <c r="J5" s="165">
        <v>1</v>
      </c>
      <c r="K5" s="165">
        <v>4</v>
      </c>
      <c r="L5" s="166">
        <v>1</v>
      </c>
      <c r="M5" s="167">
        <f t="shared" ref="M5:M9" si="3">SUM(I5:L5)</f>
        <v>12</v>
      </c>
      <c r="R5" s="3"/>
      <c r="S5" s="3"/>
      <c r="T5" s="3"/>
      <c r="U5" s="3"/>
      <c r="V5" s="3"/>
      <c r="W5" s="3"/>
      <c r="X5" s="3"/>
      <c r="Y5" s="3"/>
      <c r="Z5" s="3"/>
      <c r="AA5" s="3"/>
      <c r="AB5" s="3"/>
    </row>
    <row r="6" spans="1:28" s="5" customFormat="1" ht="74.25" customHeight="1">
      <c r="A6" s="158" t="s">
        <v>29</v>
      </c>
      <c r="B6" s="159">
        <v>142</v>
      </c>
      <c r="C6" s="160">
        <v>0</v>
      </c>
      <c r="D6" s="160">
        <v>0</v>
      </c>
      <c r="E6" s="161">
        <f t="shared" si="0"/>
        <v>142</v>
      </c>
      <c r="F6" s="165">
        <v>1</v>
      </c>
      <c r="G6" s="163">
        <f t="shared" si="1"/>
        <v>141</v>
      </c>
      <c r="H6" s="164">
        <f t="shared" si="2"/>
        <v>99.295774647887328</v>
      </c>
      <c r="I6" s="165">
        <v>0</v>
      </c>
      <c r="J6" s="165">
        <v>0</v>
      </c>
      <c r="K6" s="165">
        <v>1</v>
      </c>
      <c r="L6" s="166">
        <v>0</v>
      </c>
      <c r="M6" s="167">
        <f t="shared" si="3"/>
        <v>1</v>
      </c>
      <c r="R6" s="3"/>
      <c r="S6" s="3"/>
      <c r="T6" s="3"/>
      <c r="U6" s="3"/>
      <c r="V6" s="3"/>
      <c r="W6" s="3"/>
      <c r="X6" s="3"/>
      <c r="Y6" s="3"/>
      <c r="Z6" s="3"/>
      <c r="AA6" s="3"/>
      <c r="AB6" s="3"/>
    </row>
    <row r="7" spans="1:28" s="5" customFormat="1" ht="75" customHeight="1">
      <c r="A7" s="158" t="s">
        <v>30</v>
      </c>
      <c r="B7" s="159">
        <v>225</v>
      </c>
      <c r="C7" s="160">
        <v>0</v>
      </c>
      <c r="D7" s="160">
        <v>0</v>
      </c>
      <c r="E7" s="161">
        <f t="shared" si="0"/>
        <v>225</v>
      </c>
      <c r="F7" s="165">
        <v>4</v>
      </c>
      <c r="G7" s="163">
        <f t="shared" si="1"/>
        <v>221</v>
      </c>
      <c r="H7" s="164">
        <f t="shared" si="2"/>
        <v>98.222222222222229</v>
      </c>
      <c r="I7" s="165">
        <v>1</v>
      </c>
      <c r="J7" s="165">
        <v>1</v>
      </c>
      <c r="K7" s="165">
        <v>2</v>
      </c>
      <c r="L7" s="166">
        <v>0</v>
      </c>
      <c r="M7" s="167">
        <f t="shared" si="3"/>
        <v>4</v>
      </c>
      <c r="R7" s="3"/>
      <c r="S7" s="3"/>
      <c r="T7" s="3"/>
      <c r="U7" s="3"/>
      <c r="V7" s="3"/>
      <c r="W7" s="3"/>
      <c r="X7" s="3"/>
      <c r="Y7" s="3"/>
      <c r="Z7" s="3"/>
      <c r="AA7" s="3"/>
      <c r="AB7" s="3"/>
    </row>
    <row r="8" spans="1:28" s="5" customFormat="1" ht="75" customHeight="1">
      <c r="A8" s="158" t="s">
        <v>15</v>
      </c>
      <c r="B8" s="168">
        <v>134</v>
      </c>
      <c r="C8" s="160">
        <v>0</v>
      </c>
      <c r="D8" s="160">
        <v>0</v>
      </c>
      <c r="E8" s="161">
        <f t="shared" si="0"/>
        <v>134</v>
      </c>
      <c r="F8" s="165">
        <v>4</v>
      </c>
      <c r="G8" s="163">
        <f t="shared" si="1"/>
        <v>130</v>
      </c>
      <c r="H8" s="164">
        <f t="shared" si="2"/>
        <v>97.014925373134332</v>
      </c>
      <c r="I8" s="165">
        <v>1</v>
      </c>
      <c r="J8" s="165">
        <v>1</v>
      </c>
      <c r="K8" s="165">
        <v>2</v>
      </c>
      <c r="L8" s="166">
        <v>0</v>
      </c>
      <c r="M8" s="167">
        <f t="shared" si="3"/>
        <v>4</v>
      </c>
      <c r="R8" s="3"/>
      <c r="S8" s="3"/>
      <c r="T8" s="3"/>
      <c r="U8" s="3"/>
      <c r="V8" s="3"/>
      <c r="W8" s="3"/>
      <c r="X8" s="3"/>
      <c r="Y8" s="3"/>
      <c r="Z8" s="3"/>
      <c r="AA8" s="3"/>
      <c r="AB8" s="3"/>
    </row>
    <row r="9" spans="1:28" s="5" customFormat="1" ht="85.5" customHeight="1">
      <c r="A9" s="158" t="s">
        <v>16</v>
      </c>
      <c r="B9" s="12">
        <v>146</v>
      </c>
      <c r="C9" s="160">
        <v>0</v>
      </c>
      <c r="D9" s="160">
        <v>0</v>
      </c>
      <c r="E9" s="161">
        <f t="shared" si="0"/>
        <v>146</v>
      </c>
      <c r="F9" s="165">
        <v>13</v>
      </c>
      <c r="G9" s="163">
        <f t="shared" si="1"/>
        <v>133</v>
      </c>
      <c r="H9" s="164">
        <f t="shared" si="2"/>
        <v>91.095890410958901</v>
      </c>
      <c r="I9" s="165">
        <v>4</v>
      </c>
      <c r="J9" s="165">
        <v>6</v>
      </c>
      <c r="K9" s="165">
        <v>2</v>
      </c>
      <c r="L9" s="166">
        <v>1</v>
      </c>
      <c r="M9" s="167">
        <f t="shared" si="3"/>
        <v>13</v>
      </c>
      <c r="R9" s="3"/>
      <c r="S9" s="3"/>
      <c r="T9" s="3"/>
      <c r="U9" s="3"/>
      <c r="V9" s="3"/>
      <c r="W9" s="3"/>
      <c r="X9" s="3"/>
      <c r="Y9" s="3"/>
      <c r="Z9" s="3"/>
      <c r="AA9" s="3"/>
      <c r="AB9" s="3"/>
    </row>
    <row r="10" spans="1:28" ht="37.5" customHeight="1">
      <c r="A10" s="169" t="s">
        <v>17</v>
      </c>
      <c r="B10" s="170">
        <f>SUM(B4:B9)</f>
        <v>825</v>
      </c>
      <c r="C10" s="170">
        <f>SUM(C4:C9)</f>
        <v>0</v>
      </c>
      <c r="D10" s="170">
        <f t="shared" ref="D10:G10" si="4">SUM(D4:D9)</f>
        <v>0</v>
      </c>
      <c r="E10" s="170">
        <f t="shared" si="4"/>
        <v>835</v>
      </c>
      <c r="F10" s="170">
        <f t="shared" si="4"/>
        <v>34</v>
      </c>
      <c r="G10" s="170">
        <f t="shared" si="4"/>
        <v>801</v>
      </c>
      <c r="H10" s="164">
        <f t="shared" si="2"/>
        <v>95.928143712574851</v>
      </c>
      <c r="I10" s="163">
        <f>SUM(I4:I9)</f>
        <v>12</v>
      </c>
      <c r="J10" s="163">
        <f>SUM(J4:J9)</f>
        <v>9</v>
      </c>
      <c r="K10" s="163">
        <f>SUM(K4:K9)</f>
        <v>11</v>
      </c>
      <c r="L10" s="163">
        <f>SUM(L6:L9)</f>
        <v>1</v>
      </c>
      <c r="M10" s="167">
        <f>SUM(M4:M9)</f>
        <v>34</v>
      </c>
    </row>
    <row r="11" spans="1:28" ht="42" customHeight="1">
      <c r="A11" s="257" t="s">
        <v>349</v>
      </c>
      <c r="B11" s="258"/>
      <c r="C11" s="258"/>
      <c r="D11" s="258"/>
      <c r="E11" s="258"/>
      <c r="F11" s="259"/>
      <c r="G11" s="260" t="s">
        <v>231</v>
      </c>
      <c r="H11" s="258"/>
      <c r="I11" s="258"/>
      <c r="J11" s="258"/>
      <c r="K11" s="258"/>
      <c r="L11" s="258"/>
      <c r="M11" s="171"/>
    </row>
    <row r="12" spans="1:28" ht="112.5" customHeight="1">
      <c r="M12" s="6"/>
    </row>
    <row r="13" spans="1:28" ht="112.5" customHeight="1">
      <c r="M13" s="6"/>
    </row>
    <row r="14" spans="1:28" ht="112.5" customHeight="1">
      <c r="M14" s="6"/>
    </row>
    <row r="15" spans="1:28" ht="112.5" customHeight="1">
      <c r="M15" s="6"/>
    </row>
    <row r="16" spans="1:28" ht="112.5" customHeight="1">
      <c r="M16" s="6"/>
    </row>
    <row r="17" spans="13:17" ht="112.5" customHeight="1">
      <c r="M17" s="6"/>
    </row>
    <row r="18" spans="13:17" ht="112.5" customHeight="1">
      <c r="M18" s="6"/>
    </row>
    <row r="19" spans="13:17" ht="112.5" customHeight="1">
      <c r="M19" s="6"/>
    </row>
    <row r="20" spans="13:17" ht="112.5" customHeight="1">
      <c r="M20" s="6"/>
      <c r="N20" s="3"/>
      <c r="O20" s="3"/>
      <c r="P20" s="3"/>
      <c r="Q20" s="3"/>
    </row>
    <row r="21" spans="13:17" ht="112.5" customHeight="1">
      <c r="M21" s="6"/>
      <c r="N21" s="3"/>
      <c r="O21" s="3"/>
      <c r="P21" s="3"/>
      <c r="Q21" s="3"/>
    </row>
    <row r="22" spans="13:17" ht="112.5" customHeight="1">
      <c r="M22" s="6"/>
      <c r="N22" s="3"/>
      <c r="O22" s="3"/>
      <c r="P22" s="3"/>
      <c r="Q22" s="3"/>
    </row>
    <row r="23" spans="13:17" ht="112.5" customHeight="1">
      <c r="M23" s="6"/>
      <c r="N23" s="3"/>
      <c r="O23" s="3"/>
      <c r="P23" s="3"/>
      <c r="Q23" s="3"/>
    </row>
    <row r="24" spans="13:17" ht="112.5" customHeight="1">
      <c r="M24" s="6"/>
      <c r="N24" s="3"/>
      <c r="O24" s="3"/>
      <c r="P24" s="3"/>
      <c r="Q24" s="3"/>
    </row>
    <row r="25" spans="13:17" ht="112.5" customHeight="1">
      <c r="M25" s="6"/>
      <c r="N25" s="3"/>
      <c r="O25" s="3"/>
      <c r="P25" s="3"/>
      <c r="Q25" s="3"/>
    </row>
    <row r="26" spans="13:17" ht="112.5" customHeight="1">
      <c r="M26" s="6"/>
      <c r="N26" s="3"/>
      <c r="O26" s="3"/>
      <c r="P26" s="3"/>
      <c r="Q26" s="3"/>
    </row>
    <row r="27" spans="13:17" ht="112.5" customHeight="1">
      <c r="M27" s="6"/>
      <c r="N27" s="3"/>
      <c r="O27" s="3"/>
      <c r="P27" s="3"/>
      <c r="Q27" s="3"/>
    </row>
    <row r="28" spans="13:17" ht="112.5" customHeight="1">
      <c r="M28" s="6"/>
      <c r="N28" s="3"/>
      <c r="O28" s="3"/>
      <c r="P28" s="3"/>
      <c r="Q28" s="3"/>
    </row>
    <row r="29" spans="13:17" ht="112.5" customHeight="1">
      <c r="M29" s="6"/>
      <c r="N29" s="3"/>
      <c r="O29" s="3"/>
      <c r="P29" s="3"/>
      <c r="Q29" s="3"/>
    </row>
    <row r="30" spans="13:17" ht="112.5" customHeight="1">
      <c r="M30" s="6"/>
      <c r="N30" s="3"/>
      <c r="O30" s="3"/>
      <c r="P30" s="3"/>
      <c r="Q30" s="3"/>
    </row>
    <row r="31" spans="13:17" ht="112.5" customHeight="1">
      <c r="M31" s="6"/>
      <c r="N31" s="3"/>
      <c r="O31" s="3"/>
      <c r="P31" s="3"/>
      <c r="Q31" s="3"/>
    </row>
    <row r="32" spans="13:17" ht="112.5" customHeight="1">
      <c r="M32" s="6"/>
      <c r="N32" s="3"/>
      <c r="O32" s="3"/>
      <c r="P32" s="3"/>
      <c r="Q32" s="3"/>
    </row>
    <row r="33" spans="13:17" ht="112.5" customHeight="1">
      <c r="M33" s="6"/>
      <c r="N33" s="3"/>
      <c r="O33" s="3"/>
      <c r="P33" s="3"/>
      <c r="Q33" s="3"/>
    </row>
    <row r="34" spans="13:17" ht="112.5" customHeight="1">
      <c r="M34" s="6"/>
      <c r="N34" s="3"/>
      <c r="O34" s="3"/>
      <c r="P34" s="3"/>
      <c r="Q34" s="3"/>
    </row>
    <row r="35" spans="13:17" ht="112.5" customHeight="1">
      <c r="M35" s="6"/>
      <c r="N35" s="3"/>
      <c r="O35" s="3"/>
      <c r="P35" s="3"/>
      <c r="Q35" s="3"/>
    </row>
    <row r="36" spans="13:17" ht="112.5" customHeight="1">
      <c r="M36" s="6"/>
      <c r="N36" s="3"/>
      <c r="O36" s="3"/>
      <c r="P36" s="3"/>
      <c r="Q36" s="3"/>
    </row>
    <row r="37" spans="13:17" ht="112.5" customHeight="1">
      <c r="M37" s="6"/>
      <c r="N37" s="3"/>
      <c r="O37" s="3"/>
      <c r="P37" s="3"/>
      <c r="Q37" s="3"/>
    </row>
    <row r="38" spans="13:17" ht="112.5" customHeight="1">
      <c r="M38" s="6"/>
      <c r="N38" s="3"/>
      <c r="O38" s="3"/>
      <c r="P38" s="3"/>
      <c r="Q38" s="3"/>
    </row>
    <row r="39" spans="13:17" ht="112.5" customHeight="1">
      <c r="M39" s="6"/>
      <c r="N39" s="3"/>
      <c r="O39" s="3"/>
      <c r="P39" s="3"/>
      <c r="Q39" s="3"/>
    </row>
    <row r="40" spans="13:17" ht="112.5" customHeight="1">
      <c r="M40" s="6"/>
      <c r="N40" s="3"/>
      <c r="O40" s="3"/>
      <c r="P40" s="3"/>
      <c r="Q40" s="3"/>
    </row>
    <row r="41" spans="13:17" ht="112.5" customHeight="1">
      <c r="M41" s="6"/>
      <c r="N41" s="3"/>
      <c r="O41" s="3"/>
      <c r="P41" s="3"/>
      <c r="Q41" s="3"/>
    </row>
    <row r="42" spans="13:17" ht="112.5" customHeight="1">
      <c r="M42" s="6"/>
      <c r="N42" s="3"/>
      <c r="O42" s="3"/>
      <c r="P42" s="3"/>
      <c r="Q42" s="3"/>
    </row>
    <row r="43" spans="13:17" ht="112.5" customHeight="1">
      <c r="M43" s="6"/>
      <c r="N43" s="3"/>
      <c r="O43" s="3"/>
      <c r="P43" s="3"/>
      <c r="Q43" s="3"/>
    </row>
    <row r="44" spans="13:17" ht="112.5" customHeight="1">
      <c r="M44" s="6"/>
      <c r="N44" s="3"/>
      <c r="O44" s="3"/>
      <c r="P44" s="3"/>
      <c r="Q44" s="3"/>
    </row>
    <row r="45" spans="13:17" ht="112.5" customHeight="1">
      <c r="M45" s="6"/>
      <c r="N45" s="3"/>
      <c r="O45" s="3"/>
      <c r="P45" s="3"/>
      <c r="Q45" s="3"/>
    </row>
    <row r="46" spans="13:17" ht="112.5" customHeight="1">
      <c r="M46" s="6"/>
      <c r="N46" s="3"/>
      <c r="O46" s="3"/>
      <c r="P46" s="3"/>
      <c r="Q46" s="3"/>
    </row>
    <row r="47" spans="13:17" ht="112.5" customHeight="1">
      <c r="M47" s="6"/>
      <c r="N47" s="3"/>
      <c r="O47" s="3"/>
      <c r="P47" s="3"/>
      <c r="Q47" s="3"/>
    </row>
    <row r="48" spans="13:17" ht="112.5" customHeight="1">
      <c r="M48" s="6"/>
      <c r="N48" s="3"/>
      <c r="O48" s="3"/>
      <c r="P48" s="3"/>
      <c r="Q48" s="3"/>
    </row>
    <row r="49" spans="13:17" ht="112.5" customHeight="1">
      <c r="M49" s="6"/>
      <c r="N49" s="3"/>
      <c r="O49" s="3"/>
      <c r="P49" s="3"/>
      <c r="Q49" s="3"/>
    </row>
    <row r="50" spans="13:17" ht="112.5" customHeight="1">
      <c r="M50" s="6"/>
      <c r="N50" s="3"/>
      <c r="O50" s="3"/>
      <c r="P50" s="3"/>
      <c r="Q50" s="3"/>
    </row>
    <row r="51" spans="13:17" ht="112.5" customHeight="1">
      <c r="M51" s="6"/>
      <c r="N51" s="3"/>
      <c r="O51" s="3"/>
      <c r="P51" s="3"/>
      <c r="Q51" s="3"/>
    </row>
    <row r="52" spans="13:17" ht="112.5" customHeight="1">
      <c r="M52" s="6"/>
      <c r="N52" s="3"/>
      <c r="O52" s="3"/>
      <c r="P52" s="3"/>
      <c r="Q52" s="3"/>
    </row>
    <row r="53" spans="13:17" ht="112.5" customHeight="1">
      <c r="M53" s="6"/>
      <c r="N53" s="3"/>
      <c r="O53" s="3"/>
      <c r="P53" s="3"/>
      <c r="Q53" s="3"/>
    </row>
    <row r="54" spans="13:17" ht="112.5" customHeight="1">
      <c r="M54" s="6"/>
      <c r="N54" s="3"/>
      <c r="O54" s="3"/>
      <c r="P54" s="3"/>
      <c r="Q54" s="3"/>
    </row>
    <row r="55" spans="13:17" ht="112.5" customHeight="1">
      <c r="M55" s="6"/>
      <c r="N55" s="3"/>
      <c r="O55" s="3"/>
      <c r="P55" s="3"/>
      <c r="Q55" s="3"/>
    </row>
    <row r="56" spans="13:17" ht="112.5" customHeight="1">
      <c r="M56" s="6"/>
      <c r="N56" s="3"/>
      <c r="O56" s="3"/>
      <c r="P56" s="3"/>
      <c r="Q56" s="3"/>
    </row>
    <row r="57" spans="13:17" ht="112.5" customHeight="1">
      <c r="M57" s="6"/>
      <c r="N57" s="3"/>
      <c r="O57" s="3"/>
      <c r="P57" s="3"/>
      <c r="Q57" s="3"/>
    </row>
    <row r="58" spans="13:17" ht="112.5" customHeight="1">
      <c r="M58" s="6"/>
      <c r="N58" s="3"/>
      <c r="O58" s="3"/>
      <c r="P58" s="3"/>
      <c r="Q58" s="3"/>
    </row>
    <row r="59" spans="13:17" ht="112.5" customHeight="1">
      <c r="M59" s="6"/>
      <c r="N59" s="3"/>
      <c r="O59" s="3"/>
      <c r="P59" s="3"/>
      <c r="Q59" s="3"/>
    </row>
    <row r="60" spans="13:17" ht="112.5" customHeight="1">
      <c r="M60" s="6"/>
      <c r="N60" s="3"/>
      <c r="O60" s="3"/>
      <c r="P60" s="3"/>
      <c r="Q60" s="3"/>
    </row>
    <row r="61" spans="13:17" ht="112.5" customHeight="1">
      <c r="M61" s="6"/>
      <c r="N61" s="3"/>
      <c r="O61" s="3"/>
      <c r="P61" s="3"/>
      <c r="Q61" s="3"/>
    </row>
    <row r="62" spans="13:17" ht="112.5" customHeight="1">
      <c r="M62" s="6"/>
      <c r="N62" s="3"/>
      <c r="O62" s="3"/>
      <c r="P62" s="3"/>
      <c r="Q62" s="3"/>
    </row>
    <row r="63" spans="13:17" ht="112.5" customHeight="1">
      <c r="M63" s="6"/>
      <c r="N63" s="3"/>
      <c r="O63" s="3"/>
      <c r="P63" s="3"/>
      <c r="Q63" s="3"/>
    </row>
    <row r="64" spans="13:17" ht="112.5" customHeight="1">
      <c r="M64" s="6"/>
      <c r="N64" s="3"/>
      <c r="O64" s="3"/>
      <c r="P64" s="3"/>
      <c r="Q64" s="3"/>
    </row>
    <row r="65" spans="13:17" ht="112.5" customHeight="1">
      <c r="M65" s="6"/>
      <c r="N65" s="3"/>
      <c r="O65" s="3"/>
      <c r="P65" s="3"/>
      <c r="Q65" s="3"/>
    </row>
    <row r="66" spans="13:17" ht="112.5" customHeight="1">
      <c r="M66" s="6"/>
      <c r="N66" s="3"/>
      <c r="O66" s="3"/>
      <c r="P66" s="3"/>
      <c r="Q66" s="3"/>
    </row>
    <row r="67" spans="13:17" ht="112.5" customHeight="1">
      <c r="M67" s="6"/>
      <c r="N67" s="3"/>
      <c r="O67" s="3"/>
      <c r="P67" s="3"/>
      <c r="Q67" s="3"/>
    </row>
    <row r="68" spans="13:17" ht="112.5" customHeight="1">
      <c r="M68" s="6"/>
      <c r="N68" s="3"/>
      <c r="O68" s="3"/>
      <c r="P68" s="3"/>
      <c r="Q68" s="3"/>
    </row>
    <row r="69" spans="13:17" ht="112.5" customHeight="1">
      <c r="M69" s="6"/>
      <c r="N69" s="3"/>
      <c r="O69" s="3"/>
      <c r="P69" s="3"/>
      <c r="Q69" s="3"/>
    </row>
    <row r="70" spans="13:17" ht="112.5" customHeight="1">
      <c r="M70" s="6"/>
      <c r="N70" s="3"/>
      <c r="O70" s="3"/>
      <c r="P70" s="3"/>
      <c r="Q70" s="3"/>
    </row>
    <row r="71" spans="13:17" ht="112.5" customHeight="1">
      <c r="M71" s="6"/>
      <c r="N71" s="3"/>
      <c r="O71" s="3"/>
      <c r="P71" s="3"/>
      <c r="Q71" s="3"/>
    </row>
    <row r="72" spans="13:17" ht="112.5" customHeight="1">
      <c r="M72" s="6"/>
      <c r="N72" s="3"/>
      <c r="O72" s="3"/>
      <c r="P72" s="3"/>
      <c r="Q72" s="3"/>
    </row>
    <row r="73" spans="13:17" ht="112.5" customHeight="1">
      <c r="M73" s="6"/>
      <c r="N73" s="3"/>
      <c r="O73" s="3"/>
      <c r="P73" s="3"/>
      <c r="Q73" s="3"/>
    </row>
    <row r="74" spans="13:17" ht="112.5" customHeight="1">
      <c r="M74" s="6"/>
      <c r="N74" s="3"/>
      <c r="O74" s="3"/>
      <c r="P74" s="3"/>
      <c r="Q74" s="3"/>
    </row>
    <row r="75" spans="13:17" ht="112.5" customHeight="1">
      <c r="M75" s="6"/>
      <c r="N75" s="3"/>
      <c r="O75" s="3"/>
      <c r="P75" s="3"/>
      <c r="Q75" s="3"/>
    </row>
    <row r="76" spans="13:17" ht="112.5" customHeight="1">
      <c r="M76" s="6"/>
      <c r="N76" s="3"/>
      <c r="O76" s="3"/>
      <c r="P76" s="3"/>
      <c r="Q76" s="3"/>
    </row>
    <row r="77" spans="13:17" ht="112.5" customHeight="1">
      <c r="M77" s="6"/>
      <c r="N77" s="3"/>
      <c r="O77" s="3"/>
      <c r="P77" s="3"/>
      <c r="Q77" s="3"/>
    </row>
    <row r="78" spans="13:17" ht="112.5" customHeight="1">
      <c r="M78" s="6"/>
      <c r="N78" s="3"/>
      <c r="O78" s="3"/>
      <c r="P78" s="3"/>
      <c r="Q78" s="3"/>
    </row>
    <row r="79" spans="13:17" ht="112.5" customHeight="1">
      <c r="M79" s="6"/>
      <c r="N79" s="3"/>
      <c r="O79" s="3"/>
      <c r="P79" s="3"/>
      <c r="Q79" s="3"/>
    </row>
    <row r="80" spans="13:17" ht="112.5" customHeight="1">
      <c r="M80" s="6"/>
      <c r="N80" s="3"/>
      <c r="O80" s="3"/>
      <c r="P80" s="3"/>
      <c r="Q80" s="3"/>
    </row>
    <row r="81" spans="13:17" ht="112.5" customHeight="1">
      <c r="M81" s="6"/>
      <c r="N81" s="3"/>
      <c r="O81" s="3"/>
      <c r="P81" s="3"/>
      <c r="Q81" s="3"/>
    </row>
    <row r="82" spans="13:17" ht="112.5" customHeight="1">
      <c r="M82" s="6"/>
      <c r="N82" s="3"/>
      <c r="O82" s="3"/>
      <c r="P82" s="3"/>
      <c r="Q82" s="3"/>
    </row>
    <row r="83" spans="13:17" ht="112.5" customHeight="1">
      <c r="M83" s="6"/>
      <c r="N83" s="3"/>
      <c r="O83" s="3"/>
      <c r="P83" s="3"/>
      <c r="Q83" s="3"/>
    </row>
    <row r="84" spans="13:17" ht="112.5" customHeight="1">
      <c r="M84" s="6"/>
      <c r="N84" s="3"/>
      <c r="O84" s="3"/>
      <c r="P84" s="3"/>
      <c r="Q84" s="3"/>
    </row>
    <row r="85" spans="13:17" ht="112.5" customHeight="1">
      <c r="M85" s="6"/>
      <c r="N85" s="3"/>
      <c r="O85" s="3"/>
      <c r="P85" s="3"/>
      <c r="Q85" s="3"/>
    </row>
    <row r="86" spans="13:17" ht="112.5" customHeight="1">
      <c r="M86" s="6"/>
      <c r="N86" s="3"/>
      <c r="O86" s="3"/>
      <c r="P86" s="3"/>
      <c r="Q86" s="3"/>
    </row>
    <row r="87" spans="13:17" ht="112.5" customHeight="1">
      <c r="M87" s="6"/>
      <c r="N87" s="3"/>
      <c r="O87" s="3"/>
      <c r="P87" s="3"/>
      <c r="Q87" s="3"/>
    </row>
    <row r="88" spans="13:17" ht="112.5" customHeight="1">
      <c r="M88" s="6"/>
      <c r="N88" s="3"/>
      <c r="O88" s="3"/>
      <c r="P88" s="3"/>
      <c r="Q88" s="3"/>
    </row>
    <row r="89" spans="13:17" ht="112.5" customHeight="1">
      <c r="M89" s="6"/>
      <c r="N89" s="3"/>
      <c r="O89" s="3"/>
      <c r="P89" s="3"/>
      <c r="Q89" s="3"/>
    </row>
    <row r="90" spans="13:17" ht="112.5" customHeight="1">
      <c r="M90" s="6"/>
      <c r="N90" s="3"/>
      <c r="O90" s="3"/>
      <c r="P90" s="3"/>
      <c r="Q90" s="3"/>
    </row>
    <row r="91" spans="13:17" ht="112.5" customHeight="1">
      <c r="M91" s="6"/>
      <c r="N91" s="3"/>
      <c r="O91" s="3"/>
      <c r="P91" s="3"/>
      <c r="Q91" s="3"/>
    </row>
    <row r="92" spans="13:17" ht="112.5" customHeight="1">
      <c r="M92" s="6"/>
      <c r="N92" s="3"/>
      <c r="O92" s="3"/>
      <c r="P92" s="3"/>
      <c r="Q92" s="3"/>
    </row>
    <row r="93" spans="13:17" ht="112.5" customHeight="1">
      <c r="M93" s="6"/>
      <c r="N93" s="3"/>
      <c r="O93" s="3"/>
      <c r="P93" s="3"/>
      <c r="Q93" s="3"/>
    </row>
    <row r="94" spans="13:17" ht="112.5" customHeight="1">
      <c r="M94" s="6"/>
      <c r="N94" s="3"/>
      <c r="O94" s="3"/>
      <c r="P94" s="3"/>
      <c r="Q94" s="3"/>
    </row>
    <row r="95" spans="13:17" ht="112.5" customHeight="1">
      <c r="M95" s="6"/>
      <c r="N95" s="3"/>
      <c r="O95" s="3"/>
      <c r="P95" s="3"/>
      <c r="Q95" s="3"/>
    </row>
    <row r="96" spans="13:17" ht="112.5" customHeight="1">
      <c r="M96" s="6"/>
      <c r="N96" s="3"/>
      <c r="O96" s="3"/>
      <c r="P96" s="3"/>
      <c r="Q96" s="3"/>
    </row>
    <row r="97" spans="13:17" ht="112.5" customHeight="1">
      <c r="M97" s="6"/>
      <c r="N97" s="3"/>
      <c r="O97" s="3"/>
      <c r="P97" s="3"/>
      <c r="Q97" s="3"/>
    </row>
    <row r="98" spans="13:17" ht="112.5" customHeight="1">
      <c r="M98" s="6"/>
      <c r="N98" s="3"/>
      <c r="O98" s="3"/>
      <c r="P98" s="3"/>
      <c r="Q98" s="3"/>
    </row>
    <row r="99" spans="13:17" ht="112.5" customHeight="1">
      <c r="M99" s="6"/>
      <c r="N99" s="3"/>
      <c r="O99" s="3"/>
      <c r="P99" s="3"/>
      <c r="Q99" s="3"/>
    </row>
    <row r="100" spans="13:17" ht="112.5" customHeight="1">
      <c r="M100" s="6"/>
      <c r="N100" s="3"/>
      <c r="O100" s="3"/>
      <c r="P100" s="3"/>
      <c r="Q100" s="3"/>
    </row>
    <row r="101" spans="13:17" ht="112.5" customHeight="1">
      <c r="M101" s="6"/>
      <c r="N101" s="3"/>
      <c r="O101" s="3"/>
      <c r="P101" s="3"/>
      <c r="Q101" s="3"/>
    </row>
    <row r="102" spans="13:17" ht="112.5" customHeight="1">
      <c r="M102" s="6"/>
      <c r="N102" s="3"/>
      <c r="O102" s="3"/>
      <c r="P102" s="3"/>
      <c r="Q102" s="3"/>
    </row>
    <row r="103" spans="13:17" ht="112.5" customHeight="1">
      <c r="M103" s="6"/>
      <c r="N103" s="3"/>
      <c r="O103" s="3"/>
      <c r="P103" s="3"/>
      <c r="Q103" s="3"/>
    </row>
    <row r="104" spans="13:17" ht="112.5" customHeight="1">
      <c r="M104" s="6"/>
      <c r="N104" s="3"/>
      <c r="O104" s="3"/>
      <c r="P104" s="3"/>
      <c r="Q104" s="3"/>
    </row>
    <row r="105" spans="13:17" ht="112.5" customHeight="1">
      <c r="M105" s="6"/>
      <c r="N105" s="3"/>
      <c r="O105" s="3"/>
      <c r="P105" s="3"/>
      <c r="Q105" s="3"/>
    </row>
    <row r="106" spans="13:17" ht="112.5" customHeight="1">
      <c r="M106" s="6"/>
      <c r="N106" s="3"/>
      <c r="O106" s="3"/>
      <c r="P106" s="3"/>
      <c r="Q106" s="3"/>
    </row>
    <row r="107" spans="13:17" ht="112.5" customHeight="1">
      <c r="M107" s="6"/>
      <c r="N107" s="3"/>
      <c r="O107" s="3"/>
      <c r="P107" s="3"/>
      <c r="Q107" s="3"/>
    </row>
    <row r="108" spans="13:17" ht="112.5" customHeight="1">
      <c r="M108" s="6"/>
      <c r="N108" s="3"/>
      <c r="O108" s="3"/>
      <c r="P108" s="3"/>
      <c r="Q108" s="3"/>
    </row>
    <row r="109" spans="13:17" ht="112.5" customHeight="1">
      <c r="M109" s="6"/>
      <c r="N109" s="3"/>
      <c r="O109" s="3"/>
      <c r="P109" s="3"/>
      <c r="Q109" s="3"/>
    </row>
    <row r="110" spans="13:17" ht="112.5" customHeight="1">
      <c r="M110" s="6"/>
      <c r="N110" s="3"/>
      <c r="O110" s="3"/>
      <c r="P110" s="3"/>
      <c r="Q110" s="3"/>
    </row>
    <row r="111" spans="13:17" ht="112.5" customHeight="1">
      <c r="M111" s="6"/>
      <c r="N111" s="3"/>
      <c r="O111" s="3"/>
      <c r="P111" s="3"/>
      <c r="Q111" s="3"/>
    </row>
    <row r="112" spans="13:17" ht="112.5" customHeight="1">
      <c r="M112" s="6"/>
      <c r="N112" s="3"/>
      <c r="O112" s="3"/>
      <c r="P112" s="3"/>
      <c r="Q112" s="3"/>
    </row>
    <row r="113" spans="13:17" ht="112.5" customHeight="1">
      <c r="M113" s="6"/>
      <c r="N113" s="3"/>
      <c r="O113" s="3"/>
      <c r="P113" s="3"/>
      <c r="Q113" s="3"/>
    </row>
    <row r="114" spans="13:17" ht="112.5" customHeight="1">
      <c r="M114" s="6"/>
      <c r="N114" s="3"/>
      <c r="O114" s="3"/>
      <c r="P114" s="3"/>
      <c r="Q114" s="3"/>
    </row>
    <row r="115" spans="13:17" ht="112.5" customHeight="1">
      <c r="M115" s="6"/>
      <c r="N115" s="3"/>
      <c r="O115" s="3"/>
      <c r="P115" s="3"/>
      <c r="Q115" s="3"/>
    </row>
    <row r="116" spans="13:17" ht="112.5" customHeight="1">
      <c r="M116" s="6"/>
      <c r="N116" s="3"/>
      <c r="O116" s="3"/>
      <c r="P116" s="3"/>
      <c r="Q116" s="3"/>
    </row>
    <row r="117" spans="13:17" ht="112.5" customHeight="1">
      <c r="M117" s="6"/>
      <c r="N117" s="3"/>
      <c r="O117" s="3"/>
      <c r="P117" s="3"/>
      <c r="Q117" s="3"/>
    </row>
    <row r="118" spans="13:17" ht="112.5" customHeight="1">
      <c r="M118" s="6"/>
      <c r="N118" s="3"/>
      <c r="O118" s="3"/>
      <c r="P118" s="3"/>
      <c r="Q118" s="3"/>
    </row>
    <row r="119" spans="13:17" ht="112.5" customHeight="1">
      <c r="M119" s="6"/>
      <c r="N119" s="3"/>
      <c r="O119" s="3"/>
      <c r="P119" s="3"/>
      <c r="Q119" s="3"/>
    </row>
    <row r="120" spans="13:17" ht="112.5" customHeight="1">
      <c r="M120" s="6"/>
      <c r="N120" s="3"/>
      <c r="O120" s="3"/>
      <c r="P120" s="3"/>
      <c r="Q120" s="3"/>
    </row>
    <row r="121" spans="13:17" ht="112.5" customHeight="1">
      <c r="M121" s="6"/>
      <c r="N121" s="3"/>
      <c r="O121" s="3"/>
      <c r="P121" s="3"/>
      <c r="Q121" s="3"/>
    </row>
    <row r="122" spans="13:17" ht="112.5" customHeight="1">
      <c r="M122" s="6"/>
      <c r="N122" s="3"/>
      <c r="O122" s="3"/>
      <c r="P122" s="3"/>
      <c r="Q122" s="3"/>
    </row>
    <row r="123" spans="13:17" ht="112.5" customHeight="1">
      <c r="M123" s="6"/>
      <c r="N123" s="3"/>
      <c r="O123" s="3"/>
      <c r="P123" s="3"/>
      <c r="Q123" s="3"/>
    </row>
    <row r="124" spans="13:17" ht="112.5" customHeight="1">
      <c r="M124" s="6"/>
      <c r="N124" s="3"/>
      <c r="O124" s="3"/>
      <c r="P124" s="3"/>
      <c r="Q124" s="3"/>
    </row>
    <row r="125" spans="13:17" ht="112.5" customHeight="1">
      <c r="M125" s="6"/>
      <c r="N125" s="3"/>
      <c r="O125" s="3"/>
      <c r="P125" s="3"/>
      <c r="Q125" s="3"/>
    </row>
    <row r="126" spans="13:17" ht="112.5" customHeight="1">
      <c r="M126" s="6"/>
      <c r="N126" s="3"/>
      <c r="O126" s="3"/>
      <c r="P126" s="3"/>
      <c r="Q126" s="3"/>
    </row>
    <row r="127" spans="13:17" ht="112.5" customHeight="1">
      <c r="M127" s="6"/>
      <c r="N127" s="3"/>
      <c r="O127" s="3"/>
      <c r="P127" s="3"/>
      <c r="Q127" s="3"/>
    </row>
    <row r="128" spans="13:17" ht="112.5" customHeight="1">
      <c r="M128" s="6"/>
      <c r="N128" s="3"/>
      <c r="O128" s="3"/>
      <c r="P128" s="3"/>
      <c r="Q128" s="3"/>
    </row>
    <row r="129" spans="13:17" ht="112.5" customHeight="1">
      <c r="M129" s="6"/>
      <c r="N129" s="3"/>
      <c r="O129" s="3"/>
      <c r="P129" s="3"/>
      <c r="Q129" s="3"/>
    </row>
    <row r="130" spans="13:17" ht="112.5" customHeight="1">
      <c r="M130" s="6"/>
      <c r="N130" s="3"/>
      <c r="O130" s="3"/>
      <c r="P130" s="3"/>
      <c r="Q130" s="3"/>
    </row>
    <row r="131" spans="13:17" ht="112.5" customHeight="1">
      <c r="M131" s="6"/>
      <c r="N131" s="3"/>
      <c r="O131" s="3"/>
      <c r="P131" s="3"/>
      <c r="Q131" s="3"/>
    </row>
    <row r="132" spans="13:17" ht="112.5" customHeight="1">
      <c r="M132" s="6"/>
      <c r="N132" s="3"/>
      <c r="O132" s="3"/>
      <c r="P132" s="3"/>
      <c r="Q132" s="3"/>
    </row>
    <row r="133" spans="13:17" ht="112.5" customHeight="1">
      <c r="M133" s="6"/>
      <c r="N133" s="3"/>
      <c r="O133" s="3"/>
      <c r="P133" s="3"/>
      <c r="Q133" s="3"/>
    </row>
    <row r="134" spans="13:17" ht="112.5" customHeight="1">
      <c r="M134" s="6"/>
      <c r="N134" s="3"/>
      <c r="O134" s="3"/>
      <c r="P134" s="3"/>
      <c r="Q134" s="3"/>
    </row>
    <row r="135" spans="13:17" ht="112.5" customHeight="1">
      <c r="M135" s="6"/>
      <c r="N135" s="3"/>
      <c r="O135" s="3"/>
      <c r="P135" s="3"/>
      <c r="Q135" s="3"/>
    </row>
    <row r="136" spans="13:17" ht="112.5" customHeight="1">
      <c r="M136" s="6"/>
      <c r="N136" s="3"/>
      <c r="O136" s="3"/>
      <c r="P136" s="3"/>
      <c r="Q136" s="3"/>
    </row>
    <row r="137" spans="13:17" ht="112.5" customHeight="1">
      <c r="M137" s="6"/>
      <c r="N137" s="3"/>
      <c r="O137" s="3"/>
      <c r="P137" s="3"/>
      <c r="Q137" s="3"/>
    </row>
    <row r="138" spans="13:17" ht="112.5" customHeight="1">
      <c r="M138" s="6"/>
      <c r="N138" s="3"/>
      <c r="O138" s="3"/>
      <c r="P138" s="3"/>
      <c r="Q138" s="3"/>
    </row>
    <row r="139" spans="13:17" ht="112.5" customHeight="1">
      <c r="M139" s="6"/>
      <c r="N139" s="3"/>
      <c r="O139" s="3"/>
      <c r="P139" s="3"/>
      <c r="Q139" s="3"/>
    </row>
    <row r="140" spans="13:17" ht="112.5" customHeight="1">
      <c r="M140" s="6"/>
      <c r="N140" s="3"/>
      <c r="O140" s="3"/>
      <c r="P140" s="3"/>
      <c r="Q140" s="3"/>
    </row>
    <row r="141" spans="13:17" ht="112.5" customHeight="1">
      <c r="M141" s="6"/>
      <c r="N141" s="3"/>
      <c r="O141" s="3"/>
      <c r="P141" s="3"/>
      <c r="Q141" s="3"/>
    </row>
    <row r="142" spans="13:17" ht="112.5" customHeight="1">
      <c r="M142" s="6"/>
      <c r="N142" s="3"/>
      <c r="O142" s="3"/>
      <c r="P142" s="3"/>
      <c r="Q142" s="3"/>
    </row>
    <row r="143" spans="13:17" ht="112.5" customHeight="1">
      <c r="M143" s="6"/>
      <c r="N143" s="3"/>
      <c r="O143" s="3"/>
      <c r="P143" s="3"/>
      <c r="Q143" s="3"/>
    </row>
    <row r="144" spans="13:17" ht="112.5" customHeight="1">
      <c r="M144" s="6"/>
      <c r="N144" s="3"/>
      <c r="O144" s="3"/>
      <c r="P144" s="3"/>
      <c r="Q144" s="3"/>
    </row>
    <row r="145" spans="13:17" ht="112.5" customHeight="1">
      <c r="M145" s="6"/>
      <c r="N145" s="3"/>
      <c r="O145" s="3"/>
      <c r="P145" s="3"/>
      <c r="Q145" s="3"/>
    </row>
    <row r="146" spans="13:17" ht="112.5" customHeight="1">
      <c r="M146" s="6"/>
      <c r="N146" s="3"/>
      <c r="O146" s="3"/>
      <c r="P146" s="3"/>
      <c r="Q146" s="3"/>
    </row>
    <row r="147" spans="13:17" ht="112.5" customHeight="1">
      <c r="M147" s="6"/>
      <c r="N147" s="3"/>
      <c r="O147" s="3"/>
      <c r="P147" s="3"/>
      <c r="Q147" s="3"/>
    </row>
    <row r="148" spans="13:17" ht="112.5" customHeight="1">
      <c r="M148" s="6"/>
      <c r="N148" s="3"/>
      <c r="O148" s="3"/>
      <c r="P148" s="3"/>
      <c r="Q148" s="3"/>
    </row>
    <row r="149" spans="13:17" ht="112.5" customHeight="1">
      <c r="M149" s="6"/>
      <c r="N149" s="3"/>
      <c r="O149" s="3"/>
      <c r="P149" s="3"/>
      <c r="Q149" s="3"/>
    </row>
    <row r="150" spans="13:17" ht="112.5" customHeight="1">
      <c r="M150" s="6"/>
      <c r="N150" s="3"/>
      <c r="O150" s="3"/>
      <c r="P150" s="3"/>
      <c r="Q150" s="3"/>
    </row>
    <row r="151" spans="13:17" ht="112.5" customHeight="1">
      <c r="M151" s="6"/>
      <c r="N151" s="3"/>
      <c r="O151" s="3"/>
      <c r="P151" s="3"/>
      <c r="Q151" s="3"/>
    </row>
    <row r="152" spans="13:17" ht="112.5" customHeight="1">
      <c r="M152" s="6"/>
      <c r="N152" s="3"/>
      <c r="O152" s="3"/>
      <c r="P152" s="3"/>
      <c r="Q152" s="3"/>
    </row>
    <row r="153" spans="13:17" ht="112.5" customHeight="1">
      <c r="M153" s="6"/>
      <c r="N153" s="3"/>
      <c r="O153" s="3"/>
      <c r="P153" s="3"/>
      <c r="Q153" s="3"/>
    </row>
    <row r="154" spans="13:17" ht="112.5" customHeight="1">
      <c r="M154" s="6"/>
      <c r="N154" s="3"/>
      <c r="O154" s="3"/>
      <c r="P154" s="3"/>
      <c r="Q154" s="3"/>
    </row>
    <row r="155" spans="13:17" ht="112.5" customHeight="1">
      <c r="M155" s="6"/>
      <c r="N155" s="3"/>
      <c r="O155" s="3"/>
      <c r="P155" s="3"/>
      <c r="Q155" s="3"/>
    </row>
    <row r="156" spans="13:17" ht="112.5" customHeight="1">
      <c r="M156" s="6"/>
      <c r="N156" s="3"/>
      <c r="O156" s="3"/>
      <c r="P156" s="3"/>
      <c r="Q156" s="3"/>
    </row>
    <row r="157" spans="13:17" ht="112.5" customHeight="1">
      <c r="M157" s="6"/>
      <c r="N157" s="3"/>
      <c r="O157" s="3"/>
      <c r="P157" s="3"/>
      <c r="Q157" s="3"/>
    </row>
    <row r="158" spans="13:17" ht="112.5" customHeight="1">
      <c r="M158" s="6"/>
      <c r="N158" s="3"/>
      <c r="O158" s="3"/>
      <c r="P158" s="3"/>
      <c r="Q158" s="3"/>
    </row>
    <row r="159" spans="13:17" ht="112.5" customHeight="1">
      <c r="M159" s="6"/>
      <c r="N159" s="3"/>
      <c r="O159" s="3"/>
      <c r="P159" s="3"/>
      <c r="Q159" s="3"/>
    </row>
    <row r="160" spans="13:17" ht="112.5" customHeight="1">
      <c r="M160" s="6"/>
      <c r="N160" s="3"/>
      <c r="O160" s="3"/>
      <c r="P160" s="3"/>
      <c r="Q160" s="3"/>
    </row>
    <row r="161" spans="13:17" ht="112.5" customHeight="1">
      <c r="M161" s="6"/>
      <c r="N161" s="3"/>
      <c r="O161" s="3"/>
      <c r="P161" s="3"/>
      <c r="Q161" s="3"/>
    </row>
    <row r="162" spans="13:17" ht="112.5" customHeight="1">
      <c r="M162" s="6"/>
      <c r="N162" s="3"/>
      <c r="O162" s="3"/>
      <c r="P162" s="3"/>
      <c r="Q162" s="3"/>
    </row>
    <row r="163" spans="13:17" ht="112.5" customHeight="1">
      <c r="M163" s="6"/>
      <c r="N163" s="3"/>
      <c r="O163" s="3"/>
      <c r="P163" s="3"/>
      <c r="Q163" s="3"/>
    </row>
    <row r="164" spans="13:17" ht="112.5" customHeight="1">
      <c r="M164" s="6"/>
      <c r="N164" s="3"/>
      <c r="O164" s="3"/>
      <c r="P164" s="3"/>
      <c r="Q164" s="3"/>
    </row>
    <row r="165" spans="13:17" ht="112.5" customHeight="1">
      <c r="M165" s="6"/>
      <c r="N165" s="3"/>
      <c r="O165" s="3"/>
      <c r="P165" s="3"/>
      <c r="Q165" s="3"/>
    </row>
    <row r="166" spans="13:17" ht="112.5" customHeight="1">
      <c r="M166" s="6"/>
      <c r="N166" s="3"/>
      <c r="O166" s="3"/>
      <c r="P166" s="3"/>
      <c r="Q166" s="3"/>
    </row>
    <row r="167" spans="13:17" ht="112.5" customHeight="1">
      <c r="M167" s="6"/>
      <c r="N167" s="3"/>
      <c r="O167" s="3"/>
      <c r="P167" s="3"/>
      <c r="Q167" s="3"/>
    </row>
    <row r="168" spans="13:17" ht="112.5" customHeight="1">
      <c r="M168" s="6"/>
      <c r="N168" s="3"/>
      <c r="O168" s="3"/>
      <c r="P168" s="3"/>
      <c r="Q168" s="3"/>
    </row>
    <row r="169" spans="13:17" ht="112.5" customHeight="1">
      <c r="M169" s="6"/>
      <c r="N169" s="3"/>
      <c r="O169" s="3"/>
      <c r="P169" s="3"/>
      <c r="Q169" s="3"/>
    </row>
    <row r="170" spans="13:17" ht="112.5" customHeight="1">
      <c r="M170" s="6"/>
      <c r="N170" s="3"/>
      <c r="O170" s="3"/>
      <c r="P170" s="3"/>
      <c r="Q170" s="3"/>
    </row>
    <row r="171" spans="13:17" ht="112.5" customHeight="1">
      <c r="M171" s="6"/>
      <c r="N171" s="3"/>
      <c r="O171" s="3"/>
      <c r="P171" s="3"/>
      <c r="Q171" s="3"/>
    </row>
    <row r="172" spans="13:17" ht="112.5" customHeight="1">
      <c r="M172" s="6"/>
      <c r="N172" s="3"/>
      <c r="O172" s="3"/>
      <c r="P172" s="3"/>
      <c r="Q172" s="3"/>
    </row>
    <row r="173" spans="13:17" ht="112.5" customHeight="1">
      <c r="M173" s="6"/>
      <c r="N173" s="3"/>
      <c r="O173" s="3"/>
      <c r="P173" s="3"/>
      <c r="Q173" s="3"/>
    </row>
    <row r="174" spans="13:17" ht="112.5" customHeight="1">
      <c r="M174" s="6"/>
      <c r="N174" s="3"/>
      <c r="O174" s="3"/>
      <c r="P174" s="3"/>
      <c r="Q174" s="3"/>
    </row>
    <row r="175" spans="13:17" ht="112.5" customHeight="1">
      <c r="M175" s="6"/>
      <c r="N175" s="3"/>
      <c r="O175" s="3"/>
      <c r="P175" s="3"/>
      <c r="Q175" s="3"/>
    </row>
    <row r="176" spans="13:17" ht="112.5" customHeight="1">
      <c r="M176" s="6"/>
      <c r="N176" s="3"/>
      <c r="O176" s="3"/>
      <c r="P176" s="3"/>
      <c r="Q176" s="3"/>
    </row>
    <row r="177" spans="13:17" ht="112.5" customHeight="1">
      <c r="M177" s="6"/>
      <c r="N177" s="3"/>
      <c r="O177" s="3"/>
      <c r="P177" s="3"/>
      <c r="Q177" s="3"/>
    </row>
    <row r="178" spans="13:17" ht="112.5" customHeight="1">
      <c r="M178" s="6"/>
      <c r="N178" s="3"/>
      <c r="O178" s="3"/>
      <c r="P178" s="3"/>
      <c r="Q178" s="3"/>
    </row>
    <row r="179" spans="13:17" ht="112.5" customHeight="1">
      <c r="M179" s="6"/>
      <c r="N179" s="3"/>
      <c r="O179" s="3"/>
      <c r="P179" s="3"/>
      <c r="Q179" s="3"/>
    </row>
    <row r="180" spans="13:17" ht="112.5" customHeight="1">
      <c r="M180" s="6"/>
      <c r="N180" s="3"/>
      <c r="O180" s="3"/>
      <c r="P180" s="3"/>
      <c r="Q180" s="3"/>
    </row>
    <row r="181" spans="13:17" ht="112.5" customHeight="1">
      <c r="M181" s="6"/>
      <c r="N181" s="3"/>
      <c r="O181" s="3"/>
      <c r="P181" s="3"/>
      <c r="Q181" s="3"/>
    </row>
    <row r="182" spans="13:17" ht="112.5" customHeight="1">
      <c r="M182" s="6"/>
      <c r="N182" s="3"/>
      <c r="O182" s="3"/>
      <c r="P182" s="3"/>
      <c r="Q182" s="3"/>
    </row>
    <row r="183" spans="13:17" ht="112.5" customHeight="1">
      <c r="M183" s="6"/>
      <c r="N183" s="3"/>
      <c r="O183" s="3"/>
      <c r="P183" s="3"/>
      <c r="Q183" s="3"/>
    </row>
    <row r="184" spans="13:17" ht="112.5" customHeight="1">
      <c r="M184" s="6"/>
      <c r="N184" s="3"/>
      <c r="O184" s="3"/>
      <c r="P184" s="3"/>
      <c r="Q184" s="3"/>
    </row>
    <row r="185" spans="13:17" ht="112.5" customHeight="1">
      <c r="M185" s="6"/>
      <c r="N185" s="3"/>
      <c r="O185" s="3"/>
      <c r="P185" s="3"/>
      <c r="Q185" s="3"/>
    </row>
    <row r="186" spans="13:17" ht="112.5" customHeight="1">
      <c r="M186" s="6"/>
      <c r="N186" s="3"/>
      <c r="O186" s="3"/>
      <c r="P186" s="3"/>
      <c r="Q186" s="3"/>
    </row>
    <row r="187" spans="13:17" ht="112.5" customHeight="1">
      <c r="M187" s="6"/>
      <c r="N187" s="3"/>
      <c r="O187" s="3"/>
      <c r="P187" s="3"/>
      <c r="Q187" s="3"/>
    </row>
    <row r="188" spans="13:17" ht="112.5" customHeight="1">
      <c r="M188" s="6"/>
      <c r="N188" s="3"/>
      <c r="O188" s="3"/>
      <c r="P188" s="3"/>
      <c r="Q188" s="3"/>
    </row>
    <row r="189" spans="13:17" ht="112.5" customHeight="1">
      <c r="M189" s="6"/>
      <c r="N189" s="3"/>
      <c r="O189" s="3"/>
      <c r="P189" s="3"/>
      <c r="Q189" s="3"/>
    </row>
    <row r="190" spans="13:17" ht="112.5" customHeight="1">
      <c r="M190" s="6"/>
      <c r="N190" s="3"/>
      <c r="O190" s="3"/>
      <c r="P190" s="3"/>
      <c r="Q190" s="3"/>
    </row>
    <row r="191" spans="13:17" ht="112.5" customHeight="1">
      <c r="M191" s="6"/>
      <c r="N191" s="3"/>
      <c r="O191" s="3"/>
      <c r="P191" s="3"/>
      <c r="Q191" s="3"/>
    </row>
    <row r="192" spans="13:17" ht="112.5" customHeight="1">
      <c r="M192" s="6"/>
      <c r="N192" s="3"/>
      <c r="O192" s="3"/>
      <c r="P192" s="3"/>
      <c r="Q192" s="3"/>
    </row>
    <row r="193" spans="13:17" ht="112.5" customHeight="1">
      <c r="M193" s="6"/>
      <c r="N193" s="3"/>
      <c r="O193" s="3"/>
      <c r="P193" s="3"/>
      <c r="Q193" s="3"/>
    </row>
    <row r="194" spans="13:17" ht="112.5" customHeight="1">
      <c r="M194" s="6"/>
      <c r="N194" s="3"/>
      <c r="O194" s="3"/>
      <c r="P194" s="3"/>
      <c r="Q194" s="3"/>
    </row>
    <row r="195" spans="13:17" ht="112.5" customHeight="1">
      <c r="M195" s="6"/>
      <c r="N195" s="3"/>
      <c r="O195" s="3"/>
      <c r="P195" s="3"/>
      <c r="Q195" s="3"/>
    </row>
    <row r="196" spans="13:17" ht="112.5" customHeight="1">
      <c r="M196" s="6"/>
      <c r="N196" s="3"/>
      <c r="O196" s="3"/>
      <c r="P196" s="3"/>
      <c r="Q196" s="3"/>
    </row>
    <row r="197" spans="13:17" ht="112.5" customHeight="1">
      <c r="M197" s="6"/>
      <c r="N197" s="3"/>
      <c r="O197" s="3"/>
      <c r="P197" s="3"/>
      <c r="Q197" s="3"/>
    </row>
    <row r="198" spans="13:17" ht="112.5" customHeight="1">
      <c r="M198" s="6"/>
      <c r="N198" s="3"/>
      <c r="O198" s="3"/>
      <c r="P198" s="3"/>
      <c r="Q198" s="3"/>
    </row>
    <row r="199" spans="13:17" ht="112.5" customHeight="1">
      <c r="M199" s="6"/>
      <c r="N199" s="3"/>
      <c r="O199" s="3"/>
      <c r="P199" s="3"/>
      <c r="Q199" s="3"/>
    </row>
    <row r="200" spans="13:17" ht="112.5" customHeight="1">
      <c r="M200" s="6"/>
      <c r="N200" s="3"/>
      <c r="O200" s="3"/>
      <c r="P200" s="3"/>
      <c r="Q200" s="3"/>
    </row>
    <row r="201" spans="13:17" ht="112.5" customHeight="1">
      <c r="M201" s="6"/>
      <c r="N201" s="3"/>
      <c r="O201" s="3"/>
      <c r="P201" s="3"/>
      <c r="Q201" s="3"/>
    </row>
    <row r="202" spans="13:17" ht="112.5" customHeight="1">
      <c r="M202" s="6"/>
      <c r="N202" s="3"/>
      <c r="O202" s="3"/>
      <c r="P202" s="3"/>
      <c r="Q202" s="3"/>
    </row>
    <row r="203" spans="13:17" ht="112.5" customHeight="1">
      <c r="M203" s="6"/>
      <c r="N203" s="3"/>
      <c r="O203" s="3"/>
      <c r="P203" s="3"/>
      <c r="Q203" s="3"/>
    </row>
    <row r="204" spans="13:17" ht="112.5" customHeight="1">
      <c r="M204" s="6"/>
      <c r="N204" s="3"/>
      <c r="O204" s="3"/>
      <c r="P204" s="3"/>
      <c r="Q204" s="3"/>
    </row>
    <row r="205" spans="13:17" ht="112.5" customHeight="1">
      <c r="M205" s="6"/>
      <c r="N205" s="3"/>
      <c r="O205" s="3"/>
      <c r="P205" s="3"/>
      <c r="Q205" s="3"/>
    </row>
    <row r="206" spans="13:17" ht="39.75" customHeight="1">
      <c r="M206" s="6"/>
      <c r="N206" s="3"/>
      <c r="O206" s="3"/>
      <c r="P206" s="3"/>
      <c r="Q206" s="3"/>
    </row>
    <row r="207" spans="13:17" ht="39.75" customHeight="1">
      <c r="M207" s="6"/>
      <c r="N207" s="3"/>
      <c r="O207" s="3"/>
      <c r="P207" s="3"/>
      <c r="Q207" s="3"/>
    </row>
    <row r="208" spans="13:17" ht="39.75" customHeight="1">
      <c r="M208" s="6"/>
      <c r="N208" s="3"/>
      <c r="O208" s="3"/>
      <c r="P208" s="3"/>
      <c r="Q208" s="3"/>
    </row>
    <row r="209" spans="13:17" ht="39.75" customHeight="1">
      <c r="M209" s="6"/>
      <c r="N209" s="3"/>
      <c r="O209" s="3"/>
      <c r="P209" s="3"/>
      <c r="Q209" s="3"/>
    </row>
    <row r="210" spans="13:17" ht="39.75" customHeight="1">
      <c r="M210" s="6"/>
      <c r="N210" s="3"/>
      <c r="O210" s="3"/>
      <c r="P210" s="3"/>
      <c r="Q210" s="3"/>
    </row>
    <row r="211" spans="13:17" ht="39.75" customHeight="1">
      <c r="M211" s="6"/>
      <c r="N211" s="3"/>
      <c r="O211" s="3"/>
      <c r="P211" s="3"/>
      <c r="Q211" s="3"/>
    </row>
    <row r="212" spans="13:17" ht="39.75" customHeight="1">
      <c r="M212" s="6"/>
      <c r="N212" s="3"/>
      <c r="O212" s="3"/>
      <c r="P212" s="3"/>
      <c r="Q212" s="3"/>
    </row>
    <row r="213" spans="13:17" ht="39.75" customHeight="1">
      <c r="M213" s="6"/>
      <c r="N213" s="3"/>
      <c r="O213" s="3"/>
      <c r="P213" s="3"/>
      <c r="Q213" s="3"/>
    </row>
    <row r="214" spans="13:17" ht="39.75" customHeight="1">
      <c r="M214" s="6"/>
      <c r="N214" s="3"/>
      <c r="O214" s="3"/>
      <c r="P214" s="3"/>
      <c r="Q214" s="3"/>
    </row>
    <row r="215" spans="13:17" ht="39.75" customHeight="1">
      <c r="M215" s="6"/>
      <c r="N215" s="3"/>
      <c r="O215" s="3"/>
      <c r="P215" s="3"/>
      <c r="Q215" s="3"/>
    </row>
    <row r="216" spans="13:17" ht="39.75" customHeight="1">
      <c r="M216" s="6"/>
      <c r="N216" s="3"/>
      <c r="O216" s="3"/>
      <c r="P216" s="3"/>
      <c r="Q216" s="3"/>
    </row>
    <row r="217" spans="13:17" ht="39.75" customHeight="1">
      <c r="M217" s="6"/>
      <c r="N217" s="3"/>
      <c r="O217" s="3"/>
      <c r="P217" s="3"/>
      <c r="Q217" s="3"/>
    </row>
    <row r="218" spans="13:17" ht="39.75" customHeight="1">
      <c r="M218" s="6"/>
      <c r="N218" s="3"/>
      <c r="O218" s="3"/>
      <c r="P218" s="3"/>
      <c r="Q218" s="3"/>
    </row>
    <row r="219" spans="13:17" ht="39.75" customHeight="1">
      <c r="M219" s="6"/>
      <c r="N219" s="3"/>
      <c r="O219" s="3"/>
      <c r="P219" s="3"/>
      <c r="Q219" s="3"/>
    </row>
    <row r="220" spans="13:17" ht="39.75" customHeight="1">
      <c r="M220" s="6"/>
      <c r="N220" s="3"/>
      <c r="O220" s="3"/>
      <c r="P220" s="3"/>
      <c r="Q220" s="3"/>
    </row>
    <row r="221" spans="13:17" ht="39.75" customHeight="1">
      <c r="M221" s="6"/>
      <c r="N221" s="3"/>
      <c r="O221" s="3"/>
      <c r="P221" s="3"/>
      <c r="Q221" s="3"/>
    </row>
    <row r="222" spans="13:17" ht="39.75" customHeight="1">
      <c r="M222" s="6"/>
      <c r="N222" s="3"/>
      <c r="O222" s="3"/>
      <c r="P222" s="3"/>
      <c r="Q222" s="3"/>
    </row>
    <row r="223" spans="13:17" ht="39.75" customHeight="1">
      <c r="M223" s="6"/>
      <c r="N223" s="3"/>
      <c r="O223" s="3"/>
      <c r="P223" s="3"/>
      <c r="Q223" s="3"/>
    </row>
    <row r="224" spans="13:17" ht="39.75" customHeight="1">
      <c r="M224" s="6"/>
      <c r="N224" s="3"/>
      <c r="O224" s="3"/>
      <c r="P224" s="3"/>
      <c r="Q224" s="3"/>
    </row>
    <row r="225" spans="13:17" ht="39.75" customHeight="1">
      <c r="M225" s="6"/>
      <c r="N225" s="3"/>
      <c r="O225" s="3"/>
      <c r="P225" s="3"/>
      <c r="Q225" s="3"/>
    </row>
    <row r="226" spans="13:17" ht="39.75" customHeight="1">
      <c r="M226" s="6"/>
      <c r="N226" s="3"/>
      <c r="O226" s="3"/>
      <c r="P226" s="3"/>
      <c r="Q226" s="3"/>
    </row>
    <row r="227" spans="13:17" ht="39.75" customHeight="1">
      <c r="M227" s="6"/>
      <c r="N227" s="3"/>
      <c r="O227" s="3"/>
      <c r="P227" s="3"/>
      <c r="Q227" s="3"/>
    </row>
    <row r="228" spans="13:17" ht="39.75" customHeight="1">
      <c r="M228" s="6"/>
      <c r="N228" s="3"/>
      <c r="O228" s="3"/>
      <c r="P228" s="3"/>
      <c r="Q228" s="3"/>
    </row>
    <row r="229" spans="13:17" ht="39.75" customHeight="1">
      <c r="M229" s="6"/>
      <c r="N229" s="3"/>
      <c r="O229" s="3"/>
      <c r="P229" s="3"/>
      <c r="Q229" s="3"/>
    </row>
    <row r="230" spans="13:17" ht="39.75" customHeight="1">
      <c r="M230" s="6"/>
      <c r="N230" s="3"/>
      <c r="O230" s="3"/>
      <c r="P230" s="3"/>
      <c r="Q230" s="3"/>
    </row>
    <row r="231" spans="13:17" ht="39.75" customHeight="1">
      <c r="M231" s="6"/>
      <c r="N231" s="3"/>
      <c r="O231" s="3"/>
      <c r="P231" s="3"/>
      <c r="Q231" s="3"/>
    </row>
    <row r="232" spans="13:17" ht="39.75" customHeight="1">
      <c r="M232" s="6"/>
      <c r="N232" s="3"/>
      <c r="O232" s="3"/>
      <c r="P232" s="3"/>
      <c r="Q232" s="3"/>
    </row>
    <row r="233" spans="13:17" ht="39.75" customHeight="1">
      <c r="M233" s="6"/>
      <c r="N233" s="3"/>
      <c r="O233" s="3"/>
      <c r="P233" s="3"/>
      <c r="Q233" s="3"/>
    </row>
    <row r="234" spans="13:17" ht="39.75" customHeight="1">
      <c r="M234" s="6"/>
      <c r="N234" s="3"/>
      <c r="O234" s="3"/>
      <c r="P234" s="3"/>
      <c r="Q234" s="3"/>
    </row>
    <row r="235" spans="13:17" ht="39.75" customHeight="1">
      <c r="M235" s="6"/>
      <c r="N235" s="3"/>
      <c r="O235" s="3"/>
      <c r="P235" s="3"/>
      <c r="Q235" s="3"/>
    </row>
    <row r="236" spans="13:17" ht="39.75" customHeight="1">
      <c r="M236" s="6"/>
      <c r="N236" s="3"/>
      <c r="O236" s="3"/>
      <c r="P236" s="3"/>
      <c r="Q236" s="3"/>
    </row>
    <row r="237" spans="13:17" ht="39.75" customHeight="1">
      <c r="M237" s="6"/>
      <c r="N237" s="3"/>
      <c r="O237" s="3"/>
      <c r="P237" s="3"/>
      <c r="Q237" s="3"/>
    </row>
    <row r="238" spans="13:17" ht="39.75" customHeight="1">
      <c r="M238" s="6"/>
      <c r="N238" s="3"/>
      <c r="O238" s="3"/>
      <c r="P238" s="3"/>
      <c r="Q238" s="3"/>
    </row>
    <row r="239" spans="13:17" ht="39.75" customHeight="1">
      <c r="M239" s="6"/>
      <c r="N239" s="3"/>
      <c r="O239" s="3"/>
      <c r="P239" s="3"/>
      <c r="Q239" s="3"/>
    </row>
    <row r="240" spans="13:17" ht="39.75" customHeight="1">
      <c r="M240" s="6"/>
      <c r="N240" s="3"/>
      <c r="O240" s="3"/>
      <c r="P240" s="3"/>
      <c r="Q240" s="3"/>
    </row>
    <row r="241" spans="13:17" ht="39.75" customHeight="1">
      <c r="M241" s="6"/>
      <c r="N241" s="3"/>
      <c r="O241" s="3"/>
      <c r="P241" s="3"/>
      <c r="Q241" s="3"/>
    </row>
    <row r="242" spans="13:17" ht="39.75" customHeight="1">
      <c r="M242" s="6"/>
      <c r="N242" s="3"/>
      <c r="O242" s="3"/>
      <c r="P242" s="3"/>
      <c r="Q242" s="3"/>
    </row>
    <row r="243" spans="13:17" ht="39.75" customHeight="1">
      <c r="M243" s="6"/>
      <c r="N243" s="3"/>
      <c r="O243" s="3"/>
      <c r="P243" s="3"/>
      <c r="Q243" s="3"/>
    </row>
    <row r="244" spans="13:17" ht="39.75" customHeight="1">
      <c r="M244" s="6"/>
      <c r="N244" s="3"/>
      <c r="O244" s="3"/>
      <c r="P244" s="3"/>
      <c r="Q244" s="3"/>
    </row>
    <row r="245" spans="13:17" ht="39.75" customHeight="1">
      <c r="M245" s="6"/>
      <c r="N245" s="3"/>
      <c r="O245" s="3"/>
      <c r="P245" s="3"/>
      <c r="Q245" s="3"/>
    </row>
    <row r="246" spans="13:17" ht="39.75" customHeight="1">
      <c r="M246" s="6"/>
      <c r="N246" s="3"/>
      <c r="O246" s="3"/>
      <c r="P246" s="3"/>
      <c r="Q246" s="3"/>
    </row>
    <row r="247" spans="13:17" ht="39.75" customHeight="1">
      <c r="M247" s="6"/>
      <c r="N247" s="3"/>
      <c r="O247" s="3"/>
      <c r="P247" s="3"/>
      <c r="Q247" s="3"/>
    </row>
    <row r="248" spans="13:17" ht="39.75" customHeight="1">
      <c r="M248" s="6"/>
      <c r="N248" s="3"/>
      <c r="O248" s="3"/>
      <c r="P248" s="3"/>
      <c r="Q248" s="3"/>
    </row>
    <row r="249" spans="13:17" ht="39.75" customHeight="1">
      <c r="M249" s="6"/>
      <c r="N249" s="3"/>
      <c r="O249" s="3"/>
      <c r="P249" s="3"/>
      <c r="Q249" s="3"/>
    </row>
    <row r="250" spans="13:17" ht="39.75" customHeight="1">
      <c r="M250" s="6"/>
      <c r="N250" s="3"/>
      <c r="O250" s="3"/>
      <c r="P250" s="3"/>
      <c r="Q250" s="3"/>
    </row>
    <row r="251" spans="13:17" ht="39.75" customHeight="1">
      <c r="M251" s="6"/>
      <c r="N251" s="3"/>
      <c r="O251" s="3"/>
      <c r="P251" s="3"/>
      <c r="Q251" s="3"/>
    </row>
    <row r="252" spans="13:17" ht="39.75" customHeight="1">
      <c r="M252" s="6"/>
      <c r="N252" s="3"/>
      <c r="O252" s="3"/>
      <c r="P252" s="3"/>
      <c r="Q252" s="3"/>
    </row>
    <row r="253" spans="13:17" ht="39.75" customHeight="1">
      <c r="M253" s="6"/>
      <c r="N253" s="3"/>
      <c r="O253" s="3"/>
      <c r="P253" s="3"/>
      <c r="Q253" s="3"/>
    </row>
    <row r="254" spans="13:17" ht="39.75" customHeight="1">
      <c r="M254" s="6"/>
      <c r="N254" s="3"/>
      <c r="O254" s="3"/>
      <c r="P254" s="3"/>
      <c r="Q254" s="3"/>
    </row>
    <row r="255" spans="13:17" ht="39.75" customHeight="1">
      <c r="M255" s="6"/>
      <c r="N255" s="3"/>
      <c r="O255" s="3"/>
      <c r="P255" s="3"/>
      <c r="Q255" s="3"/>
    </row>
    <row r="256" spans="13:17" ht="39.75" customHeight="1">
      <c r="M256" s="6"/>
      <c r="N256" s="3"/>
      <c r="O256" s="3"/>
      <c r="P256" s="3"/>
      <c r="Q256" s="3"/>
    </row>
    <row r="257" spans="13:17" ht="39.75" customHeight="1">
      <c r="M257" s="6"/>
      <c r="N257" s="3"/>
      <c r="O257" s="3"/>
      <c r="P257" s="3"/>
      <c r="Q257" s="3"/>
    </row>
    <row r="258" spans="13:17" ht="39.75" customHeight="1">
      <c r="M258" s="6"/>
      <c r="N258" s="3"/>
      <c r="O258" s="3"/>
      <c r="P258" s="3"/>
      <c r="Q258" s="3"/>
    </row>
    <row r="259" spans="13:17" ht="39.75" customHeight="1">
      <c r="M259" s="6"/>
      <c r="N259" s="3"/>
      <c r="O259" s="3"/>
      <c r="P259" s="3"/>
      <c r="Q259" s="3"/>
    </row>
    <row r="260" spans="13:17" ht="39.75" customHeight="1">
      <c r="M260" s="6"/>
      <c r="N260" s="3"/>
      <c r="O260" s="3"/>
      <c r="P260" s="3"/>
      <c r="Q260" s="3"/>
    </row>
    <row r="261" spans="13:17" ht="39.75" customHeight="1">
      <c r="M261" s="6"/>
      <c r="N261" s="3"/>
      <c r="O261" s="3"/>
      <c r="P261" s="3"/>
      <c r="Q261" s="3"/>
    </row>
    <row r="262" spans="13:17" ht="39.75" customHeight="1">
      <c r="M262" s="6"/>
      <c r="N262" s="3"/>
      <c r="O262" s="3"/>
      <c r="P262" s="3"/>
      <c r="Q262" s="3"/>
    </row>
    <row r="263" spans="13:17" ht="39.75" customHeight="1">
      <c r="M263" s="6"/>
      <c r="N263" s="3"/>
      <c r="O263" s="3"/>
      <c r="P263" s="3"/>
      <c r="Q263" s="3"/>
    </row>
    <row r="264" spans="13:17" ht="39.75" customHeight="1">
      <c r="M264" s="6"/>
      <c r="N264" s="3"/>
      <c r="O264" s="3"/>
      <c r="P264" s="3"/>
      <c r="Q264" s="3"/>
    </row>
    <row r="265" spans="13:17" ht="39.75" customHeight="1">
      <c r="M265" s="6"/>
      <c r="N265" s="3"/>
      <c r="O265" s="3"/>
      <c r="P265" s="3"/>
      <c r="Q265" s="3"/>
    </row>
    <row r="266" spans="13:17" ht="39.75" customHeight="1">
      <c r="M266" s="6"/>
      <c r="N266" s="3"/>
      <c r="O266" s="3"/>
      <c r="P266" s="3"/>
      <c r="Q266" s="3"/>
    </row>
    <row r="267" spans="13:17" ht="39.75" customHeight="1">
      <c r="M267" s="6"/>
      <c r="N267" s="3"/>
      <c r="O267" s="3"/>
      <c r="P267" s="3"/>
      <c r="Q267" s="3"/>
    </row>
    <row r="268" spans="13:17" ht="39.75" customHeight="1">
      <c r="M268" s="6"/>
      <c r="N268" s="3"/>
      <c r="O268" s="3"/>
      <c r="P268" s="3"/>
      <c r="Q268" s="3"/>
    </row>
    <row r="269" spans="13:17" ht="39.75" customHeight="1">
      <c r="M269" s="6"/>
      <c r="N269" s="3"/>
      <c r="O269" s="3"/>
      <c r="P269" s="3"/>
      <c r="Q269" s="3"/>
    </row>
    <row r="270" spans="13:17" ht="39.75" customHeight="1">
      <c r="M270" s="6"/>
      <c r="N270" s="3"/>
      <c r="O270" s="3"/>
      <c r="P270" s="3"/>
      <c r="Q270" s="3"/>
    </row>
    <row r="271" spans="13:17" ht="39.75" customHeight="1">
      <c r="M271" s="6"/>
      <c r="N271" s="3"/>
      <c r="O271" s="3"/>
      <c r="P271" s="3"/>
      <c r="Q271" s="3"/>
    </row>
    <row r="272" spans="13:17" ht="39.75" customHeight="1">
      <c r="M272" s="6"/>
      <c r="N272" s="3"/>
      <c r="O272" s="3"/>
      <c r="P272" s="3"/>
      <c r="Q272" s="3"/>
    </row>
    <row r="273" spans="13:17" ht="39.75" customHeight="1">
      <c r="M273" s="6"/>
      <c r="N273" s="3"/>
      <c r="O273" s="3"/>
      <c r="P273" s="3"/>
      <c r="Q273" s="3"/>
    </row>
    <row r="274" spans="13:17" ht="39.75" customHeight="1">
      <c r="M274" s="6"/>
      <c r="N274" s="3"/>
      <c r="O274" s="3"/>
      <c r="P274" s="3"/>
      <c r="Q274" s="3"/>
    </row>
    <row r="275" spans="13:17" ht="39.75" customHeight="1">
      <c r="M275" s="6"/>
      <c r="N275" s="3"/>
      <c r="O275" s="3"/>
      <c r="P275" s="3"/>
      <c r="Q275" s="3"/>
    </row>
    <row r="276" spans="13:17" ht="39.75" customHeight="1">
      <c r="M276" s="6"/>
      <c r="N276" s="3"/>
      <c r="O276" s="3"/>
      <c r="P276" s="3"/>
      <c r="Q276" s="3"/>
    </row>
    <row r="277" spans="13:17" ht="39.75" customHeight="1">
      <c r="M277" s="6"/>
      <c r="N277" s="3"/>
      <c r="O277" s="3"/>
      <c r="P277" s="3"/>
      <c r="Q277" s="3"/>
    </row>
    <row r="278" spans="13:17" ht="39.75" customHeight="1">
      <c r="M278" s="6"/>
      <c r="N278" s="3"/>
      <c r="O278" s="3"/>
      <c r="P278" s="3"/>
      <c r="Q278" s="3"/>
    </row>
    <row r="279" spans="13:17" ht="39.75" customHeight="1">
      <c r="M279" s="6"/>
      <c r="N279" s="3"/>
      <c r="O279" s="3"/>
      <c r="P279" s="3"/>
      <c r="Q279" s="3"/>
    </row>
    <row r="280" spans="13:17" ht="39.75" customHeight="1">
      <c r="M280" s="6"/>
      <c r="N280" s="3"/>
      <c r="O280" s="3"/>
      <c r="P280" s="3"/>
      <c r="Q280" s="3"/>
    </row>
    <row r="281" spans="13:17" ht="39.75" customHeight="1">
      <c r="M281" s="6"/>
      <c r="N281" s="3"/>
      <c r="O281" s="3"/>
      <c r="P281" s="3"/>
      <c r="Q281" s="3"/>
    </row>
    <row r="282" spans="13:17" ht="39.75" customHeight="1">
      <c r="M282" s="6"/>
      <c r="N282" s="3"/>
      <c r="O282" s="3"/>
      <c r="P282" s="3"/>
      <c r="Q282" s="3"/>
    </row>
    <row r="283" spans="13:17" ht="39.75" customHeight="1">
      <c r="M283" s="6"/>
      <c r="N283" s="3"/>
      <c r="O283" s="3"/>
      <c r="P283" s="3"/>
      <c r="Q283" s="3"/>
    </row>
    <row r="284" spans="13:17" ht="39.75" customHeight="1">
      <c r="M284" s="6"/>
      <c r="N284" s="3"/>
      <c r="O284" s="3"/>
      <c r="P284" s="3"/>
      <c r="Q284" s="3"/>
    </row>
    <row r="285" spans="13:17" ht="39.75" customHeight="1">
      <c r="M285" s="6"/>
      <c r="N285" s="3"/>
      <c r="O285" s="3"/>
      <c r="P285" s="3"/>
      <c r="Q285" s="3"/>
    </row>
    <row r="286" spans="13:17" ht="39.75" customHeight="1">
      <c r="M286" s="6"/>
      <c r="N286" s="3"/>
      <c r="O286" s="3"/>
      <c r="P286" s="3"/>
      <c r="Q286" s="3"/>
    </row>
    <row r="287" spans="13:17" ht="39.75" customHeight="1">
      <c r="M287" s="6"/>
      <c r="N287" s="3"/>
      <c r="O287" s="3"/>
      <c r="P287" s="3"/>
      <c r="Q287" s="3"/>
    </row>
    <row r="288" spans="13:17" ht="39.75" customHeight="1">
      <c r="M288" s="6"/>
      <c r="N288" s="3"/>
      <c r="O288" s="3"/>
      <c r="P288" s="3"/>
      <c r="Q288" s="3"/>
    </row>
    <row r="289" spans="13:17" ht="39.75" customHeight="1">
      <c r="M289" s="6"/>
      <c r="N289" s="3"/>
      <c r="O289" s="3"/>
      <c r="P289" s="3"/>
      <c r="Q289" s="3"/>
    </row>
    <row r="290" spans="13:17" ht="39.75" customHeight="1">
      <c r="M290" s="6"/>
      <c r="N290" s="3"/>
      <c r="O290" s="3"/>
      <c r="P290" s="3"/>
      <c r="Q290" s="3"/>
    </row>
    <row r="291" spans="13:17" ht="39.75" customHeight="1">
      <c r="M291" s="6"/>
      <c r="N291" s="3"/>
      <c r="O291" s="3"/>
      <c r="P291" s="3"/>
      <c r="Q291" s="3"/>
    </row>
    <row r="292" spans="13:17" ht="39.75" customHeight="1">
      <c r="M292" s="6"/>
      <c r="N292" s="3"/>
      <c r="O292" s="3"/>
      <c r="P292" s="3"/>
      <c r="Q292" s="3"/>
    </row>
    <row r="293" spans="13:17" ht="39.75" customHeight="1">
      <c r="M293" s="6"/>
      <c r="N293" s="3"/>
      <c r="O293" s="3"/>
      <c r="P293" s="3"/>
      <c r="Q293" s="3"/>
    </row>
    <row r="294" spans="13:17" ht="39.75" customHeight="1">
      <c r="M294" s="6"/>
      <c r="N294" s="3"/>
      <c r="O294" s="3"/>
      <c r="P294" s="3"/>
      <c r="Q294" s="3"/>
    </row>
    <row r="295" spans="13:17" ht="39.75" customHeight="1">
      <c r="M295" s="6"/>
      <c r="N295" s="3"/>
      <c r="O295" s="3"/>
      <c r="P295" s="3"/>
      <c r="Q295" s="3"/>
    </row>
    <row r="296" spans="13:17" ht="39.75" customHeight="1">
      <c r="M296" s="6"/>
      <c r="N296" s="3"/>
      <c r="O296" s="3"/>
      <c r="P296" s="3"/>
      <c r="Q296" s="3"/>
    </row>
    <row r="297" spans="13:17" ht="39.75" customHeight="1">
      <c r="M297" s="6"/>
      <c r="N297" s="3"/>
      <c r="O297" s="3"/>
      <c r="P297" s="3"/>
      <c r="Q297" s="3"/>
    </row>
    <row r="298" spans="13:17" ht="39.75" customHeight="1">
      <c r="M298" s="6"/>
      <c r="N298" s="3"/>
      <c r="O298" s="3"/>
      <c r="P298" s="3"/>
      <c r="Q298" s="3"/>
    </row>
    <row r="299" spans="13:17" ht="39.75" customHeight="1">
      <c r="M299" s="6"/>
      <c r="N299" s="3"/>
      <c r="O299" s="3"/>
      <c r="P299" s="3"/>
      <c r="Q299" s="3"/>
    </row>
    <row r="300" spans="13:17" ht="39.75" customHeight="1">
      <c r="M300" s="6"/>
      <c r="N300" s="3"/>
      <c r="O300" s="3"/>
      <c r="P300" s="3"/>
      <c r="Q300" s="3"/>
    </row>
    <row r="301" spans="13:17" ht="39.75" customHeight="1">
      <c r="M301" s="6"/>
      <c r="N301" s="3"/>
      <c r="O301" s="3"/>
      <c r="P301" s="3"/>
      <c r="Q301" s="3"/>
    </row>
    <row r="302" spans="13:17" ht="39.75" customHeight="1">
      <c r="M302" s="6"/>
      <c r="N302" s="3"/>
      <c r="O302" s="3"/>
      <c r="P302" s="3"/>
      <c r="Q302" s="3"/>
    </row>
    <row r="303" spans="13:17" ht="39.75" customHeight="1">
      <c r="M303" s="6"/>
      <c r="N303" s="3"/>
      <c r="O303" s="3"/>
      <c r="P303" s="3"/>
      <c r="Q303" s="3"/>
    </row>
    <row r="304" spans="13:17" ht="39.75" customHeight="1">
      <c r="M304" s="6"/>
      <c r="N304" s="3"/>
      <c r="O304" s="3"/>
      <c r="P304" s="3"/>
      <c r="Q304" s="3"/>
    </row>
    <row r="305" spans="13:17" ht="39.75" customHeight="1">
      <c r="M305" s="6"/>
      <c r="N305" s="3"/>
      <c r="O305" s="3"/>
      <c r="P305" s="3"/>
      <c r="Q305" s="3"/>
    </row>
  </sheetData>
  <mergeCells count="16">
    <mergeCell ref="M2:M3"/>
    <mergeCell ref="A11:F11"/>
    <mergeCell ref="G11:L11"/>
    <mergeCell ref="A1:L1"/>
    <mergeCell ref="A2:A3"/>
    <mergeCell ref="B2:B3"/>
    <mergeCell ref="C2:C3"/>
    <mergeCell ref="D2:D3"/>
    <mergeCell ref="E2:E3"/>
    <mergeCell ref="F2:F3"/>
    <mergeCell ref="G2:G3"/>
    <mergeCell ref="H2:H3"/>
    <mergeCell ref="I2:I3"/>
    <mergeCell ref="J2:J3"/>
    <mergeCell ref="K2:K3"/>
    <mergeCell ref="L2:L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1"/>
  <sheetViews>
    <sheetView workbookViewId="0">
      <selection activeCell="L6" sqref="L6"/>
    </sheetView>
  </sheetViews>
  <sheetFormatPr defaultRowHeight="48.75" customHeight="1"/>
  <cols>
    <col min="1" max="1" width="19.5703125" customWidth="1"/>
    <col min="2" max="2" width="9.140625" customWidth="1"/>
    <col min="3" max="3" width="9.7109375" customWidth="1"/>
    <col min="4" max="4" width="8" bestFit="1" customWidth="1"/>
    <col min="5" max="5" width="8.28515625" customWidth="1"/>
    <col min="6" max="6" width="8.42578125" bestFit="1" customWidth="1"/>
    <col min="7" max="7" width="9.85546875" customWidth="1"/>
    <col min="8" max="8" width="8.42578125" bestFit="1" customWidth="1"/>
    <col min="9" max="9" width="12.7109375" customWidth="1"/>
    <col min="10" max="10" width="10.85546875" customWidth="1"/>
    <col min="11" max="11" width="11" customWidth="1"/>
    <col min="12" max="12" width="13.140625" bestFit="1" customWidth="1"/>
    <col min="13" max="13" width="11.85546875" bestFit="1" customWidth="1"/>
    <col min="14" max="14" width="1.85546875" customWidth="1"/>
    <col min="15" max="15" width="8" customWidth="1"/>
    <col min="16" max="16" width="7.28515625" customWidth="1"/>
    <col min="17" max="17" width="6.85546875" customWidth="1"/>
    <col min="18" max="18" width="7" bestFit="1" customWidth="1"/>
    <col min="19" max="19" width="8.85546875" customWidth="1"/>
    <col min="20" max="20" width="8" customWidth="1"/>
    <col min="21" max="21" width="15.42578125" hidden="1" customWidth="1"/>
    <col min="22" max="22" width="8.5703125" customWidth="1"/>
    <col min="23" max="23" width="9.28515625" customWidth="1"/>
    <col min="24" max="24" width="9.42578125" customWidth="1"/>
    <col min="25" max="25" width="8.5703125" customWidth="1"/>
    <col min="26" max="26" width="6.7109375" bestFit="1" customWidth="1"/>
  </cols>
  <sheetData>
    <row r="1" spans="1:22" ht="48.75" customHeight="1">
      <c r="A1" s="261" t="s">
        <v>347</v>
      </c>
      <c r="B1" s="262"/>
      <c r="C1" s="262"/>
      <c r="D1" s="262"/>
      <c r="E1" s="262"/>
      <c r="F1" s="262"/>
      <c r="G1" s="262"/>
      <c r="H1" s="262"/>
      <c r="I1" s="262"/>
      <c r="J1" s="262"/>
      <c r="K1" s="262"/>
      <c r="L1" s="262"/>
      <c r="M1" s="262"/>
    </row>
    <row r="2" spans="1:22" ht="48.75" customHeight="1">
      <c r="A2" s="88" t="s">
        <v>49</v>
      </c>
      <c r="B2" s="19" t="s">
        <v>50</v>
      </c>
      <c r="C2" s="125" t="s">
        <v>2</v>
      </c>
      <c r="D2" s="126" t="s">
        <v>51</v>
      </c>
      <c r="E2" s="127" t="s">
        <v>52</v>
      </c>
      <c r="F2" s="128" t="s">
        <v>53</v>
      </c>
      <c r="G2" s="129" t="s">
        <v>8</v>
      </c>
      <c r="H2" s="130" t="s">
        <v>54</v>
      </c>
      <c r="I2" s="156" t="s">
        <v>55</v>
      </c>
      <c r="J2" s="132" t="s">
        <v>345</v>
      </c>
      <c r="K2" s="88" t="s">
        <v>346</v>
      </c>
      <c r="L2" s="126" t="s">
        <v>56</v>
      </c>
      <c r="M2" s="157" t="s">
        <v>31</v>
      </c>
      <c r="N2" s="134"/>
      <c r="O2" s="135" t="s">
        <v>57</v>
      </c>
      <c r="P2" s="136" t="s">
        <v>58</v>
      </c>
      <c r="Q2" s="137" t="s">
        <v>59</v>
      </c>
      <c r="R2" s="136" t="s">
        <v>60</v>
      </c>
      <c r="S2" s="136" t="s">
        <v>61</v>
      </c>
      <c r="T2" s="136" t="s">
        <v>62</v>
      </c>
      <c r="U2" s="136"/>
      <c r="V2" s="136" t="s">
        <v>63</v>
      </c>
    </row>
    <row r="3" spans="1:22" ht="48.75" customHeight="1">
      <c r="A3" s="110" t="s">
        <v>64</v>
      </c>
      <c r="B3" s="20">
        <v>185</v>
      </c>
      <c r="C3" s="138">
        <v>0</v>
      </c>
      <c r="D3" s="138">
        <v>0</v>
      </c>
      <c r="E3" s="139">
        <v>0</v>
      </c>
      <c r="F3" s="140">
        <f t="shared" ref="F3:F10" si="0">B3-C3-D3-E3</f>
        <v>185</v>
      </c>
      <c r="G3" s="141">
        <f t="shared" ref="G3:G10" si="1">O3+P3+Q3+R3+S3+T3</f>
        <v>11</v>
      </c>
      <c r="H3" s="142">
        <f t="shared" ref="H3:H10" si="2">F3-G3</f>
        <v>174</v>
      </c>
      <c r="I3" s="143">
        <f t="shared" ref="I3:I21" si="3">H3/F3*100</f>
        <v>94.054054054054063</v>
      </c>
      <c r="J3" s="144"/>
      <c r="K3" s="145"/>
      <c r="L3" s="146"/>
      <c r="M3" s="138">
        <v>0</v>
      </c>
      <c r="N3" s="147"/>
      <c r="O3" s="148"/>
      <c r="P3" s="148">
        <v>2</v>
      </c>
      <c r="Q3" s="148"/>
      <c r="R3" s="148">
        <v>2</v>
      </c>
      <c r="S3" s="148"/>
      <c r="T3" s="148">
        <v>7</v>
      </c>
      <c r="U3" s="149"/>
      <c r="V3" s="141">
        <f>SUM(O3:U3)</f>
        <v>11</v>
      </c>
    </row>
    <row r="4" spans="1:22" ht="48.75" customHeight="1">
      <c r="A4" s="110" t="s">
        <v>65</v>
      </c>
      <c r="B4" s="20">
        <v>40</v>
      </c>
      <c r="C4" s="138">
        <v>0</v>
      </c>
      <c r="D4" s="138">
        <v>0</v>
      </c>
      <c r="E4" s="139">
        <v>0</v>
      </c>
      <c r="F4" s="140">
        <f t="shared" si="0"/>
        <v>40</v>
      </c>
      <c r="G4" s="141">
        <f t="shared" si="1"/>
        <v>5</v>
      </c>
      <c r="H4" s="142">
        <f t="shared" si="2"/>
        <v>35</v>
      </c>
      <c r="I4" s="143">
        <f t="shared" si="3"/>
        <v>87.5</v>
      </c>
      <c r="J4" s="144"/>
      <c r="K4" s="145"/>
      <c r="L4" s="146"/>
      <c r="M4" s="138">
        <v>0</v>
      </c>
      <c r="N4" s="147"/>
      <c r="O4" s="148"/>
      <c r="P4" s="148">
        <v>4</v>
      </c>
      <c r="Q4" s="148"/>
      <c r="R4" s="148"/>
      <c r="S4" s="148">
        <v>1</v>
      </c>
      <c r="T4" s="148"/>
      <c r="U4" s="149"/>
      <c r="V4" s="141">
        <f>SUM(O4:U4)</f>
        <v>5</v>
      </c>
    </row>
    <row r="5" spans="1:22" ht="48.75" customHeight="1">
      <c r="A5" s="110" t="s">
        <v>66</v>
      </c>
      <c r="B5" s="20">
        <v>122</v>
      </c>
      <c r="C5" s="138">
        <v>0</v>
      </c>
      <c r="D5" s="138">
        <v>0</v>
      </c>
      <c r="E5" s="139">
        <v>0</v>
      </c>
      <c r="F5" s="140">
        <f t="shared" si="0"/>
        <v>122</v>
      </c>
      <c r="G5" s="141">
        <f t="shared" si="1"/>
        <v>8</v>
      </c>
      <c r="H5" s="142">
        <f t="shared" si="2"/>
        <v>114</v>
      </c>
      <c r="I5" s="143">
        <f t="shared" si="3"/>
        <v>93.442622950819683</v>
      </c>
      <c r="J5" s="144"/>
      <c r="K5" s="145"/>
      <c r="L5" s="146"/>
      <c r="M5" s="138">
        <v>0</v>
      </c>
      <c r="N5" s="147"/>
      <c r="O5" s="148"/>
      <c r="P5" s="148"/>
      <c r="Q5" s="148"/>
      <c r="R5" s="148">
        <v>1</v>
      </c>
      <c r="S5" s="148">
        <v>3</v>
      </c>
      <c r="T5" s="148">
        <v>4</v>
      </c>
      <c r="U5" s="149"/>
      <c r="V5" s="141">
        <f>SUM(O5:U5)</f>
        <v>8</v>
      </c>
    </row>
    <row r="6" spans="1:22" ht="48.75" customHeight="1">
      <c r="A6" s="110" t="s">
        <v>67</v>
      </c>
      <c r="B6" s="20">
        <v>49</v>
      </c>
      <c r="C6" s="138">
        <v>0</v>
      </c>
      <c r="D6" s="138">
        <v>0</v>
      </c>
      <c r="E6" s="139">
        <v>0</v>
      </c>
      <c r="F6" s="140">
        <f t="shared" si="0"/>
        <v>49</v>
      </c>
      <c r="G6" s="141">
        <f t="shared" si="1"/>
        <v>1</v>
      </c>
      <c r="H6" s="142">
        <f t="shared" si="2"/>
        <v>48</v>
      </c>
      <c r="I6" s="143">
        <f t="shared" si="3"/>
        <v>97.959183673469383</v>
      </c>
      <c r="J6" s="144"/>
      <c r="K6" s="145"/>
      <c r="L6" s="146"/>
      <c r="M6" s="138">
        <v>0</v>
      </c>
      <c r="N6" s="147"/>
      <c r="O6" s="148"/>
      <c r="P6" s="148">
        <v>1</v>
      </c>
      <c r="Q6" s="148"/>
      <c r="R6" s="148"/>
      <c r="S6" s="148"/>
      <c r="T6" s="148"/>
      <c r="U6" s="149"/>
      <c r="V6" s="141">
        <f>SUM(P6:U6)</f>
        <v>1</v>
      </c>
    </row>
    <row r="7" spans="1:22" ht="48.75" customHeight="1">
      <c r="A7" s="110" t="s">
        <v>68</v>
      </c>
      <c r="B7" s="20">
        <v>54</v>
      </c>
      <c r="C7" s="138">
        <v>0</v>
      </c>
      <c r="D7" s="138">
        <v>0</v>
      </c>
      <c r="E7" s="139">
        <v>0</v>
      </c>
      <c r="F7" s="140">
        <f t="shared" si="0"/>
        <v>54</v>
      </c>
      <c r="G7" s="141">
        <f t="shared" si="1"/>
        <v>0</v>
      </c>
      <c r="H7" s="142">
        <f t="shared" si="2"/>
        <v>54</v>
      </c>
      <c r="I7" s="143">
        <f t="shared" si="3"/>
        <v>100</v>
      </c>
      <c r="J7" s="144"/>
      <c r="K7" s="145"/>
      <c r="L7" s="146"/>
      <c r="M7" s="138">
        <v>0</v>
      </c>
      <c r="N7" s="147"/>
      <c r="O7" s="148"/>
      <c r="P7" s="148"/>
      <c r="Q7" s="148"/>
      <c r="R7" s="148"/>
      <c r="S7" s="148"/>
      <c r="T7" s="148"/>
      <c r="U7" s="149"/>
      <c r="V7" s="141">
        <f>SUM(P7:U7)</f>
        <v>0</v>
      </c>
    </row>
    <row r="8" spans="1:22" ht="48.75" customHeight="1">
      <c r="A8" s="110" t="s">
        <v>69</v>
      </c>
      <c r="B8" s="20">
        <v>60</v>
      </c>
      <c r="C8" s="138">
        <v>0</v>
      </c>
      <c r="D8" s="138">
        <v>0</v>
      </c>
      <c r="E8" s="139">
        <v>0</v>
      </c>
      <c r="F8" s="140">
        <f t="shared" si="0"/>
        <v>60</v>
      </c>
      <c r="G8" s="141">
        <f t="shared" si="1"/>
        <v>2</v>
      </c>
      <c r="H8" s="142">
        <f t="shared" si="2"/>
        <v>58</v>
      </c>
      <c r="I8" s="143">
        <f t="shared" si="3"/>
        <v>96.666666666666671</v>
      </c>
      <c r="J8" s="144"/>
      <c r="K8" s="145"/>
      <c r="L8" s="146" t="s">
        <v>39</v>
      </c>
      <c r="M8" s="138">
        <v>0</v>
      </c>
      <c r="N8" s="147"/>
      <c r="O8" s="148"/>
      <c r="P8" s="148">
        <v>2</v>
      </c>
      <c r="Q8" s="148"/>
      <c r="R8" s="148"/>
      <c r="S8" s="148"/>
      <c r="T8" s="148"/>
      <c r="U8" s="149"/>
      <c r="V8" s="141">
        <f>SUM(P8:U8)</f>
        <v>2</v>
      </c>
    </row>
    <row r="9" spans="1:22" ht="48.75" customHeight="1">
      <c r="A9" s="110" t="s">
        <v>70</v>
      </c>
      <c r="B9" s="20">
        <v>79</v>
      </c>
      <c r="C9" s="138">
        <v>0</v>
      </c>
      <c r="D9" s="138">
        <v>0</v>
      </c>
      <c r="E9" s="139">
        <v>0</v>
      </c>
      <c r="F9" s="140">
        <f t="shared" si="0"/>
        <v>79</v>
      </c>
      <c r="G9" s="141">
        <f t="shared" si="1"/>
        <v>1</v>
      </c>
      <c r="H9" s="142">
        <f t="shared" si="2"/>
        <v>78</v>
      </c>
      <c r="I9" s="143">
        <f t="shared" si="3"/>
        <v>98.734177215189874</v>
      </c>
      <c r="J9" s="144"/>
      <c r="K9" s="145"/>
      <c r="L9" s="146"/>
      <c r="M9" s="138">
        <v>0</v>
      </c>
      <c r="N9" s="147"/>
      <c r="O9" s="148"/>
      <c r="P9" s="148">
        <v>1</v>
      </c>
      <c r="Q9" s="148"/>
      <c r="R9" s="148"/>
      <c r="S9" s="148"/>
      <c r="T9" s="148"/>
      <c r="U9" s="149"/>
      <c r="V9" s="141">
        <f>SUM(O9:U9)</f>
        <v>1</v>
      </c>
    </row>
    <row r="10" spans="1:22" ht="48.75" customHeight="1">
      <c r="A10" s="110" t="s">
        <v>71</v>
      </c>
      <c r="B10" s="20">
        <v>58</v>
      </c>
      <c r="C10" s="138">
        <v>0</v>
      </c>
      <c r="D10" s="138">
        <v>0</v>
      </c>
      <c r="E10" s="139">
        <v>0</v>
      </c>
      <c r="F10" s="140">
        <f t="shared" si="0"/>
        <v>58</v>
      </c>
      <c r="G10" s="141">
        <f t="shared" si="1"/>
        <v>0</v>
      </c>
      <c r="H10" s="142">
        <f t="shared" si="2"/>
        <v>58</v>
      </c>
      <c r="I10" s="143">
        <f t="shared" si="3"/>
        <v>100</v>
      </c>
      <c r="J10" s="144"/>
      <c r="K10" s="145"/>
      <c r="L10" s="146"/>
      <c r="M10" s="138">
        <v>0</v>
      </c>
      <c r="N10" s="147"/>
      <c r="O10" s="148"/>
      <c r="P10" s="148"/>
      <c r="Q10" s="148"/>
      <c r="R10" s="148"/>
      <c r="S10" s="148"/>
      <c r="T10" s="148"/>
      <c r="U10" s="149"/>
      <c r="V10" s="141">
        <f>SUM(P10:U10)</f>
        <v>0</v>
      </c>
    </row>
    <row r="11" spans="1:22" ht="48.75" customHeight="1">
      <c r="A11" s="110" t="s">
        <v>72</v>
      </c>
      <c r="B11" s="20">
        <f t="shared" ref="B11:E11" si="4">SUM(B6:B10)</f>
        <v>300</v>
      </c>
      <c r="C11" s="150">
        <f t="shared" si="4"/>
        <v>0</v>
      </c>
      <c r="D11" s="150">
        <f t="shared" si="4"/>
        <v>0</v>
      </c>
      <c r="E11" s="150">
        <f t="shared" si="4"/>
        <v>0</v>
      </c>
      <c r="F11" s="140">
        <f>SUM(F6:F10)</f>
        <v>300</v>
      </c>
      <c r="G11" s="141">
        <f>SUM(G6:G10)</f>
        <v>4</v>
      </c>
      <c r="H11" s="142">
        <f>SUM(H6:H10)</f>
        <v>296</v>
      </c>
      <c r="I11" s="143">
        <f t="shared" si="3"/>
        <v>98.666666666666671</v>
      </c>
      <c r="J11" s="144"/>
      <c r="K11" s="145"/>
      <c r="L11" s="146"/>
      <c r="M11" s="150">
        <f t="shared" ref="M11" si="5">SUM(M6:M10)</f>
        <v>0</v>
      </c>
      <c r="N11" s="147"/>
      <c r="O11" s="151">
        <f>O6+O7+O8+O9+O10</f>
        <v>0</v>
      </c>
      <c r="P11" s="151">
        <f>P6+P7+P8+P9+P10</f>
        <v>4</v>
      </c>
      <c r="Q11" s="151">
        <f t="shared" ref="Q11:R11" si="6">Q6+Q7+Q8+Q9+Q10</f>
        <v>0</v>
      </c>
      <c r="R11" s="151">
        <f t="shared" si="6"/>
        <v>0</v>
      </c>
      <c r="S11" s="151">
        <f>S6+S7+S8+S9+S10</f>
        <v>0</v>
      </c>
      <c r="T11" s="151">
        <f>T6+T7+T8+T9+T10</f>
        <v>0</v>
      </c>
      <c r="U11" s="149">
        <f>U6+U7+U8+U9+U10</f>
        <v>0</v>
      </c>
      <c r="V11" s="141">
        <f>V6+V7+V8+V9+V10</f>
        <v>4</v>
      </c>
    </row>
    <row r="12" spans="1:22" ht="48.75" customHeight="1">
      <c r="A12" s="110" t="s">
        <v>73</v>
      </c>
      <c r="B12" s="20">
        <v>46</v>
      </c>
      <c r="C12" s="138">
        <v>0</v>
      </c>
      <c r="D12" s="138">
        <v>0</v>
      </c>
      <c r="E12" s="139">
        <v>0</v>
      </c>
      <c r="F12" s="140">
        <f t="shared" ref="F12:F20" si="7">B12-C12-D12-E12</f>
        <v>46</v>
      </c>
      <c r="G12" s="141">
        <f t="shared" ref="G12:G20" si="8">O12+P12+Q12+R12+S12+T12</f>
        <v>2</v>
      </c>
      <c r="H12" s="142">
        <f t="shared" ref="H12:H20" si="9">F12-G12</f>
        <v>44</v>
      </c>
      <c r="I12" s="143">
        <f t="shared" si="3"/>
        <v>95.652173913043484</v>
      </c>
      <c r="J12" s="144"/>
      <c r="K12" s="145"/>
      <c r="L12" s="146"/>
      <c r="M12" s="138">
        <v>0</v>
      </c>
      <c r="N12" s="147"/>
      <c r="O12" s="148"/>
      <c r="P12" s="148">
        <v>1</v>
      </c>
      <c r="Q12" s="148">
        <v>1</v>
      </c>
      <c r="R12" s="148"/>
      <c r="S12" s="148"/>
      <c r="T12" s="148"/>
      <c r="U12" s="149"/>
      <c r="V12" s="141">
        <f>SUM(O12:U12)</f>
        <v>2</v>
      </c>
    </row>
    <row r="13" spans="1:22" ht="48.75" customHeight="1">
      <c r="A13" s="110" t="s">
        <v>74</v>
      </c>
      <c r="B13" s="20">
        <v>40</v>
      </c>
      <c r="C13" s="138">
        <v>0</v>
      </c>
      <c r="D13" s="138">
        <v>0</v>
      </c>
      <c r="E13" s="139">
        <v>0</v>
      </c>
      <c r="F13" s="140">
        <f t="shared" si="7"/>
        <v>40</v>
      </c>
      <c r="G13" s="141">
        <f t="shared" si="8"/>
        <v>0</v>
      </c>
      <c r="H13" s="142">
        <f t="shared" si="9"/>
        <v>40</v>
      </c>
      <c r="I13" s="143">
        <f t="shared" si="3"/>
        <v>100</v>
      </c>
      <c r="J13" s="144"/>
      <c r="K13" s="145"/>
      <c r="L13" s="146"/>
      <c r="M13" s="138">
        <v>0</v>
      </c>
      <c r="N13" s="147"/>
      <c r="O13" s="148"/>
      <c r="P13" s="148"/>
      <c r="Q13" s="148"/>
      <c r="R13" s="148"/>
      <c r="S13" s="148"/>
      <c r="T13" s="148"/>
      <c r="U13" s="149"/>
      <c r="V13" s="141">
        <f>SUM(O13:U13)</f>
        <v>0</v>
      </c>
    </row>
    <row r="14" spans="1:22" ht="48.75" customHeight="1">
      <c r="A14" s="110" t="s">
        <v>75</v>
      </c>
      <c r="B14" s="20">
        <v>11</v>
      </c>
      <c r="C14" s="138">
        <v>0</v>
      </c>
      <c r="D14" s="138">
        <v>0</v>
      </c>
      <c r="E14" s="139">
        <v>0</v>
      </c>
      <c r="F14" s="140">
        <f t="shared" si="7"/>
        <v>11</v>
      </c>
      <c r="G14" s="141">
        <f t="shared" si="8"/>
        <v>1</v>
      </c>
      <c r="H14" s="142">
        <f t="shared" si="9"/>
        <v>10</v>
      </c>
      <c r="I14" s="143">
        <f t="shared" si="3"/>
        <v>90.909090909090907</v>
      </c>
      <c r="J14" s="144"/>
      <c r="K14" s="145"/>
      <c r="L14" s="146"/>
      <c r="M14" s="138">
        <v>0</v>
      </c>
      <c r="N14" s="147"/>
      <c r="O14" s="148"/>
      <c r="P14" s="148">
        <v>1</v>
      </c>
      <c r="Q14" s="148"/>
      <c r="R14" s="148"/>
      <c r="S14" s="148"/>
      <c r="T14" s="148"/>
      <c r="U14" s="149"/>
      <c r="V14" s="141">
        <f>SUM(P14:U14)</f>
        <v>1</v>
      </c>
    </row>
    <row r="15" spans="1:22" ht="48.75" customHeight="1">
      <c r="A15" s="110" t="s">
        <v>76</v>
      </c>
      <c r="B15" s="20">
        <v>31</v>
      </c>
      <c r="C15" s="138">
        <v>0</v>
      </c>
      <c r="D15" s="138">
        <v>0</v>
      </c>
      <c r="E15" s="139">
        <v>0</v>
      </c>
      <c r="F15" s="140">
        <f>B15-C15-D15-E15</f>
        <v>31</v>
      </c>
      <c r="G15" s="141">
        <f t="shared" si="8"/>
        <v>0</v>
      </c>
      <c r="H15" s="142">
        <f t="shared" si="9"/>
        <v>31</v>
      </c>
      <c r="I15" s="143">
        <f t="shared" si="3"/>
        <v>100</v>
      </c>
      <c r="J15" s="144"/>
      <c r="K15" s="145"/>
      <c r="L15" s="146"/>
      <c r="M15" s="138">
        <v>0</v>
      </c>
      <c r="N15" s="147"/>
      <c r="O15" s="148"/>
      <c r="P15" s="148"/>
      <c r="Q15" s="148"/>
      <c r="R15" s="148"/>
      <c r="S15" s="148"/>
      <c r="T15" s="148"/>
      <c r="U15" s="149">
        <f>SUM(O15:T15)</f>
        <v>0</v>
      </c>
      <c r="V15" s="141">
        <f>SUM(U15)</f>
        <v>0</v>
      </c>
    </row>
    <row r="16" spans="1:22" ht="48.75" customHeight="1">
      <c r="A16" s="110" t="s">
        <v>77</v>
      </c>
      <c r="B16" s="20">
        <v>2</v>
      </c>
      <c r="C16" s="138">
        <v>0</v>
      </c>
      <c r="D16" s="138">
        <v>0</v>
      </c>
      <c r="E16" s="139">
        <v>0</v>
      </c>
      <c r="F16" s="140">
        <f>B16-C16-D16-E16</f>
        <v>2</v>
      </c>
      <c r="G16" s="141">
        <f t="shared" si="8"/>
        <v>0</v>
      </c>
      <c r="H16" s="142">
        <f t="shared" si="9"/>
        <v>2</v>
      </c>
      <c r="I16" s="143">
        <f t="shared" si="3"/>
        <v>100</v>
      </c>
      <c r="J16" s="144"/>
      <c r="K16" s="145"/>
      <c r="L16" s="146"/>
      <c r="M16" s="138">
        <v>0</v>
      </c>
      <c r="N16" s="147"/>
      <c r="O16" s="148"/>
      <c r="P16" s="148"/>
      <c r="Q16" s="148"/>
      <c r="R16" s="148"/>
      <c r="S16" s="148"/>
      <c r="T16" s="148"/>
      <c r="U16" s="149">
        <f>SUM(O16:T16)</f>
        <v>0</v>
      </c>
      <c r="V16" s="141">
        <f>SUM(U16)</f>
        <v>0</v>
      </c>
    </row>
    <row r="17" spans="1:22" ht="48.75" customHeight="1">
      <c r="A17" s="110" t="s">
        <v>78</v>
      </c>
      <c r="B17" s="20">
        <v>2</v>
      </c>
      <c r="C17" s="138">
        <v>0</v>
      </c>
      <c r="D17" s="138">
        <v>0</v>
      </c>
      <c r="E17" s="139">
        <v>0</v>
      </c>
      <c r="F17" s="140">
        <f t="shared" si="7"/>
        <v>2</v>
      </c>
      <c r="G17" s="141">
        <f t="shared" si="8"/>
        <v>1</v>
      </c>
      <c r="H17" s="142">
        <f t="shared" si="9"/>
        <v>1</v>
      </c>
      <c r="I17" s="143">
        <f t="shared" si="3"/>
        <v>50</v>
      </c>
      <c r="J17" s="144"/>
      <c r="K17" s="145"/>
      <c r="L17" s="146"/>
      <c r="M17" s="138">
        <v>0</v>
      </c>
      <c r="N17" s="147"/>
      <c r="O17" s="148"/>
      <c r="P17" s="148"/>
      <c r="Q17" s="148"/>
      <c r="R17" s="148">
        <v>1</v>
      </c>
      <c r="S17" s="148"/>
      <c r="T17" s="148"/>
      <c r="U17" s="149"/>
      <c r="V17" s="141">
        <f>SUM(P17:U17)</f>
        <v>1</v>
      </c>
    </row>
    <row r="18" spans="1:22" ht="48.75" customHeight="1">
      <c r="A18" s="110" t="s">
        <v>79</v>
      </c>
      <c r="B18" s="20">
        <v>2</v>
      </c>
      <c r="C18" s="138">
        <v>0</v>
      </c>
      <c r="D18" s="138">
        <v>0</v>
      </c>
      <c r="E18" s="139">
        <v>0</v>
      </c>
      <c r="F18" s="140">
        <f t="shared" si="7"/>
        <v>2</v>
      </c>
      <c r="G18" s="141">
        <f t="shared" si="8"/>
        <v>0</v>
      </c>
      <c r="H18" s="142">
        <f t="shared" si="9"/>
        <v>2</v>
      </c>
      <c r="I18" s="143">
        <f t="shared" si="3"/>
        <v>100</v>
      </c>
      <c r="J18" s="144"/>
      <c r="K18" s="145"/>
      <c r="L18" s="146" t="s">
        <v>39</v>
      </c>
      <c r="M18" s="138">
        <v>0</v>
      </c>
      <c r="N18" s="147"/>
      <c r="O18" s="148"/>
      <c r="P18" s="148"/>
      <c r="Q18" s="148"/>
      <c r="R18" s="148"/>
      <c r="S18" s="148"/>
      <c r="T18" s="148"/>
      <c r="U18" s="149"/>
      <c r="V18" s="141">
        <f>SUM(P18:U18)</f>
        <v>0</v>
      </c>
    </row>
    <row r="19" spans="1:22" ht="48.75" customHeight="1">
      <c r="A19" s="110" t="s">
        <v>80</v>
      </c>
      <c r="B19" s="20">
        <v>6</v>
      </c>
      <c r="C19" s="138">
        <v>0</v>
      </c>
      <c r="D19" s="138">
        <v>0</v>
      </c>
      <c r="E19" s="139">
        <v>0</v>
      </c>
      <c r="F19" s="140">
        <f t="shared" si="7"/>
        <v>6</v>
      </c>
      <c r="G19" s="141">
        <f t="shared" si="8"/>
        <v>0</v>
      </c>
      <c r="H19" s="142">
        <f t="shared" si="9"/>
        <v>6</v>
      </c>
      <c r="I19" s="143">
        <f t="shared" si="3"/>
        <v>100</v>
      </c>
      <c r="J19" s="144"/>
      <c r="K19" s="145"/>
      <c r="L19" s="146"/>
      <c r="M19" s="138">
        <v>0</v>
      </c>
      <c r="N19" s="147"/>
      <c r="O19" s="148"/>
      <c r="P19" s="148"/>
      <c r="Q19" s="148"/>
      <c r="R19" s="148"/>
      <c r="S19" s="148"/>
      <c r="T19" s="148"/>
      <c r="U19" s="149"/>
      <c r="V19" s="141">
        <f>SUM(P19:U19)</f>
        <v>0</v>
      </c>
    </row>
    <row r="20" spans="1:22" ht="48.75" customHeight="1" thickBot="1">
      <c r="A20" s="110" t="s">
        <v>81</v>
      </c>
      <c r="B20" s="20">
        <v>38</v>
      </c>
      <c r="C20" s="138">
        <v>0</v>
      </c>
      <c r="D20" s="138">
        <v>0</v>
      </c>
      <c r="E20" s="139">
        <v>0</v>
      </c>
      <c r="F20" s="140">
        <f t="shared" si="7"/>
        <v>38</v>
      </c>
      <c r="G20" s="141">
        <f t="shared" si="8"/>
        <v>2</v>
      </c>
      <c r="H20" s="142">
        <f t="shared" si="9"/>
        <v>36</v>
      </c>
      <c r="I20" s="143">
        <f t="shared" si="3"/>
        <v>94.73684210526315</v>
      </c>
      <c r="J20" s="144"/>
      <c r="K20" s="145"/>
      <c r="L20" s="146"/>
      <c r="M20" s="138">
        <v>0</v>
      </c>
      <c r="N20" s="147"/>
      <c r="O20" s="148"/>
      <c r="P20" s="148"/>
      <c r="Q20" s="148"/>
      <c r="R20" s="148"/>
      <c r="S20" s="148"/>
      <c r="T20" s="148">
        <v>2</v>
      </c>
      <c r="U20" s="149"/>
      <c r="V20" s="141">
        <f>SUM(P20:U20)</f>
        <v>2</v>
      </c>
    </row>
    <row r="21" spans="1:22" ht="48.75" customHeight="1" thickBot="1">
      <c r="A21" s="21" t="s">
        <v>82</v>
      </c>
      <c r="B21" s="29">
        <f>B20+B19+B18+B17+B16+B15+B14+B13+B12+B11+B5+B4+B3</f>
        <v>825</v>
      </c>
      <c r="C21" s="29">
        <f t="shared" ref="C21:H21" si="10">C20+C19+C18+C17+C16+C15+C14+C13+C12+C11+C5+C4+C3</f>
        <v>0</v>
      </c>
      <c r="D21" s="29">
        <f t="shared" si="10"/>
        <v>0</v>
      </c>
      <c r="E21" s="29">
        <f t="shared" si="10"/>
        <v>0</v>
      </c>
      <c r="F21" s="29">
        <f t="shared" si="10"/>
        <v>825</v>
      </c>
      <c r="G21" s="29">
        <f t="shared" si="10"/>
        <v>34</v>
      </c>
      <c r="H21" s="29">
        <f t="shared" si="10"/>
        <v>791</v>
      </c>
      <c r="I21" s="152">
        <f t="shared" si="3"/>
        <v>95.878787878787875</v>
      </c>
      <c r="J21" s="153">
        <v>93.4</v>
      </c>
      <c r="K21" s="154">
        <v>94.7</v>
      </c>
      <c r="L21" s="155">
        <f>(J21-K21)/K21*100</f>
        <v>-1.3727560718056993</v>
      </c>
      <c r="M21" s="29">
        <f>M20+M19+M18+M17+M16+M15+M14+M13+M12+M11+M5+M4+M3</f>
        <v>0</v>
      </c>
      <c r="N21" s="147"/>
      <c r="O21" s="29">
        <f t="shared" ref="O21:V21" si="11">O20+O19+O18+O17+O16+O15+O14+O13+O12+O11+O5+O4+O3</f>
        <v>0</v>
      </c>
      <c r="P21" s="29">
        <f t="shared" si="11"/>
        <v>12</v>
      </c>
      <c r="Q21" s="29">
        <f t="shared" si="11"/>
        <v>1</v>
      </c>
      <c r="R21" s="29">
        <f t="shared" si="11"/>
        <v>4</v>
      </c>
      <c r="S21" s="29">
        <f t="shared" si="11"/>
        <v>4</v>
      </c>
      <c r="T21" s="29">
        <f t="shared" si="11"/>
        <v>13</v>
      </c>
      <c r="U21" s="29">
        <f t="shared" si="11"/>
        <v>0</v>
      </c>
      <c r="V21" s="29">
        <f t="shared" si="11"/>
        <v>34</v>
      </c>
    </row>
  </sheetData>
  <mergeCells count="1">
    <mergeCell ref="A1:M1"/>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dimension ref="A1:V21"/>
  <sheetViews>
    <sheetView zoomScale="85" zoomScaleNormal="85" workbookViewId="0">
      <selection activeCell="L8" sqref="L8"/>
    </sheetView>
  </sheetViews>
  <sheetFormatPr defaultRowHeight="48.75" customHeight="1"/>
  <cols>
    <col min="1" max="1" width="21" customWidth="1"/>
    <col min="2" max="2" width="11" customWidth="1"/>
    <col min="3" max="3" width="9.7109375" customWidth="1"/>
    <col min="4" max="4" width="12" customWidth="1"/>
    <col min="5" max="5" width="14.140625" customWidth="1"/>
    <col min="6" max="6" width="10.28515625" bestFit="1" customWidth="1"/>
    <col min="7" max="7" width="11.5703125" customWidth="1"/>
    <col min="8" max="8" width="10.28515625" bestFit="1" customWidth="1"/>
    <col min="9" max="9" width="12.7109375" style="2" customWidth="1"/>
    <col min="10" max="10" width="10.85546875" style="2" customWidth="1"/>
    <col min="11" max="11" width="11" customWidth="1"/>
    <col min="12" max="12" width="13.42578125" bestFit="1" customWidth="1"/>
    <col min="13" max="13" width="9.7109375" style="3" customWidth="1"/>
    <col min="14" max="14" width="1.85546875" customWidth="1"/>
    <col min="15" max="15" width="8" style="4" customWidth="1"/>
    <col min="16" max="16" width="9" customWidth="1"/>
    <col min="17" max="17" width="6.85546875" customWidth="1"/>
    <col min="18" max="18" width="9.140625" customWidth="1"/>
    <col min="19" max="19" width="8.85546875" customWidth="1"/>
    <col min="20" max="20" width="8" customWidth="1"/>
    <col min="21" max="21" width="15.42578125" hidden="1" customWidth="1"/>
    <col min="22" max="22" width="8.5703125" customWidth="1"/>
    <col min="23" max="23" width="9.28515625" customWidth="1"/>
    <col min="24" max="24" width="9.42578125" customWidth="1"/>
    <col min="25" max="25" width="8.5703125" customWidth="1"/>
    <col min="26" max="26" width="6.7109375" bestFit="1" customWidth="1"/>
  </cols>
  <sheetData>
    <row r="1" spans="1:22" ht="48.75" customHeight="1">
      <c r="A1" s="263" t="s">
        <v>344</v>
      </c>
      <c r="B1" s="264"/>
      <c r="C1" s="264"/>
      <c r="D1" s="264"/>
      <c r="E1" s="264"/>
      <c r="F1" s="264"/>
      <c r="G1" s="264"/>
      <c r="H1" s="264"/>
      <c r="I1" s="264"/>
      <c r="J1" s="264"/>
      <c r="K1" s="264"/>
      <c r="L1" s="264"/>
      <c r="M1" s="264"/>
      <c r="N1" s="22"/>
      <c r="O1" s="22"/>
      <c r="P1" s="22"/>
      <c r="Q1" s="22"/>
      <c r="R1" s="22"/>
      <c r="S1" s="22"/>
      <c r="T1" s="22"/>
      <c r="U1" s="22"/>
      <c r="V1" s="23"/>
    </row>
    <row r="2" spans="1:22" ht="48.75" customHeight="1">
      <c r="A2" s="88" t="s">
        <v>49</v>
      </c>
      <c r="B2" s="19" t="s">
        <v>50</v>
      </c>
      <c r="C2" s="125" t="s">
        <v>2</v>
      </c>
      <c r="D2" s="126" t="s">
        <v>51</v>
      </c>
      <c r="E2" s="127" t="s">
        <v>52</v>
      </c>
      <c r="F2" s="128" t="s">
        <v>53</v>
      </c>
      <c r="G2" s="129" t="s">
        <v>8</v>
      </c>
      <c r="H2" s="130" t="s">
        <v>54</v>
      </c>
      <c r="I2" s="131" t="s">
        <v>55</v>
      </c>
      <c r="J2" s="132" t="s">
        <v>345</v>
      </c>
      <c r="K2" s="88" t="s">
        <v>346</v>
      </c>
      <c r="L2" s="126" t="s">
        <v>56</v>
      </c>
      <c r="M2" s="133" t="s">
        <v>31</v>
      </c>
      <c r="N2" s="134"/>
      <c r="O2" s="135" t="s">
        <v>57</v>
      </c>
      <c r="P2" s="136" t="s">
        <v>58</v>
      </c>
      <c r="Q2" s="137" t="s">
        <v>59</v>
      </c>
      <c r="R2" s="136" t="s">
        <v>60</v>
      </c>
      <c r="S2" s="136" t="s">
        <v>61</v>
      </c>
      <c r="T2" s="136" t="s">
        <v>62</v>
      </c>
      <c r="U2" s="136"/>
      <c r="V2" s="136" t="s">
        <v>63</v>
      </c>
    </row>
    <row r="3" spans="1:22" ht="48.75" customHeight="1">
      <c r="A3" s="110" t="s">
        <v>64</v>
      </c>
      <c r="B3" s="20">
        <v>185</v>
      </c>
      <c r="C3" s="138">
        <v>0</v>
      </c>
      <c r="D3" s="138">
        <v>0</v>
      </c>
      <c r="E3" s="139">
        <v>0</v>
      </c>
      <c r="F3" s="140">
        <f t="shared" ref="F3:F10" si="0">B3-C3-D3-E3</f>
        <v>185</v>
      </c>
      <c r="G3" s="141">
        <f t="shared" ref="G3:G10" si="1">O3+P3+Q3+R3+S3+T3</f>
        <v>11</v>
      </c>
      <c r="H3" s="142">
        <f t="shared" ref="H3:H10" si="2">F3-G3</f>
        <v>174</v>
      </c>
      <c r="I3" s="143">
        <f t="shared" ref="I3:I21" si="3">H3/F3*100</f>
        <v>94.054054054054063</v>
      </c>
      <c r="J3" s="144"/>
      <c r="K3" s="145"/>
      <c r="L3" s="146"/>
      <c r="M3" s="138">
        <v>0</v>
      </c>
      <c r="N3" s="147"/>
      <c r="O3" s="148"/>
      <c r="P3" s="148">
        <v>2</v>
      </c>
      <c r="Q3" s="148"/>
      <c r="R3" s="148">
        <v>2</v>
      </c>
      <c r="S3" s="148"/>
      <c r="T3" s="148">
        <v>7</v>
      </c>
      <c r="U3" s="149"/>
      <c r="V3" s="141">
        <f>SUM(O3:U3)</f>
        <v>11</v>
      </c>
    </row>
    <row r="4" spans="1:22" ht="48.75" customHeight="1">
      <c r="A4" s="110" t="s">
        <v>65</v>
      </c>
      <c r="B4" s="20">
        <v>40</v>
      </c>
      <c r="C4" s="138">
        <v>0</v>
      </c>
      <c r="D4" s="138">
        <v>0</v>
      </c>
      <c r="E4" s="139">
        <v>0</v>
      </c>
      <c r="F4" s="140">
        <f t="shared" si="0"/>
        <v>40</v>
      </c>
      <c r="G4" s="141">
        <f t="shared" si="1"/>
        <v>5</v>
      </c>
      <c r="H4" s="142">
        <f t="shared" si="2"/>
        <v>35</v>
      </c>
      <c r="I4" s="143">
        <f t="shared" si="3"/>
        <v>87.5</v>
      </c>
      <c r="J4" s="144"/>
      <c r="K4" s="145"/>
      <c r="L4" s="146"/>
      <c r="M4" s="138">
        <v>0</v>
      </c>
      <c r="N4" s="147"/>
      <c r="O4" s="148"/>
      <c r="P4" s="148">
        <v>4</v>
      </c>
      <c r="Q4" s="148"/>
      <c r="R4" s="148"/>
      <c r="S4" s="148">
        <v>1</v>
      </c>
      <c r="T4" s="148"/>
      <c r="U4" s="149"/>
      <c r="V4" s="141">
        <f>SUM(O4:U4)</f>
        <v>5</v>
      </c>
    </row>
    <row r="5" spans="1:22" ht="48.75" customHeight="1">
      <c r="A5" s="110" t="s">
        <v>66</v>
      </c>
      <c r="B5" s="20">
        <v>122</v>
      </c>
      <c r="C5" s="138">
        <v>0</v>
      </c>
      <c r="D5" s="138">
        <v>0</v>
      </c>
      <c r="E5" s="139">
        <v>0</v>
      </c>
      <c r="F5" s="140">
        <f t="shared" si="0"/>
        <v>122</v>
      </c>
      <c r="G5" s="141">
        <f t="shared" si="1"/>
        <v>8</v>
      </c>
      <c r="H5" s="142">
        <f t="shared" si="2"/>
        <v>114</v>
      </c>
      <c r="I5" s="143">
        <f t="shared" si="3"/>
        <v>93.442622950819683</v>
      </c>
      <c r="J5" s="144"/>
      <c r="K5" s="145"/>
      <c r="L5" s="146"/>
      <c r="M5" s="138">
        <v>0</v>
      </c>
      <c r="N5" s="147"/>
      <c r="O5" s="148"/>
      <c r="P5" s="148"/>
      <c r="Q5" s="148"/>
      <c r="R5" s="148">
        <v>1</v>
      </c>
      <c r="S5" s="148">
        <v>3</v>
      </c>
      <c r="T5" s="148">
        <v>4</v>
      </c>
      <c r="U5" s="149"/>
      <c r="V5" s="141">
        <f>SUM(O5:U5)</f>
        <v>8</v>
      </c>
    </row>
    <row r="6" spans="1:22" ht="48.75" customHeight="1">
      <c r="A6" s="110" t="s">
        <v>67</v>
      </c>
      <c r="B6" s="20">
        <v>49</v>
      </c>
      <c r="C6" s="138">
        <v>0</v>
      </c>
      <c r="D6" s="138">
        <v>0</v>
      </c>
      <c r="E6" s="139">
        <v>0</v>
      </c>
      <c r="F6" s="140">
        <f t="shared" si="0"/>
        <v>49</v>
      </c>
      <c r="G6" s="141">
        <f t="shared" si="1"/>
        <v>1</v>
      </c>
      <c r="H6" s="142">
        <f t="shared" si="2"/>
        <v>48</v>
      </c>
      <c r="I6" s="143">
        <f t="shared" si="3"/>
        <v>97.959183673469383</v>
      </c>
      <c r="J6" s="144"/>
      <c r="K6" s="145"/>
      <c r="L6" s="146"/>
      <c r="M6" s="138">
        <v>0</v>
      </c>
      <c r="N6" s="147"/>
      <c r="O6" s="148"/>
      <c r="P6" s="148">
        <v>1</v>
      </c>
      <c r="Q6" s="148"/>
      <c r="R6" s="148"/>
      <c r="S6" s="148"/>
      <c r="T6" s="148"/>
      <c r="U6" s="149"/>
      <c r="V6" s="141">
        <f>SUM(P6:U6)</f>
        <v>1</v>
      </c>
    </row>
    <row r="7" spans="1:22" ht="48.75" customHeight="1">
      <c r="A7" s="110" t="s">
        <v>68</v>
      </c>
      <c r="B7" s="20">
        <v>54</v>
      </c>
      <c r="C7" s="138">
        <v>0</v>
      </c>
      <c r="D7" s="138">
        <v>0</v>
      </c>
      <c r="E7" s="139">
        <v>0</v>
      </c>
      <c r="F7" s="140">
        <f t="shared" si="0"/>
        <v>54</v>
      </c>
      <c r="G7" s="141">
        <f t="shared" si="1"/>
        <v>0</v>
      </c>
      <c r="H7" s="142">
        <f t="shared" si="2"/>
        <v>54</v>
      </c>
      <c r="I7" s="143">
        <f t="shared" si="3"/>
        <v>100</v>
      </c>
      <c r="J7" s="144"/>
      <c r="K7" s="145"/>
      <c r="L7" s="146"/>
      <c r="M7" s="138">
        <v>0</v>
      </c>
      <c r="N7" s="147"/>
      <c r="O7" s="148"/>
      <c r="P7" s="148"/>
      <c r="Q7" s="148"/>
      <c r="R7" s="148"/>
      <c r="S7" s="148"/>
      <c r="T7" s="148"/>
      <c r="U7" s="149"/>
      <c r="V7" s="141">
        <f>SUM(P7:U7)</f>
        <v>0</v>
      </c>
    </row>
    <row r="8" spans="1:22" ht="48.75" customHeight="1">
      <c r="A8" s="110" t="s">
        <v>69</v>
      </c>
      <c r="B8" s="20">
        <v>60</v>
      </c>
      <c r="C8" s="138">
        <v>0</v>
      </c>
      <c r="D8" s="138">
        <v>0</v>
      </c>
      <c r="E8" s="139">
        <v>0</v>
      </c>
      <c r="F8" s="140">
        <f t="shared" si="0"/>
        <v>60</v>
      </c>
      <c r="G8" s="141">
        <f t="shared" si="1"/>
        <v>2</v>
      </c>
      <c r="H8" s="142">
        <f t="shared" si="2"/>
        <v>58</v>
      </c>
      <c r="I8" s="143">
        <f t="shared" si="3"/>
        <v>96.666666666666671</v>
      </c>
      <c r="J8" s="144"/>
      <c r="K8" s="145"/>
      <c r="L8" s="146" t="s">
        <v>39</v>
      </c>
      <c r="M8" s="138">
        <v>0</v>
      </c>
      <c r="N8" s="147"/>
      <c r="O8" s="148"/>
      <c r="P8" s="148">
        <v>2</v>
      </c>
      <c r="Q8" s="148"/>
      <c r="R8" s="148"/>
      <c r="S8" s="148"/>
      <c r="T8" s="148"/>
      <c r="U8" s="149"/>
      <c r="V8" s="141">
        <f>SUM(P8:U8)</f>
        <v>2</v>
      </c>
    </row>
    <row r="9" spans="1:22" ht="48.75" customHeight="1">
      <c r="A9" s="110" t="s">
        <v>70</v>
      </c>
      <c r="B9" s="20">
        <v>79</v>
      </c>
      <c r="C9" s="138">
        <v>0</v>
      </c>
      <c r="D9" s="138">
        <v>0</v>
      </c>
      <c r="E9" s="139">
        <v>0</v>
      </c>
      <c r="F9" s="140">
        <f t="shared" si="0"/>
        <v>79</v>
      </c>
      <c r="G9" s="141">
        <f t="shared" si="1"/>
        <v>1</v>
      </c>
      <c r="H9" s="142">
        <f t="shared" si="2"/>
        <v>78</v>
      </c>
      <c r="I9" s="143">
        <f t="shared" si="3"/>
        <v>98.734177215189874</v>
      </c>
      <c r="J9" s="144"/>
      <c r="K9" s="145"/>
      <c r="L9" s="146"/>
      <c r="M9" s="138">
        <v>0</v>
      </c>
      <c r="N9" s="147"/>
      <c r="O9" s="148"/>
      <c r="P9" s="148">
        <v>1</v>
      </c>
      <c r="Q9" s="148"/>
      <c r="R9" s="148"/>
      <c r="S9" s="148"/>
      <c r="T9" s="148"/>
      <c r="U9" s="149"/>
      <c r="V9" s="141">
        <f>SUM(O9:U9)</f>
        <v>1</v>
      </c>
    </row>
    <row r="10" spans="1:22" ht="48.75" customHeight="1">
      <c r="A10" s="110" t="s">
        <v>71</v>
      </c>
      <c r="B10" s="20">
        <v>58</v>
      </c>
      <c r="C10" s="138">
        <v>0</v>
      </c>
      <c r="D10" s="138">
        <v>0</v>
      </c>
      <c r="E10" s="139">
        <v>0</v>
      </c>
      <c r="F10" s="140">
        <f t="shared" si="0"/>
        <v>58</v>
      </c>
      <c r="G10" s="141">
        <f t="shared" si="1"/>
        <v>0</v>
      </c>
      <c r="H10" s="142">
        <f t="shared" si="2"/>
        <v>58</v>
      </c>
      <c r="I10" s="143">
        <f t="shared" si="3"/>
        <v>100</v>
      </c>
      <c r="J10" s="144"/>
      <c r="K10" s="145"/>
      <c r="L10" s="146"/>
      <c r="M10" s="138">
        <v>0</v>
      </c>
      <c r="N10" s="147"/>
      <c r="O10" s="148"/>
      <c r="P10" s="148"/>
      <c r="Q10" s="148"/>
      <c r="R10" s="148"/>
      <c r="S10" s="148"/>
      <c r="T10" s="148"/>
      <c r="U10" s="149"/>
      <c r="V10" s="141">
        <f>SUM(P10:U10)</f>
        <v>0</v>
      </c>
    </row>
    <row r="11" spans="1:22" ht="48.75" customHeight="1">
      <c r="A11" s="110" t="s">
        <v>72</v>
      </c>
      <c r="B11" s="20">
        <f t="shared" ref="B11:E11" si="4">SUM(B6:B10)</f>
        <v>300</v>
      </c>
      <c r="C11" s="150">
        <f t="shared" si="4"/>
        <v>0</v>
      </c>
      <c r="D11" s="150">
        <f t="shared" si="4"/>
        <v>0</v>
      </c>
      <c r="E11" s="150">
        <f t="shared" si="4"/>
        <v>0</v>
      </c>
      <c r="F11" s="140">
        <f>SUM(F6:F10)</f>
        <v>300</v>
      </c>
      <c r="G11" s="141">
        <f>SUM(G6:G10)</f>
        <v>4</v>
      </c>
      <c r="H11" s="142">
        <f>SUM(H6:H10)</f>
        <v>296</v>
      </c>
      <c r="I11" s="143">
        <f t="shared" si="3"/>
        <v>98.666666666666671</v>
      </c>
      <c r="J11" s="144"/>
      <c r="K11" s="145"/>
      <c r="L11" s="146"/>
      <c r="M11" s="150">
        <f t="shared" ref="M11" si="5">SUM(M6:M10)</f>
        <v>0</v>
      </c>
      <c r="N11" s="147"/>
      <c r="O11" s="151">
        <f>O6+O7+O8+O9+O10</f>
        <v>0</v>
      </c>
      <c r="P11" s="151">
        <f>P6+P7+P8+P9+P10</f>
        <v>4</v>
      </c>
      <c r="Q11" s="151">
        <f t="shared" ref="Q11:R11" si="6">Q6+Q7+Q8+Q9+Q10</f>
        <v>0</v>
      </c>
      <c r="R11" s="151">
        <f t="shared" si="6"/>
        <v>0</v>
      </c>
      <c r="S11" s="151">
        <f>S6+S7+S8+S9+S10</f>
        <v>0</v>
      </c>
      <c r="T11" s="151">
        <f>T6+T7+T8+T9+T10</f>
        <v>0</v>
      </c>
      <c r="U11" s="149">
        <f>U6+U7+U8+U9+U10</f>
        <v>0</v>
      </c>
      <c r="V11" s="141">
        <f>V6+V7+V8+V9+V10</f>
        <v>4</v>
      </c>
    </row>
    <row r="12" spans="1:22" ht="48.75" customHeight="1">
      <c r="A12" s="110" t="s">
        <v>73</v>
      </c>
      <c r="B12" s="20">
        <v>46</v>
      </c>
      <c r="C12" s="138">
        <v>0</v>
      </c>
      <c r="D12" s="138">
        <v>0</v>
      </c>
      <c r="E12" s="139">
        <v>0</v>
      </c>
      <c r="F12" s="140">
        <f t="shared" ref="F12:F20" si="7">B12-C12-D12-E12</f>
        <v>46</v>
      </c>
      <c r="G12" s="141">
        <f t="shared" ref="G12:G20" si="8">O12+P12+Q12+R12+S12+T12</f>
        <v>2</v>
      </c>
      <c r="H12" s="142">
        <f t="shared" ref="H12:H20" si="9">F12-G12</f>
        <v>44</v>
      </c>
      <c r="I12" s="143">
        <f t="shared" si="3"/>
        <v>95.652173913043484</v>
      </c>
      <c r="J12" s="144"/>
      <c r="K12" s="145"/>
      <c r="L12" s="146"/>
      <c r="M12" s="138">
        <v>0</v>
      </c>
      <c r="N12" s="147"/>
      <c r="O12" s="148"/>
      <c r="P12" s="148">
        <v>1</v>
      </c>
      <c r="Q12" s="148">
        <v>1</v>
      </c>
      <c r="R12" s="148"/>
      <c r="S12" s="148"/>
      <c r="T12" s="148"/>
      <c r="U12" s="149"/>
      <c r="V12" s="141">
        <f>SUM(O12:U12)</f>
        <v>2</v>
      </c>
    </row>
    <row r="13" spans="1:22" ht="48.75" customHeight="1">
      <c r="A13" s="110" t="s">
        <v>74</v>
      </c>
      <c r="B13" s="20">
        <v>40</v>
      </c>
      <c r="C13" s="138">
        <v>0</v>
      </c>
      <c r="D13" s="138">
        <v>0</v>
      </c>
      <c r="E13" s="139">
        <v>0</v>
      </c>
      <c r="F13" s="140">
        <f t="shared" si="7"/>
        <v>40</v>
      </c>
      <c r="G13" s="141">
        <f t="shared" si="8"/>
        <v>0</v>
      </c>
      <c r="H13" s="142">
        <f t="shared" si="9"/>
        <v>40</v>
      </c>
      <c r="I13" s="143">
        <f t="shared" si="3"/>
        <v>100</v>
      </c>
      <c r="J13" s="144"/>
      <c r="K13" s="145"/>
      <c r="L13" s="146"/>
      <c r="M13" s="138">
        <v>0</v>
      </c>
      <c r="N13" s="147"/>
      <c r="O13" s="148"/>
      <c r="P13" s="148"/>
      <c r="Q13" s="148"/>
      <c r="R13" s="148"/>
      <c r="S13" s="148"/>
      <c r="T13" s="148"/>
      <c r="U13" s="149"/>
      <c r="V13" s="141">
        <f>SUM(O13:U13)</f>
        <v>0</v>
      </c>
    </row>
    <row r="14" spans="1:22" ht="48.75" customHeight="1">
      <c r="A14" s="110" t="s">
        <v>75</v>
      </c>
      <c r="B14" s="20">
        <v>11</v>
      </c>
      <c r="C14" s="138">
        <v>0</v>
      </c>
      <c r="D14" s="138">
        <v>0</v>
      </c>
      <c r="E14" s="139">
        <v>0</v>
      </c>
      <c r="F14" s="140">
        <f t="shared" si="7"/>
        <v>11</v>
      </c>
      <c r="G14" s="141">
        <f t="shared" si="8"/>
        <v>1</v>
      </c>
      <c r="H14" s="142">
        <f t="shared" si="9"/>
        <v>10</v>
      </c>
      <c r="I14" s="143">
        <f t="shared" si="3"/>
        <v>90.909090909090907</v>
      </c>
      <c r="J14" s="144"/>
      <c r="K14" s="145"/>
      <c r="L14" s="146"/>
      <c r="M14" s="138">
        <v>0</v>
      </c>
      <c r="N14" s="147"/>
      <c r="O14" s="148"/>
      <c r="P14" s="148">
        <v>1</v>
      </c>
      <c r="Q14" s="148"/>
      <c r="R14" s="148"/>
      <c r="S14" s="148"/>
      <c r="T14" s="148"/>
      <c r="U14" s="149"/>
      <c r="V14" s="141">
        <f>SUM(P14:U14)</f>
        <v>1</v>
      </c>
    </row>
    <row r="15" spans="1:22" ht="48.75" customHeight="1">
      <c r="A15" s="110" t="s">
        <v>76</v>
      </c>
      <c r="B15" s="20">
        <v>31</v>
      </c>
      <c r="C15" s="138">
        <v>0</v>
      </c>
      <c r="D15" s="138">
        <v>0</v>
      </c>
      <c r="E15" s="139">
        <v>0</v>
      </c>
      <c r="F15" s="140">
        <f>B15-C15-D15-E15</f>
        <v>31</v>
      </c>
      <c r="G15" s="141">
        <f t="shared" si="8"/>
        <v>0</v>
      </c>
      <c r="H15" s="142">
        <f t="shared" si="9"/>
        <v>31</v>
      </c>
      <c r="I15" s="143">
        <f t="shared" si="3"/>
        <v>100</v>
      </c>
      <c r="J15" s="144"/>
      <c r="K15" s="145"/>
      <c r="L15" s="146"/>
      <c r="M15" s="138">
        <v>0</v>
      </c>
      <c r="N15" s="147"/>
      <c r="O15" s="148"/>
      <c r="P15" s="148"/>
      <c r="Q15" s="148"/>
      <c r="R15" s="148"/>
      <c r="S15" s="148"/>
      <c r="T15" s="148"/>
      <c r="U15" s="149">
        <f>SUM(O15:T15)</f>
        <v>0</v>
      </c>
      <c r="V15" s="141">
        <f>SUM(U15)</f>
        <v>0</v>
      </c>
    </row>
    <row r="16" spans="1:22" ht="48.75" customHeight="1">
      <c r="A16" s="110" t="s">
        <v>77</v>
      </c>
      <c r="B16" s="20">
        <v>2</v>
      </c>
      <c r="C16" s="138">
        <v>0</v>
      </c>
      <c r="D16" s="138">
        <v>0</v>
      </c>
      <c r="E16" s="139">
        <v>0</v>
      </c>
      <c r="F16" s="140">
        <f>B16-C16-D16-E16</f>
        <v>2</v>
      </c>
      <c r="G16" s="141">
        <f t="shared" si="8"/>
        <v>0</v>
      </c>
      <c r="H16" s="142">
        <f t="shared" si="9"/>
        <v>2</v>
      </c>
      <c r="I16" s="143">
        <f t="shared" si="3"/>
        <v>100</v>
      </c>
      <c r="J16" s="144"/>
      <c r="K16" s="145"/>
      <c r="L16" s="146"/>
      <c r="M16" s="138">
        <v>0</v>
      </c>
      <c r="N16" s="147"/>
      <c r="O16" s="148"/>
      <c r="P16" s="148"/>
      <c r="Q16" s="148"/>
      <c r="R16" s="148"/>
      <c r="S16" s="148"/>
      <c r="T16" s="148"/>
      <c r="U16" s="149">
        <f>SUM(O16:T16)</f>
        <v>0</v>
      </c>
      <c r="V16" s="141">
        <f>SUM(U16)</f>
        <v>0</v>
      </c>
    </row>
    <row r="17" spans="1:22" ht="48.75" customHeight="1">
      <c r="A17" s="110" t="s">
        <v>78</v>
      </c>
      <c r="B17" s="20">
        <v>2</v>
      </c>
      <c r="C17" s="138">
        <v>0</v>
      </c>
      <c r="D17" s="138">
        <v>0</v>
      </c>
      <c r="E17" s="139">
        <v>0</v>
      </c>
      <c r="F17" s="140">
        <f t="shared" si="7"/>
        <v>2</v>
      </c>
      <c r="G17" s="141">
        <f t="shared" si="8"/>
        <v>1</v>
      </c>
      <c r="H17" s="142">
        <f t="shared" si="9"/>
        <v>1</v>
      </c>
      <c r="I17" s="143">
        <f t="shared" si="3"/>
        <v>50</v>
      </c>
      <c r="J17" s="144"/>
      <c r="K17" s="145"/>
      <c r="L17" s="146"/>
      <c r="M17" s="138">
        <v>0</v>
      </c>
      <c r="N17" s="147"/>
      <c r="O17" s="148"/>
      <c r="P17" s="148"/>
      <c r="Q17" s="148"/>
      <c r="R17" s="148">
        <v>1</v>
      </c>
      <c r="S17" s="148"/>
      <c r="T17" s="148"/>
      <c r="U17" s="149"/>
      <c r="V17" s="141">
        <f>SUM(P17:U17)</f>
        <v>1</v>
      </c>
    </row>
    <row r="18" spans="1:22" ht="48.75" customHeight="1">
      <c r="A18" s="110" t="s">
        <v>79</v>
      </c>
      <c r="B18" s="20">
        <v>2</v>
      </c>
      <c r="C18" s="138">
        <v>0</v>
      </c>
      <c r="D18" s="138">
        <v>0</v>
      </c>
      <c r="E18" s="139">
        <v>0</v>
      </c>
      <c r="F18" s="140">
        <f t="shared" si="7"/>
        <v>2</v>
      </c>
      <c r="G18" s="141">
        <f t="shared" si="8"/>
        <v>0</v>
      </c>
      <c r="H18" s="142">
        <f t="shared" si="9"/>
        <v>2</v>
      </c>
      <c r="I18" s="143">
        <f t="shared" si="3"/>
        <v>100</v>
      </c>
      <c r="J18" s="144"/>
      <c r="K18" s="145"/>
      <c r="L18" s="146" t="s">
        <v>39</v>
      </c>
      <c r="M18" s="138">
        <v>0</v>
      </c>
      <c r="N18" s="147"/>
      <c r="O18" s="148"/>
      <c r="P18" s="148"/>
      <c r="Q18" s="148"/>
      <c r="R18" s="148"/>
      <c r="S18" s="148"/>
      <c r="T18" s="148"/>
      <c r="U18" s="149"/>
      <c r="V18" s="141">
        <f>SUM(P18:U18)</f>
        <v>0</v>
      </c>
    </row>
    <row r="19" spans="1:22" ht="48.75" customHeight="1">
      <c r="A19" s="110" t="s">
        <v>80</v>
      </c>
      <c r="B19" s="20">
        <v>6</v>
      </c>
      <c r="C19" s="138">
        <v>0</v>
      </c>
      <c r="D19" s="138">
        <v>0</v>
      </c>
      <c r="E19" s="139">
        <v>0</v>
      </c>
      <c r="F19" s="140">
        <f t="shared" si="7"/>
        <v>6</v>
      </c>
      <c r="G19" s="141">
        <f t="shared" si="8"/>
        <v>0</v>
      </c>
      <c r="H19" s="142">
        <f t="shared" si="9"/>
        <v>6</v>
      </c>
      <c r="I19" s="143">
        <f t="shared" si="3"/>
        <v>100</v>
      </c>
      <c r="J19" s="144"/>
      <c r="K19" s="145"/>
      <c r="L19" s="146"/>
      <c r="M19" s="138">
        <v>0</v>
      </c>
      <c r="N19" s="147"/>
      <c r="O19" s="148"/>
      <c r="P19" s="148"/>
      <c r="Q19" s="148"/>
      <c r="R19" s="148"/>
      <c r="S19" s="148"/>
      <c r="T19" s="148"/>
      <c r="U19" s="149"/>
      <c r="V19" s="141">
        <f>SUM(P19:U19)</f>
        <v>0</v>
      </c>
    </row>
    <row r="20" spans="1:22" ht="48.75" customHeight="1" thickBot="1">
      <c r="A20" s="110" t="s">
        <v>81</v>
      </c>
      <c r="B20" s="20">
        <v>38</v>
      </c>
      <c r="C20" s="138">
        <v>0</v>
      </c>
      <c r="D20" s="138">
        <v>0</v>
      </c>
      <c r="E20" s="139">
        <v>0</v>
      </c>
      <c r="F20" s="140">
        <f t="shared" si="7"/>
        <v>38</v>
      </c>
      <c r="G20" s="141">
        <f t="shared" si="8"/>
        <v>2</v>
      </c>
      <c r="H20" s="142">
        <f t="shared" si="9"/>
        <v>36</v>
      </c>
      <c r="I20" s="143">
        <f t="shared" si="3"/>
        <v>94.73684210526315</v>
      </c>
      <c r="J20" s="144"/>
      <c r="K20" s="145"/>
      <c r="L20" s="146"/>
      <c r="M20" s="138">
        <v>0</v>
      </c>
      <c r="N20" s="147"/>
      <c r="O20" s="148"/>
      <c r="P20" s="148"/>
      <c r="Q20" s="148"/>
      <c r="R20" s="148"/>
      <c r="S20" s="148"/>
      <c r="T20" s="148">
        <v>2</v>
      </c>
      <c r="U20" s="149"/>
      <c r="V20" s="141">
        <f>SUM(P20:U20)</f>
        <v>2</v>
      </c>
    </row>
    <row r="21" spans="1:22" ht="48.75" customHeight="1" thickBot="1">
      <c r="A21" s="21" t="s">
        <v>82</v>
      </c>
      <c r="B21" s="29">
        <f>B20+B19+B18+B17+B16+B15+B14+B13+B12+B11+B5+B4+B3</f>
        <v>825</v>
      </c>
      <c r="C21" s="29">
        <f t="shared" ref="C21:H21" si="10">C20+C19+C18+C17+C16+C15+C14+C13+C12+C11+C5+C4+C3</f>
        <v>0</v>
      </c>
      <c r="D21" s="29">
        <f t="shared" si="10"/>
        <v>0</v>
      </c>
      <c r="E21" s="29">
        <f t="shared" si="10"/>
        <v>0</v>
      </c>
      <c r="F21" s="29">
        <f t="shared" si="10"/>
        <v>825</v>
      </c>
      <c r="G21" s="29">
        <f t="shared" si="10"/>
        <v>34</v>
      </c>
      <c r="H21" s="29">
        <f t="shared" si="10"/>
        <v>791</v>
      </c>
      <c r="I21" s="152">
        <f t="shared" si="3"/>
        <v>95.878787878787875</v>
      </c>
      <c r="J21" s="153">
        <v>93.4</v>
      </c>
      <c r="K21" s="154">
        <v>94.7</v>
      </c>
      <c r="L21" s="155">
        <f>(J21-K21)/K21*100</f>
        <v>-1.3727560718056993</v>
      </c>
      <c r="M21" s="29">
        <f>M20+M19+M18+M17+M16+M15+M14+M13+M12+M11+M5+M4+M3</f>
        <v>0</v>
      </c>
      <c r="N21" s="147"/>
      <c r="O21" s="29">
        <f t="shared" ref="O21:V21" si="11">O20+O19+O18+O17+O16+O15+O14+O13+O12+O11+O5+O4+O3</f>
        <v>0</v>
      </c>
      <c r="P21" s="29">
        <f t="shared" si="11"/>
        <v>12</v>
      </c>
      <c r="Q21" s="29">
        <f t="shared" si="11"/>
        <v>1</v>
      </c>
      <c r="R21" s="29">
        <f t="shared" si="11"/>
        <v>4</v>
      </c>
      <c r="S21" s="29">
        <f t="shared" si="11"/>
        <v>4</v>
      </c>
      <c r="T21" s="29">
        <f t="shared" si="11"/>
        <v>13</v>
      </c>
      <c r="U21" s="29">
        <f t="shared" si="11"/>
        <v>0</v>
      </c>
      <c r="V21" s="29">
        <f t="shared" si="11"/>
        <v>34</v>
      </c>
    </row>
  </sheetData>
  <mergeCells count="1">
    <mergeCell ref="A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sheetPr>
    <pageSetUpPr fitToPage="1"/>
  </sheetPr>
  <dimension ref="A1:R18"/>
  <sheetViews>
    <sheetView workbookViewId="0">
      <selection activeCell="H8" sqref="H8"/>
    </sheetView>
  </sheetViews>
  <sheetFormatPr defaultRowHeight="15"/>
  <cols>
    <col min="1" max="1" width="16.7109375" customWidth="1"/>
    <col min="2" max="2" width="9.42578125" customWidth="1"/>
    <col min="3" max="3" width="7" customWidth="1"/>
    <col min="4" max="4" width="6.85546875" customWidth="1"/>
    <col min="5" max="5" width="9" bestFit="1" customWidth="1"/>
    <col min="6" max="6" width="7.42578125" bestFit="1" customWidth="1"/>
    <col min="7" max="7" width="9" bestFit="1" customWidth="1"/>
    <col min="8" max="8" width="11.85546875" customWidth="1"/>
    <col min="9" max="9" width="7.5703125" customWidth="1"/>
    <col min="10" max="10" width="10.7109375" customWidth="1"/>
    <col min="11" max="11" width="10.28515625" customWidth="1"/>
    <col min="12" max="12" width="10.42578125" bestFit="1" customWidth="1"/>
    <col min="13" max="13" width="10.28515625" customWidth="1"/>
    <col min="14" max="14" width="8.28515625" customWidth="1"/>
    <col min="17" max="17" width="13.5703125" customWidth="1"/>
    <col min="18" max="18" width="27.28515625" customWidth="1"/>
  </cols>
  <sheetData>
    <row r="1" spans="1:18" ht="25.5">
      <c r="A1" s="268" t="s">
        <v>329</v>
      </c>
      <c r="B1" s="269"/>
      <c r="C1" s="269"/>
      <c r="D1" s="269"/>
      <c r="E1" s="269"/>
      <c r="F1" s="269"/>
      <c r="G1" s="269"/>
      <c r="H1" s="269"/>
      <c r="I1" s="269"/>
      <c r="J1" s="269"/>
      <c r="K1" s="269"/>
      <c r="L1" s="269"/>
      <c r="M1" s="269"/>
      <c r="N1" s="269"/>
      <c r="O1" s="269"/>
      <c r="P1" s="269"/>
      <c r="Q1" s="269"/>
      <c r="R1" s="270"/>
    </row>
    <row r="2" spans="1:18" ht="20.25">
      <c r="A2" s="271" t="s">
        <v>83</v>
      </c>
      <c r="B2" s="272"/>
      <c r="C2" s="272"/>
      <c r="D2" s="272"/>
      <c r="E2" s="272"/>
      <c r="F2" s="272"/>
      <c r="G2" s="272"/>
      <c r="H2" s="272"/>
      <c r="I2" s="272"/>
      <c r="J2" s="272"/>
      <c r="K2" s="272"/>
      <c r="L2" s="272"/>
      <c r="M2" s="272"/>
      <c r="N2" s="272"/>
      <c r="O2" s="272"/>
      <c r="P2" s="272"/>
      <c r="Q2" s="272"/>
      <c r="R2" s="273"/>
    </row>
    <row r="3" spans="1:18" ht="110.25">
      <c r="A3" s="85" t="s">
        <v>84</v>
      </c>
      <c r="B3" s="86" t="s">
        <v>50</v>
      </c>
      <c r="C3" s="87" t="s">
        <v>2</v>
      </c>
      <c r="D3" s="88" t="s">
        <v>85</v>
      </c>
      <c r="E3" s="89" t="s">
        <v>53</v>
      </c>
      <c r="F3" s="88" t="s">
        <v>86</v>
      </c>
      <c r="G3" s="89" t="s">
        <v>54</v>
      </c>
      <c r="H3" s="89" t="s">
        <v>87</v>
      </c>
      <c r="I3" s="88" t="s">
        <v>88</v>
      </c>
      <c r="J3" s="90" t="s">
        <v>330</v>
      </c>
      <c r="K3" s="91" t="s">
        <v>331</v>
      </c>
      <c r="L3" s="90" t="s">
        <v>332</v>
      </c>
      <c r="M3" s="89" t="s">
        <v>333</v>
      </c>
      <c r="N3" s="92" t="s">
        <v>89</v>
      </c>
      <c r="O3" s="274"/>
      <c r="P3" s="274"/>
      <c r="Q3" s="274"/>
      <c r="R3" s="275"/>
    </row>
    <row r="4" spans="1:18" ht="46.5" customHeight="1">
      <c r="A4" s="93" t="s">
        <v>90</v>
      </c>
      <c r="B4" s="94">
        <v>56</v>
      </c>
      <c r="C4" s="95">
        <v>3</v>
      </c>
      <c r="D4" s="96">
        <v>0</v>
      </c>
      <c r="E4" s="97">
        <f>B4-C4-D4</f>
        <v>53</v>
      </c>
      <c r="F4" s="96">
        <v>9</v>
      </c>
      <c r="G4" s="97">
        <f>E4-F4</f>
        <v>44</v>
      </c>
      <c r="H4" s="98">
        <f>G4/E4*100</f>
        <v>83.018867924528308</v>
      </c>
      <c r="I4" s="99">
        <v>0</v>
      </c>
      <c r="J4" s="100" t="s">
        <v>334</v>
      </c>
      <c r="K4" s="98">
        <v>90.1</v>
      </c>
      <c r="L4" s="100" t="s">
        <v>232</v>
      </c>
      <c r="M4" s="98">
        <v>94.9</v>
      </c>
      <c r="N4" s="101" t="s">
        <v>91</v>
      </c>
      <c r="O4" s="265" t="s">
        <v>342</v>
      </c>
      <c r="P4" s="266"/>
      <c r="Q4" s="266"/>
      <c r="R4" s="267"/>
    </row>
    <row r="5" spans="1:18" ht="23.25">
      <c r="A5" s="102" t="s">
        <v>92</v>
      </c>
      <c r="B5" s="95">
        <v>0</v>
      </c>
      <c r="C5" s="95">
        <v>0</v>
      </c>
      <c r="D5" s="96">
        <v>0</v>
      </c>
      <c r="E5" s="97">
        <f>B5-C5-D5</f>
        <v>0</v>
      </c>
      <c r="F5" s="96">
        <v>0</v>
      </c>
      <c r="G5" s="97">
        <f>E5-F5</f>
        <v>0</v>
      </c>
      <c r="H5" s="98" t="e">
        <f t="shared" ref="H5:H9" si="0">G5/E5*100</f>
        <v>#DIV/0!</v>
      </c>
      <c r="I5" s="99">
        <v>0</v>
      </c>
      <c r="J5" s="100" t="s">
        <v>220</v>
      </c>
      <c r="K5" s="98">
        <v>0</v>
      </c>
      <c r="L5" s="100" t="s">
        <v>209</v>
      </c>
      <c r="M5" s="98">
        <v>59</v>
      </c>
      <c r="N5" s="24" t="s">
        <v>93</v>
      </c>
      <c r="O5" s="276"/>
      <c r="P5" s="276"/>
      <c r="Q5" s="276"/>
      <c r="R5" s="277"/>
    </row>
    <row r="6" spans="1:18" ht="53.25" customHeight="1">
      <c r="A6" s="85" t="s">
        <v>94</v>
      </c>
      <c r="B6" s="103">
        <f>SUM(B4:B5)</f>
        <v>56</v>
      </c>
      <c r="C6" s="103">
        <f>SUM(C4:C5)</f>
        <v>3</v>
      </c>
      <c r="D6" s="103">
        <f>SUM(D4:D5)</f>
        <v>0</v>
      </c>
      <c r="E6" s="103">
        <f>B6-C6-D6</f>
        <v>53</v>
      </c>
      <c r="F6" s="97">
        <f>SUM(F4:F5)</f>
        <v>9</v>
      </c>
      <c r="G6" s="97">
        <f>E6-F6</f>
        <v>44</v>
      </c>
      <c r="H6" s="98">
        <f t="shared" si="0"/>
        <v>83.018867924528308</v>
      </c>
      <c r="I6" s="104">
        <f>SUM(I4:I5)</f>
        <v>0</v>
      </c>
      <c r="J6" s="100" t="s">
        <v>334</v>
      </c>
      <c r="K6" s="98">
        <v>90.1</v>
      </c>
      <c r="L6" s="100" t="s">
        <v>335</v>
      </c>
      <c r="M6" s="98">
        <v>93.8</v>
      </c>
      <c r="N6" s="101" t="s">
        <v>95</v>
      </c>
      <c r="O6" s="265" t="s">
        <v>343</v>
      </c>
      <c r="P6" s="266"/>
      <c r="Q6" s="266"/>
      <c r="R6" s="267"/>
    </row>
    <row r="7" spans="1:18" ht="42" customHeight="1">
      <c r="A7" s="102" t="s">
        <v>40</v>
      </c>
      <c r="B7" s="94">
        <v>30</v>
      </c>
      <c r="C7" s="95">
        <v>0</v>
      </c>
      <c r="D7" s="96">
        <v>1</v>
      </c>
      <c r="E7" s="103">
        <f>B7-C7-D7</f>
        <v>29</v>
      </c>
      <c r="F7" s="96">
        <v>5</v>
      </c>
      <c r="G7" s="97">
        <f>E7-F7</f>
        <v>24</v>
      </c>
      <c r="H7" s="98">
        <f t="shared" si="0"/>
        <v>82.758620689655174</v>
      </c>
      <c r="I7" s="99">
        <v>0</v>
      </c>
      <c r="J7" s="100" t="s">
        <v>336</v>
      </c>
      <c r="K7" s="98">
        <v>80.2</v>
      </c>
      <c r="L7" s="100" t="s">
        <v>337</v>
      </c>
      <c r="M7" s="98">
        <v>90.2</v>
      </c>
      <c r="N7" s="25" t="s">
        <v>96</v>
      </c>
      <c r="O7" s="265" t="s">
        <v>338</v>
      </c>
      <c r="P7" s="266"/>
      <c r="Q7" s="266"/>
      <c r="R7" s="267"/>
    </row>
    <row r="8" spans="1:18" ht="23.25">
      <c r="A8" s="102" t="s">
        <v>97</v>
      </c>
      <c r="B8" s="94">
        <v>825</v>
      </c>
      <c r="C8" s="95">
        <v>0</v>
      </c>
      <c r="D8" s="96">
        <v>0</v>
      </c>
      <c r="E8" s="103">
        <f>B8-C8-D8</f>
        <v>825</v>
      </c>
      <c r="F8" s="96">
        <v>34</v>
      </c>
      <c r="G8" s="97">
        <f>E8-F8</f>
        <v>791</v>
      </c>
      <c r="H8" s="98">
        <f>G8/E8*100</f>
        <v>95.878787878787875</v>
      </c>
      <c r="I8" s="99">
        <v>0</v>
      </c>
      <c r="J8" s="100" t="s">
        <v>339</v>
      </c>
      <c r="K8" s="98">
        <v>93.4</v>
      </c>
      <c r="L8" s="100" t="s">
        <v>210</v>
      </c>
      <c r="M8" s="98">
        <v>93.7</v>
      </c>
      <c r="N8" s="101" t="s">
        <v>99</v>
      </c>
      <c r="O8" s="280"/>
      <c r="P8" s="280"/>
      <c r="Q8" s="280"/>
      <c r="R8" s="281"/>
    </row>
    <row r="9" spans="1:18" ht="23.25">
      <c r="A9" s="105" t="s">
        <v>100</v>
      </c>
      <c r="B9" s="106">
        <f>SUM(B6:B8)</f>
        <v>911</v>
      </c>
      <c r="C9" s="103">
        <f>SUM(C6:C8)</f>
        <v>3</v>
      </c>
      <c r="D9" s="97">
        <f>SUM(D6:D8)</f>
        <v>1</v>
      </c>
      <c r="E9" s="103">
        <f>SUM(E6:E8)</f>
        <v>907</v>
      </c>
      <c r="F9" s="97">
        <f>SUM(F6:F8)</f>
        <v>48</v>
      </c>
      <c r="G9" s="97">
        <f>G6+G7+G8</f>
        <v>859</v>
      </c>
      <c r="H9" s="98">
        <f t="shared" si="0"/>
        <v>94.707828004410146</v>
      </c>
      <c r="I9" s="97">
        <f>SUM(I6:I8)</f>
        <v>0</v>
      </c>
      <c r="J9" s="100" t="s">
        <v>233</v>
      </c>
      <c r="K9" s="98">
        <v>93.3</v>
      </c>
      <c r="L9" s="100" t="s">
        <v>98</v>
      </c>
      <c r="M9" s="98">
        <v>93.6</v>
      </c>
      <c r="N9" s="101" t="s">
        <v>101</v>
      </c>
      <c r="O9" s="274"/>
      <c r="P9" s="274"/>
      <c r="Q9" s="274"/>
      <c r="R9" s="275"/>
    </row>
    <row r="10" spans="1:18" ht="15.75">
      <c r="A10" s="282"/>
      <c r="B10" s="283"/>
      <c r="C10" s="283"/>
      <c r="D10" s="283"/>
      <c r="E10" s="283"/>
      <c r="F10" s="283"/>
      <c r="G10" s="283"/>
      <c r="H10" s="283"/>
      <c r="I10" s="283"/>
      <c r="J10" s="283"/>
      <c r="K10" s="283"/>
      <c r="L10" s="283"/>
      <c r="M10" s="283"/>
      <c r="N10" s="283"/>
      <c r="O10" s="283"/>
      <c r="P10" s="283"/>
      <c r="Q10" s="283"/>
      <c r="R10" s="284"/>
    </row>
    <row r="11" spans="1:18" ht="63">
      <c r="A11" s="107" t="s">
        <v>102</v>
      </c>
      <c r="B11" s="89" t="s">
        <v>50</v>
      </c>
      <c r="C11" s="87" t="s">
        <v>2</v>
      </c>
      <c r="D11" s="88" t="s">
        <v>85</v>
      </c>
      <c r="E11" s="89" t="s">
        <v>21</v>
      </c>
      <c r="F11" s="88" t="s">
        <v>86</v>
      </c>
      <c r="G11" s="89" t="s">
        <v>54</v>
      </c>
      <c r="H11" s="89" t="s">
        <v>87</v>
      </c>
      <c r="I11" s="88" t="s">
        <v>88</v>
      </c>
      <c r="J11" s="88"/>
      <c r="K11" s="108" t="s">
        <v>340</v>
      </c>
      <c r="L11" s="108" t="s">
        <v>341</v>
      </c>
      <c r="M11" s="108"/>
      <c r="N11" s="109"/>
      <c r="O11" s="285" t="s">
        <v>84</v>
      </c>
      <c r="P11" s="285"/>
      <c r="Q11" s="110" t="s">
        <v>103</v>
      </c>
      <c r="R11" s="111" t="s">
        <v>104</v>
      </c>
    </row>
    <row r="12" spans="1:18" ht="23.25">
      <c r="A12" s="112" t="s">
        <v>105</v>
      </c>
      <c r="B12" s="94">
        <v>16</v>
      </c>
      <c r="C12" s="95">
        <v>0</v>
      </c>
      <c r="D12" s="95">
        <v>0</v>
      </c>
      <c r="E12" s="97">
        <f t="shared" ref="E12:E18" si="1">B12-C12-D12</f>
        <v>16</v>
      </c>
      <c r="F12" s="99">
        <v>5</v>
      </c>
      <c r="G12" s="97">
        <f t="shared" ref="G12:G18" si="2">E12-F12</f>
        <v>11</v>
      </c>
      <c r="H12" s="98">
        <f t="shared" ref="H12:H18" si="3">G12/E12*100</f>
        <v>68.75</v>
      </c>
      <c r="I12" s="99">
        <v>0</v>
      </c>
      <c r="J12" s="99"/>
      <c r="K12" s="98">
        <v>90.7</v>
      </c>
      <c r="L12" s="99">
        <v>7</v>
      </c>
      <c r="M12" s="113"/>
      <c r="N12" s="109"/>
      <c r="O12" s="286" t="s">
        <v>106</v>
      </c>
      <c r="P12" s="287"/>
      <c r="Q12" s="98">
        <v>83</v>
      </c>
      <c r="R12" s="98">
        <v>90.1</v>
      </c>
    </row>
    <row r="13" spans="1:18" ht="23.25">
      <c r="A13" s="112" t="s">
        <v>107</v>
      </c>
      <c r="B13" s="94">
        <v>15</v>
      </c>
      <c r="C13" s="95">
        <v>2</v>
      </c>
      <c r="D13" s="95">
        <v>0</v>
      </c>
      <c r="E13" s="97">
        <f t="shared" si="1"/>
        <v>13</v>
      </c>
      <c r="F13" s="99">
        <v>1</v>
      </c>
      <c r="G13" s="97">
        <f t="shared" si="2"/>
        <v>12</v>
      </c>
      <c r="H13" s="98">
        <f t="shared" si="3"/>
        <v>92.307692307692307</v>
      </c>
      <c r="I13" s="99">
        <v>0</v>
      </c>
      <c r="J13" s="99"/>
      <c r="K13" s="98">
        <v>90.3</v>
      </c>
      <c r="L13" s="99">
        <v>6</v>
      </c>
      <c r="M13" s="113"/>
      <c r="N13" s="109"/>
      <c r="O13" s="286" t="s">
        <v>92</v>
      </c>
      <c r="P13" s="287"/>
      <c r="Q13" s="98" t="s">
        <v>239</v>
      </c>
      <c r="R13" s="98">
        <v>0</v>
      </c>
    </row>
    <row r="14" spans="1:18" ht="36.75" customHeight="1">
      <c r="A14" s="112" t="s">
        <v>108</v>
      </c>
      <c r="B14" s="94">
        <v>8</v>
      </c>
      <c r="C14" s="95">
        <v>1</v>
      </c>
      <c r="D14" s="95">
        <v>0</v>
      </c>
      <c r="E14" s="97">
        <f t="shared" si="1"/>
        <v>7</v>
      </c>
      <c r="F14" s="99">
        <v>2</v>
      </c>
      <c r="G14" s="97">
        <f t="shared" si="2"/>
        <v>5</v>
      </c>
      <c r="H14" s="98">
        <f t="shared" si="3"/>
        <v>71.428571428571431</v>
      </c>
      <c r="I14" s="99">
        <v>0</v>
      </c>
      <c r="J14" s="99"/>
      <c r="K14" s="98">
        <v>88.9</v>
      </c>
      <c r="L14" s="99">
        <v>3</v>
      </c>
      <c r="M14" s="113"/>
      <c r="N14" s="109">
        <v>90.5</v>
      </c>
      <c r="O14" s="288" t="s">
        <v>109</v>
      </c>
      <c r="P14" s="289"/>
      <c r="Q14" s="98">
        <v>83</v>
      </c>
      <c r="R14" s="98">
        <v>90.1</v>
      </c>
    </row>
    <row r="15" spans="1:18" ht="23.25">
      <c r="A15" s="112" t="s">
        <v>110</v>
      </c>
      <c r="B15" s="94">
        <v>11</v>
      </c>
      <c r="C15" s="95">
        <v>0</v>
      </c>
      <c r="D15" s="95">
        <v>0</v>
      </c>
      <c r="E15" s="97">
        <f t="shared" si="1"/>
        <v>11</v>
      </c>
      <c r="F15" s="99">
        <v>1</v>
      </c>
      <c r="G15" s="97">
        <f t="shared" si="2"/>
        <v>10</v>
      </c>
      <c r="H15" s="98">
        <f t="shared" si="3"/>
        <v>90.909090909090907</v>
      </c>
      <c r="I15" s="99">
        <v>0</v>
      </c>
      <c r="J15" s="99"/>
      <c r="K15" s="98">
        <v>90.9</v>
      </c>
      <c r="L15" s="99">
        <v>6</v>
      </c>
      <c r="M15" s="113"/>
      <c r="N15" s="109"/>
      <c r="O15" s="286" t="s">
        <v>40</v>
      </c>
      <c r="P15" s="287"/>
      <c r="Q15" s="98">
        <v>82.8</v>
      </c>
      <c r="R15" s="98">
        <v>80.2</v>
      </c>
    </row>
    <row r="16" spans="1:18" ht="36.75" customHeight="1">
      <c r="A16" s="93" t="s">
        <v>111</v>
      </c>
      <c r="B16" s="94">
        <v>2</v>
      </c>
      <c r="C16" s="95">
        <v>0</v>
      </c>
      <c r="D16" s="95">
        <v>0</v>
      </c>
      <c r="E16" s="97">
        <f t="shared" si="1"/>
        <v>2</v>
      </c>
      <c r="F16" s="99">
        <v>0</v>
      </c>
      <c r="G16" s="97">
        <f t="shared" si="2"/>
        <v>2</v>
      </c>
      <c r="H16" s="98">
        <f t="shared" si="3"/>
        <v>100</v>
      </c>
      <c r="I16" s="99">
        <v>0</v>
      </c>
      <c r="J16" s="99"/>
      <c r="K16" s="98">
        <v>100</v>
      </c>
      <c r="L16" s="99">
        <v>0</v>
      </c>
      <c r="M16" s="114"/>
      <c r="N16" s="109"/>
      <c r="O16" s="286" t="s">
        <v>112</v>
      </c>
      <c r="P16" s="287"/>
      <c r="Q16" s="98">
        <v>95.9</v>
      </c>
      <c r="R16" s="98">
        <v>93.4</v>
      </c>
    </row>
    <row r="17" spans="1:18" ht="30">
      <c r="A17" s="115" t="s">
        <v>113</v>
      </c>
      <c r="B17" s="50">
        <v>4</v>
      </c>
      <c r="C17" s="95">
        <v>0</v>
      </c>
      <c r="D17" s="95">
        <v>0</v>
      </c>
      <c r="E17" s="97">
        <f t="shared" si="1"/>
        <v>4</v>
      </c>
      <c r="F17" s="99">
        <v>0</v>
      </c>
      <c r="G17" s="97">
        <f t="shared" si="2"/>
        <v>4</v>
      </c>
      <c r="H17" s="98">
        <f t="shared" si="3"/>
        <v>100</v>
      </c>
      <c r="I17" s="99">
        <v>0</v>
      </c>
      <c r="J17" s="99"/>
      <c r="K17" s="98">
        <v>94.1</v>
      </c>
      <c r="L17" s="99">
        <v>1</v>
      </c>
      <c r="M17" s="113"/>
      <c r="N17" s="109"/>
      <c r="O17" s="288" t="s">
        <v>100</v>
      </c>
      <c r="P17" s="289"/>
      <c r="Q17" s="98">
        <v>94.7</v>
      </c>
      <c r="R17" s="98">
        <v>93.3</v>
      </c>
    </row>
    <row r="18" spans="1:18" ht="24" thickBot="1">
      <c r="A18" s="116" t="s">
        <v>17</v>
      </c>
      <c r="B18" s="117">
        <f>SUM(B12:B17)</f>
        <v>56</v>
      </c>
      <c r="C18" s="118">
        <f>C12+C13+C14+C15+C16+C17</f>
        <v>3</v>
      </c>
      <c r="D18" s="119">
        <f>SUM(D12:D17)</f>
        <v>0</v>
      </c>
      <c r="E18" s="119">
        <f t="shared" si="1"/>
        <v>53</v>
      </c>
      <c r="F18" s="119">
        <f>SUM(F12:F17)</f>
        <v>9</v>
      </c>
      <c r="G18" s="119">
        <f t="shared" si="2"/>
        <v>44</v>
      </c>
      <c r="H18" s="120">
        <f t="shared" si="3"/>
        <v>83.018867924528308</v>
      </c>
      <c r="I18" s="117">
        <f>SUM(I12:I17)</f>
        <v>0</v>
      </c>
      <c r="J18" s="117"/>
      <c r="K18" s="98">
        <v>90.1</v>
      </c>
      <c r="L18" s="121">
        <f>SUM(L12:L17)</f>
        <v>23</v>
      </c>
      <c r="M18" s="121"/>
      <c r="N18" s="122"/>
      <c r="O18" s="278"/>
      <c r="P18" s="279"/>
      <c r="Q18" s="123"/>
      <c r="R18" s="124"/>
    </row>
  </sheetData>
  <mergeCells count="18">
    <mergeCell ref="O18:P18"/>
    <mergeCell ref="O7:R7"/>
    <mergeCell ref="O8:R8"/>
    <mergeCell ref="O9:R9"/>
    <mergeCell ref="A10:R10"/>
    <mergeCell ref="O11:P11"/>
    <mergeCell ref="O12:P12"/>
    <mergeCell ref="O13:P13"/>
    <mergeCell ref="O14:P14"/>
    <mergeCell ref="O15:P15"/>
    <mergeCell ref="O16:P16"/>
    <mergeCell ref="O17:P17"/>
    <mergeCell ref="O6:R6"/>
    <mergeCell ref="A1:R1"/>
    <mergeCell ref="A2:R2"/>
    <mergeCell ref="O3:R3"/>
    <mergeCell ref="O4:R4"/>
    <mergeCell ref="O5:R5"/>
  </mergeCells>
  <pageMargins left="0.7" right="0.7" top="0.75" bottom="0.75" header="0.3" footer="0.3"/>
  <pageSetup paperSize="9" scale="44" orientation="portrait" r:id="rId1"/>
</worksheet>
</file>

<file path=xl/worksheets/sheet7.xml><?xml version="1.0" encoding="utf-8"?>
<worksheet xmlns="http://schemas.openxmlformats.org/spreadsheetml/2006/main" xmlns:r="http://schemas.openxmlformats.org/officeDocument/2006/relationships">
  <dimension ref="A1:U46"/>
  <sheetViews>
    <sheetView zoomScale="90" zoomScaleNormal="90" zoomScalePageLayoutView="60" workbookViewId="0">
      <selection activeCell="E11" sqref="E11"/>
    </sheetView>
  </sheetViews>
  <sheetFormatPr defaultColWidth="9.140625" defaultRowHeight="15.75"/>
  <cols>
    <col min="1" max="1" width="9.140625" style="9"/>
    <col min="2" max="2" width="10.5703125" style="9" customWidth="1"/>
    <col min="3" max="3" width="9.42578125" style="9" customWidth="1"/>
    <col min="4" max="4" width="11.5703125" style="9" customWidth="1"/>
    <col min="5" max="6" width="9.140625" style="9"/>
    <col min="7" max="7" width="54.42578125" style="9" customWidth="1"/>
    <col min="8" max="8" width="22.42578125" style="9" customWidth="1"/>
    <col min="9" max="9" width="23.42578125" style="9" customWidth="1"/>
    <col min="10" max="10" width="13" style="9" customWidth="1"/>
    <col min="11" max="11" width="11.140625" style="9" customWidth="1"/>
    <col min="12" max="12" width="11" style="9" customWidth="1"/>
    <col min="13" max="19" width="9.140625" style="9"/>
    <col min="20" max="20" width="21.5703125" style="9" customWidth="1"/>
    <col min="21" max="21" width="22.5703125" style="9" customWidth="1"/>
    <col min="22" max="16384" width="9.140625" style="9"/>
  </cols>
  <sheetData>
    <row r="1" spans="1:21" ht="38.25" customHeight="1">
      <c r="A1" s="298" t="s">
        <v>328</v>
      </c>
      <c r="B1" s="298"/>
      <c r="C1" s="298"/>
      <c r="D1" s="298"/>
      <c r="E1" s="298"/>
      <c r="F1" s="298"/>
      <c r="G1" s="298"/>
      <c r="H1" s="298"/>
      <c r="I1" s="298"/>
      <c r="J1" s="298"/>
      <c r="K1" s="298"/>
      <c r="L1" s="298"/>
      <c r="M1" s="298"/>
      <c r="N1" s="298"/>
      <c r="O1" s="298"/>
      <c r="P1" s="298"/>
      <c r="Q1" s="298"/>
      <c r="R1" s="298"/>
      <c r="S1" s="298"/>
      <c r="T1" s="298"/>
      <c r="U1" s="298"/>
    </row>
    <row r="2" spans="1:21">
      <c r="A2" s="41"/>
      <c r="B2" s="41"/>
      <c r="C2" s="42"/>
      <c r="D2"/>
      <c r="E2"/>
      <c r="F2"/>
      <c r="G2"/>
      <c r="H2"/>
      <c r="I2"/>
      <c r="J2"/>
      <c r="K2"/>
      <c r="L2"/>
      <c r="M2"/>
      <c r="N2"/>
      <c r="O2"/>
      <c r="P2"/>
      <c r="Q2"/>
      <c r="R2"/>
      <c r="S2"/>
      <c r="T2"/>
      <c r="U2"/>
    </row>
    <row r="3" spans="1:21" ht="16.5" thickBot="1">
      <c r="A3" s="2"/>
      <c r="B3"/>
      <c r="C3"/>
      <c r="D3"/>
      <c r="E3"/>
      <c r="F3"/>
      <c r="G3"/>
      <c r="H3"/>
      <c r="I3"/>
      <c r="J3"/>
      <c r="K3"/>
      <c r="L3"/>
      <c r="M3"/>
      <c r="N3"/>
      <c r="O3"/>
      <c r="P3"/>
      <c r="Q3"/>
      <c r="R3"/>
      <c r="S3"/>
      <c r="T3"/>
      <c r="U3"/>
    </row>
    <row r="4" spans="1:21" ht="17.25" customHeight="1" thickBot="1">
      <c r="A4" s="296" t="s">
        <v>124</v>
      </c>
      <c r="B4" s="296" t="s">
        <v>163</v>
      </c>
      <c r="C4" s="296" t="s">
        <v>164</v>
      </c>
      <c r="D4" s="296" t="s">
        <v>165</v>
      </c>
      <c r="E4" s="296" t="s">
        <v>166</v>
      </c>
      <c r="F4" s="296" t="s">
        <v>167</v>
      </c>
      <c r="G4" s="296" t="s">
        <v>168</v>
      </c>
      <c r="H4" s="293" t="s">
        <v>169</v>
      </c>
      <c r="I4" s="295"/>
      <c r="J4" s="296" t="s">
        <v>170</v>
      </c>
      <c r="K4" s="296" t="s">
        <v>178</v>
      </c>
      <c r="L4" s="296" t="s">
        <v>172</v>
      </c>
      <c r="M4" s="296" t="s">
        <v>179</v>
      </c>
      <c r="N4" s="293" t="s">
        <v>180</v>
      </c>
      <c r="O4" s="294"/>
      <c r="P4" s="295"/>
      <c r="Q4" s="293" t="s">
        <v>181</v>
      </c>
      <c r="R4" s="294"/>
      <c r="S4" s="295"/>
      <c r="T4" s="296" t="s">
        <v>182</v>
      </c>
      <c r="U4" s="296" t="s">
        <v>183</v>
      </c>
    </row>
    <row r="5" spans="1:21" ht="16.5" thickBot="1">
      <c r="A5" s="297"/>
      <c r="B5" s="297"/>
      <c r="C5" s="297"/>
      <c r="D5" s="297"/>
      <c r="E5" s="297"/>
      <c r="F5" s="297"/>
      <c r="G5" s="297"/>
      <c r="H5" s="43" t="s">
        <v>174</v>
      </c>
      <c r="I5" s="43" t="s">
        <v>175</v>
      </c>
      <c r="J5" s="297"/>
      <c r="K5" s="297"/>
      <c r="L5" s="297"/>
      <c r="M5" s="297"/>
      <c r="N5" s="43" t="s">
        <v>184</v>
      </c>
      <c r="O5" s="43" t="s">
        <v>185</v>
      </c>
      <c r="P5" s="43" t="s">
        <v>133</v>
      </c>
      <c r="Q5" s="43" t="s">
        <v>184</v>
      </c>
      <c r="R5" s="43" t="s">
        <v>185</v>
      </c>
      <c r="S5" s="43" t="s">
        <v>133</v>
      </c>
      <c r="T5" s="297"/>
      <c r="U5" s="297"/>
    </row>
    <row r="6" spans="1:21" ht="16.5" thickBot="1">
      <c r="A6" s="290" t="s">
        <v>223</v>
      </c>
      <c r="B6" s="291"/>
      <c r="C6" s="291"/>
      <c r="D6" s="291"/>
      <c r="E6" s="291"/>
      <c r="F6" s="291"/>
      <c r="G6" s="291"/>
      <c r="H6" s="291"/>
      <c r="I6" s="291"/>
      <c r="J6" s="291"/>
      <c r="K6" s="291"/>
      <c r="L6" s="291"/>
      <c r="M6" s="291"/>
      <c r="N6" s="291"/>
      <c r="O6" s="291"/>
      <c r="P6" s="291"/>
      <c r="Q6" s="291"/>
      <c r="R6" s="291"/>
      <c r="S6" s="291"/>
      <c r="T6" s="291"/>
      <c r="U6" s="292"/>
    </row>
    <row r="7" spans="1:21" ht="26.25" thickBot="1">
      <c r="A7" s="81">
        <v>1</v>
      </c>
      <c r="B7" s="82">
        <v>5369451</v>
      </c>
      <c r="C7" s="81" t="s">
        <v>176</v>
      </c>
      <c r="D7" s="81" t="s">
        <v>161</v>
      </c>
      <c r="E7" s="81" t="s">
        <v>41</v>
      </c>
      <c r="F7" s="81" t="s">
        <v>221</v>
      </c>
      <c r="G7" s="83" t="s">
        <v>277</v>
      </c>
      <c r="H7" s="84">
        <v>46026.145833333336</v>
      </c>
      <c r="I7" s="84">
        <v>46026.194444444445</v>
      </c>
      <c r="J7" s="51" t="s">
        <v>278</v>
      </c>
      <c r="K7" s="81" t="s">
        <v>279</v>
      </c>
      <c r="L7" s="81" t="s">
        <v>280</v>
      </c>
      <c r="M7" s="81" t="s">
        <v>186</v>
      </c>
      <c r="N7" s="81">
        <v>2</v>
      </c>
      <c r="O7" s="81"/>
      <c r="P7" s="81">
        <v>2</v>
      </c>
      <c r="Q7" s="81">
        <v>35</v>
      </c>
      <c r="R7" s="81"/>
      <c r="S7" s="81">
        <v>35</v>
      </c>
      <c r="T7" s="84">
        <v>46026.38795138889</v>
      </c>
      <c r="U7" s="84">
        <v>46026.509421296294</v>
      </c>
    </row>
    <row r="8" spans="1:21" ht="26.25" thickBot="1">
      <c r="A8" s="81">
        <v>2</v>
      </c>
      <c r="B8" s="82">
        <v>5370297</v>
      </c>
      <c r="C8" s="81" t="s">
        <v>176</v>
      </c>
      <c r="D8" s="81" t="s">
        <v>161</v>
      </c>
      <c r="E8" s="81" t="s">
        <v>41</v>
      </c>
      <c r="F8" s="81" t="s">
        <v>194</v>
      </c>
      <c r="G8" s="83" t="s">
        <v>281</v>
      </c>
      <c r="H8" s="84">
        <v>46026.796527777777</v>
      </c>
      <c r="I8" s="84">
        <v>46026.802083333336</v>
      </c>
      <c r="J8" s="51" t="s">
        <v>218</v>
      </c>
      <c r="K8" s="81" t="s">
        <v>199</v>
      </c>
      <c r="L8" s="81" t="s">
        <v>282</v>
      </c>
      <c r="M8" s="81" t="s">
        <v>186</v>
      </c>
      <c r="N8" s="81">
        <v>2</v>
      </c>
      <c r="O8" s="81"/>
      <c r="P8" s="81">
        <v>2</v>
      </c>
      <c r="Q8" s="81">
        <v>4</v>
      </c>
      <c r="R8" s="81"/>
      <c r="S8" s="81">
        <v>4</v>
      </c>
      <c r="T8" s="84">
        <v>46026.944166666668</v>
      </c>
      <c r="U8" s="84">
        <v>46027.049490740741</v>
      </c>
    </row>
    <row r="9" spans="1:21" ht="16.5" thickBot="1">
      <c r="A9" s="299"/>
      <c r="B9" s="300"/>
      <c r="C9" s="300"/>
      <c r="D9" s="300"/>
      <c r="E9" s="300"/>
      <c r="F9" s="300"/>
      <c r="G9" s="300"/>
      <c r="H9" s="300"/>
      <c r="I9" s="300"/>
      <c r="J9" s="300"/>
      <c r="K9" s="300"/>
      <c r="L9" s="300"/>
      <c r="M9" s="300"/>
      <c r="N9" s="300"/>
      <c r="O9" s="300"/>
      <c r="P9" s="300"/>
      <c r="Q9" s="300"/>
      <c r="R9" s="300"/>
      <c r="S9" s="300"/>
      <c r="T9" s="300"/>
      <c r="U9" s="301"/>
    </row>
    <row r="10" spans="1:21" ht="16.5" thickBot="1">
      <c r="A10" s="302" t="s">
        <v>283</v>
      </c>
      <c r="B10" s="303"/>
      <c r="C10" s="303"/>
      <c r="D10" s="303"/>
      <c r="E10" s="303"/>
      <c r="F10" s="303"/>
      <c r="G10" s="303"/>
      <c r="H10" s="303"/>
      <c r="I10" s="303"/>
      <c r="J10" s="303"/>
      <c r="K10" s="303"/>
      <c r="L10" s="303"/>
      <c r="M10" s="303"/>
      <c r="N10" s="303"/>
      <c r="O10" s="303"/>
      <c r="P10" s="303"/>
      <c r="Q10" s="303"/>
      <c r="R10" s="303"/>
      <c r="S10" s="303"/>
      <c r="T10" s="303"/>
      <c r="U10" s="304"/>
    </row>
    <row r="11" spans="1:21" ht="39" thickBot="1">
      <c r="A11" s="77">
        <v>1</v>
      </c>
      <c r="B11" s="78">
        <v>5369497</v>
      </c>
      <c r="C11" s="77" t="s">
        <v>176</v>
      </c>
      <c r="D11" s="77" t="s">
        <v>161</v>
      </c>
      <c r="E11" s="77" t="s">
        <v>284</v>
      </c>
      <c r="F11" s="77" t="s">
        <v>285</v>
      </c>
      <c r="G11" s="79" t="s">
        <v>286</v>
      </c>
      <c r="H11" s="80">
        <v>46026.215277777781</v>
      </c>
      <c r="I11" s="80">
        <v>46026.272916666669</v>
      </c>
      <c r="J11" s="51" t="s">
        <v>287</v>
      </c>
      <c r="K11" s="77" t="s">
        <v>279</v>
      </c>
      <c r="L11" s="77" t="s">
        <v>280</v>
      </c>
      <c r="M11" s="77" t="s">
        <v>186</v>
      </c>
      <c r="N11" s="77">
        <v>2</v>
      </c>
      <c r="O11" s="77"/>
      <c r="P11" s="77">
        <v>2</v>
      </c>
      <c r="Q11" s="77">
        <v>42</v>
      </c>
      <c r="R11" s="77"/>
      <c r="S11" s="77">
        <v>42</v>
      </c>
      <c r="T11" s="80">
        <v>46026.424502314818</v>
      </c>
      <c r="U11" s="80">
        <v>46026.512638888889</v>
      </c>
    </row>
    <row r="12" spans="1:21" ht="26.25" thickBot="1">
      <c r="A12" s="77">
        <v>2</v>
      </c>
      <c r="B12" s="78">
        <v>5369970</v>
      </c>
      <c r="C12" s="77" t="s">
        <v>176</v>
      </c>
      <c r="D12" s="77" t="s">
        <v>161</v>
      </c>
      <c r="E12" s="77" t="s">
        <v>284</v>
      </c>
      <c r="F12" s="77" t="s">
        <v>285</v>
      </c>
      <c r="G12" s="79" t="s">
        <v>288</v>
      </c>
      <c r="H12" s="80">
        <v>46026.697222222225</v>
      </c>
      <c r="I12" s="80">
        <v>46026.70208333333</v>
      </c>
      <c r="J12" s="51" t="s">
        <v>222</v>
      </c>
      <c r="K12" s="77" t="s">
        <v>187</v>
      </c>
      <c r="L12" s="77" t="s">
        <v>211</v>
      </c>
      <c r="M12" s="77" t="s">
        <v>186</v>
      </c>
      <c r="N12" s="77">
        <v>1</v>
      </c>
      <c r="O12" s="77"/>
      <c r="P12" s="77">
        <v>1</v>
      </c>
      <c r="Q12" s="77">
        <v>7</v>
      </c>
      <c r="R12" s="77"/>
      <c r="S12" s="77">
        <v>7</v>
      </c>
      <c r="T12" s="80">
        <v>46026.778819444444</v>
      </c>
      <c r="U12" s="80">
        <v>46026.778819444444</v>
      </c>
    </row>
    <row r="13" spans="1:21" ht="16.5" thickBot="1">
      <c r="A13" s="305"/>
      <c r="B13" s="306"/>
      <c r="C13" s="306"/>
      <c r="D13" s="306"/>
      <c r="E13" s="306"/>
      <c r="F13" s="306"/>
      <c r="G13" s="306"/>
      <c r="H13" s="306"/>
      <c r="I13" s="306"/>
      <c r="J13" s="306"/>
      <c r="K13" s="306"/>
      <c r="L13" s="306"/>
      <c r="M13" s="306"/>
      <c r="N13" s="306"/>
      <c r="O13" s="306"/>
      <c r="P13" s="306"/>
      <c r="Q13" s="306"/>
      <c r="R13" s="306"/>
      <c r="S13" s="306"/>
      <c r="T13" s="306"/>
      <c r="U13" s="307"/>
    </row>
    <row r="14" spans="1:21" ht="16.5" thickBot="1">
      <c r="A14" s="290" t="s">
        <v>289</v>
      </c>
      <c r="B14" s="291"/>
      <c r="C14" s="291"/>
      <c r="D14" s="291"/>
      <c r="E14" s="291"/>
      <c r="F14" s="291"/>
      <c r="G14" s="291"/>
      <c r="H14" s="291"/>
      <c r="I14" s="291"/>
      <c r="J14" s="291"/>
      <c r="K14" s="291"/>
      <c r="L14" s="291"/>
      <c r="M14" s="291"/>
      <c r="N14" s="291"/>
      <c r="O14" s="291"/>
      <c r="P14" s="291"/>
      <c r="Q14" s="291"/>
      <c r="R14" s="291"/>
      <c r="S14" s="291"/>
      <c r="T14" s="291"/>
      <c r="U14" s="292"/>
    </row>
    <row r="15" spans="1:21" ht="39" thickBot="1">
      <c r="A15" s="81">
        <v>1</v>
      </c>
      <c r="B15" s="82">
        <v>5369598</v>
      </c>
      <c r="C15" s="81" t="s">
        <v>176</v>
      </c>
      <c r="D15" s="81" t="s">
        <v>161</v>
      </c>
      <c r="E15" s="81" t="s">
        <v>188</v>
      </c>
      <c r="F15" s="81" t="s">
        <v>189</v>
      </c>
      <c r="G15" s="83" t="s">
        <v>290</v>
      </c>
      <c r="H15" s="84">
        <v>46026.224999999999</v>
      </c>
      <c r="I15" s="84">
        <v>46026.239583333336</v>
      </c>
      <c r="J15" s="51" t="s">
        <v>235</v>
      </c>
      <c r="K15" s="81" t="s">
        <v>187</v>
      </c>
      <c r="L15" s="81" t="s">
        <v>190</v>
      </c>
      <c r="M15" s="81" t="s">
        <v>186</v>
      </c>
      <c r="N15" s="81">
        <v>1</v>
      </c>
      <c r="O15" s="81"/>
      <c r="P15" s="81">
        <v>1</v>
      </c>
      <c r="Q15" s="81">
        <v>21</v>
      </c>
      <c r="R15" s="81"/>
      <c r="S15" s="81">
        <v>21</v>
      </c>
      <c r="T15" s="84">
        <v>46026.510335648149</v>
      </c>
      <c r="U15" s="84">
        <v>46026.510335648149</v>
      </c>
    </row>
    <row r="16" spans="1:21" ht="39" thickBot="1">
      <c r="A16" s="81">
        <v>2</v>
      </c>
      <c r="B16" s="82">
        <v>5369601</v>
      </c>
      <c r="C16" s="81" t="s">
        <v>176</v>
      </c>
      <c r="D16" s="81" t="s">
        <v>161</v>
      </c>
      <c r="E16" s="81" t="s">
        <v>188</v>
      </c>
      <c r="F16" s="81" t="s">
        <v>189</v>
      </c>
      <c r="G16" s="83" t="s">
        <v>291</v>
      </c>
      <c r="H16" s="84">
        <v>46026.272222222222</v>
      </c>
      <c r="I16" s="84">
        <v>46026.286111111112</v>
      </c>
      <c r="J16" s="51" t="s">
        <v>224</v>
      </c>
      <c r="K16" s="81" t="s">
        <v>187</v>
      </c>
      <c r="L16" s="81" t="s">
        <v>190</v>
      </c>
      <c r="M16" s="81" t="s">
        <v>186</v>
      </c>
      <c r="N16" s="81">
        <v>1</v>
      </c>
      <c r="O16" s="81"/>
      <c r="P16" s="81">
        <v>1</v>
      </c>
      <c r="Q16" s="81">
        <v>20</v>
      </c>
      <c r="R16" s="81"/>
      <c r="S16" s="81">
        <v>20</v>
      </c>
      <c r="T16" s="84">
        <v>46026.510925925926</v>
      </c>
      <c r="U16" s="84">
        <v>46026.510925925926</v>
      </c>
    </row>
    <row r="17" spans="1:21" ht="39" thickBot="1">
      <c r="A17" s="81">
        <v>3</v>
      </c>
      <c r="B17" s="82">
        <v>5369602</v>
      </c>
      <c r="C17" s="81" t="s">
        <v>176</v>
      </c>
      <c r="D17" s="81" t="s">
        <v>161</v>
      </c>
      <c r="E17" s="81" t="s">
        <v>188</v>
      </c>
      <c r="F17" s="81" t="s">
        <v>189</v>
      </c>
      <c r="G17" s="83" t="s">
        <v>292</v>
      </c>
      <c r="H17" s="84">
        <v>46026.296527777777</v>
      </c>
      <c r="I17" s="84">
        <v>46026.331944444442</v>
      </c>
      <c r="J17" s="51" t="s">
        <v>293</v>
      </c>
      <c r="K17" s="81" t="s">
        <v>187</v>
      </c>
      <c r="L17" s="81" t="s">
        <v>190</v>
      </c>
      <c r="M17" s="81" t="s">
        <v>186</v>
      </c>
      <c r="N17" s="81">
        <v>1</v>
      </c>
      <c r="O17" s="81"/>
      <c r="P17" s="81">
        <v>1</v>
      </c>
      <c r="Q17" s="81">
        <v>51</v>
      </c>
      <c r="R17" s="81"/>
      <c r="S17" s="81">
        <v>51</v>
      </c>
      <c r="T17" s="84">
        <v>46026.51152777778</v>
      </c>
      <c r="U17" s="84">
        <v>46026.51152777778</v>
      </c>
    </row>
    <row r="18" spans="1:21" ht="64.5" thickBot="1">
      <c r="A18" s="81">
        <v>4</v>
      </c>
      <c r="B18" s="82">
        <v>5370693</v>
      </c>
      <c r="C18" s="81" t="s">
        <v>176</v>
      </c>
      <c r="D18" s="81" t="s">
        <v>161</v>
      </c>
      <c r="E18" s="81" t="s">
        <v>188</v>
      </c>
      <c r="F18" s="81" t="s">
        <v>189</v>
      </c>
      <c r="G18" s="83" t="s">
        <v>294</v>
      </c>
      <c r="H18" s="84">
        <v>46026.783333333333</v>
      </c>
      <c r="I18" s="84">
        <v>46026.802777777775</v>
      </c>
      <c r="J18" s="51" t="s">
        <v>295</v>
      </c>
      <c r="K18" s="81" t="s">
        <v>187</v>
      </c>
      <c r="L18" s="81" t="s">
        <v>187</v>
      </c>
      <c r="M18" s="81" t="s">
        <v>186</v>
      </c>
      <c r="N18" s="81">
        <v>1</v>
      </c>
      <c r="O18" s="81"/>
      <c r="P18" s="81">
        <v>1</v>
      </c>
      <c r="Q18" s="81">
        <v>28</v>
      </c>
      <c r="R18" s="81"/>
      <c r="S18" s="81">
        <v>28</v>
      </c>
      <c r="T18" s="84">
        <v>46027.067314814813</v>
      </c>
      <c r="U18" s="84">
        <v>46027.067314814813</v>
      </c>
    </row>
    <row r="19" spans="1:21" ht="39" thickBot="1">
      <c r="A19" s="81">
        <v>5</v>
      </c>
      <c r="B19" s="82">
        <v>5370359</v>
      </c>
      <c r="C19" s="81" t="s">
        <v>176</v>
      </c>
      <c r="D19" s="81" t="s">
        <v>161</v>
      </c>
      <c r="E19" s="81" t="s">
        <v>188</v>
      </c>
      <c r="F19" s="81" t="s">
        <v>189</v>
      </c>
      <c r="G19" s="83" t="s">
        <v>296</v>
      </c>
      <c r="H19" s="84">
        <v>46026.911805555559</v>
      </c>
      <c r="I19" s="84">
        <v>46026.922222222223</v>
      </c>
      <c r="J19" s="51" t="s">
        <v>236</v>
      </c>
      <c r="K19" s="81" t="s">
        <v>237</v>
      </c>
      <c r="L19" s="81" t="s">
        <v>297</v>
      </c>
      <c r="M19" s="81" t="s">
        <v>186</v>
      </c>
      <c r="N19" s="81">
        <v>1</v>
      </c>
      <c r="O19" s="81"/>
      <c r="P19" s="81">
        <v>1</v>
      </c>
      <c r="Q19" s="81">
        <v>15</v>
      </c>
      <c r="R19" s="81"/>
      <c r="S19" s="81">
        <v>15</v>
      </c>
      <c r="T19" s="84">
        <v>46026.959166666667</v>
      </c>
      <c r="U19" s="84">
        <v>46026.959166666667</v>
      </c>
    </row>
    <row r="20" spans="1:21" ht="39" thickBot="1">
      <c r="A20" s="81">
        <v>6</v>
      </c>
      <c r="B20" s="82">
        <v>5370651</v>
      </c>
      <c r="C20" s="81" t="s">
        <v>176</v>
      </c>
      <c r="D20" s="81" t="s">
        <v>161</v>
      </c>
      <c r="E20" s="81" t="s">
        <v>188</v>
      </c>
      <c r="F20" s="81" t="s">
        <v>189</v>
      </c>
      <c r="G20" s="83" t="s">
        <v>298</v>
      </c>
      <c r="H20" s="84">
        <v>46026.928472222222</v>
      </c>
      <c r="I20" s="84">
        <v>46026.972222222219</v>
      </c>
      <c r="J20" s="51" t="s">
        <v>299</v>
      </c>
      <c r="K20" s="81" t="s">
        <v>187</v>
      </c>
      <c r="L20" s="81" t="s">
        <v>300</v>
      </c>
      <c r="M20" s="81" t="s">
        <v>186</v>
      </c>
      <c r="N20" s="81">
        <v>1</v>
      </c>
      <c r="O20" s="81"/>
      <c r="P20" s="81">
        <v>1</v>
      </c>
      <c r="Q20" s="81">
        <v>63</v>
      </c>
      <c r="R20" s="81"/>
      <c r="S20" s="81">
        <v>63</v>
      </c>
      <c r="T20" s="84">
        <v>46027.053668981483</v>
      </c>
      <c r="U20" s="84">
        <v>46027.053668981483</v>
      </c>
    </row>
    <row r="21" spans="1:21" ht="39" thickBot="1">
      <c r="A21" s="81">
        <v>7</v>
      </c>
      <c r="B21" s="82">
        <v>5370366</v>
      </c>
      <c r="C21" s="81" t="s">
        <v>176</v>
      </c>
      <c r="D21" s="81" t="s">
        <v>161</v>
      </c>
      <c r="E21" s="81" t="s">
        <v>188</v>
      </c>
      <c r="F21" s="81" t="s">
        <v>189</v>
      </c>
      <c r="G21" s="83" t="s">
        <v>301</v>
      </c>
      <c r="H21" s="84">
        <v>46026.931944444441</v>
      </c>
      <c r="I21" s="84">
        <v>46026.944444444445</v>
      </c>
      <c r="J21" s="51" t="s">
        <v>225</v>
      </c>
      <c r="K21" s="81" t="s">
        <v>237</v>
      </c>
      <c r="L21" s="81" t="s">
        <v>297</v>
      </c>
      <c r="M21" s="81" t="s">
        <v>186</v>
      </c>
      <c r="N21" s="81">
        <v>1</v>
      </c>
      <c r="O21" s="81"/>
      <c r="P21" s="81">
        <v>1</v>
      </c>
      <c r="Q21" s="81">
        <v>18</v>
      </c>
      <c r="R21" s="81"/>
      <c r="S21" s="81">
        <v>18</v>
      </c>
      <c r="T21" s="84">
        <v>46026.961192129631</v>
      </c>
      <c r="U21" s="84">
        <v>46026.967199074075</v>
      </c>
    </row>
    <row r="22" spans="1:21" ht="51.75" thickBot="1">
      <c r="A22" s="81">
        <v>8</v>
      </c>
      <c r="B22" s="82">
        <v>5370381</v>
      </c>
      <c r="C22" s="81" t="s">
        <v>176</v>
      </c>
      <c r="D22" s="81" t="s">
        <v>161</v>
      </c>
      <c r="E22" s="81" t="s">
        <v>188</v>
      </c>
      <c r="F22" s="81" t="s">
        <v>189</v>
      </c>
      <c r="G22" s="83" t="s">
        <v>302</v>
      </c>
      <c r="H22" s="84">
        <v>46026.940972222219</v>
      </c>
      <c r="I22" s="84">
        <v>46026.947916666664</v>
      </c>
      <c r="J22" s="51" t="s">
        <v>226</v>
      </c>
      <c r="K22" s="81" t="s">
        <v>237</v>
      </c>
      <c r="L22" s="81" t="s">
        <v>269</v>
      </c>
      <c r="M22" s="81" t="s">
        <v>186</v>
      </c>
      <c r="N22" s="81">
        <v>1</v>
      </c>
      <c r="O22" s="81"/>
      <c r="P22" s="81">
        <v>1</v>
      </c>
      <c r="Q22" s="81">
        <v>10</v>
      </c>
      <c r="R22" s="81"/>
      <c r="S22" s="81">
        <v>10</v>
      </c>
      <c r="T22" s="84">
        <v>46026.966238425928</v>
      </c>
      <c r="U22" s="84">
        <v>46026.966238425928</v>
      </c>
    </row>
    <row r="23" spans="1:21" ht="39" thickBot="1">
      <c r="A23" s="81">
        <v>9</v>
      </c>
      <c r="B23" s="82">
        <v>5370689</v>
      </c>
      <c r="C23" s="81" t="s">
        <v>176</v>
      </c>
      <c r="D23" s="81" t="s">
        <v>161</v>
      </c>
      <c r="E23" s="81" t="s">
        <v>188</v>
      </c>
      <c r="F23" s="81" t="s">
        <v>189</v>
      </c>
      <c r="G23" s="83" t="s">
        <v>303</v>
      </c>
      <c r="H23" s="84">
        <v>46026.965277777781</v>
      </c>
      <c r="I23" s="84">
        <v>46026.970833333333</v>
      </c>
      <c r="J23" s="51" t="s">
        <v>218</v>
      </c>
      <c r="K23" s="81" t="s">
        <v>237</v>
      </c>
      <c r="L23" s="81" t="s">
        <v>269</v>
      </c>
      <c r="M23" s="81" t="s">
        <v>186</v>
      </c>
      <c r="N23" s="81">
        <v>1</v>
      </c>
      <c r="O23" s="81"/>
      <c r="P23" s="81">
        <v>1</v>
      </c>
      <c r="Q23" s="81">
        <v>8</v>
      </c>
      <c r="R23" s="81"/>
      <c r="S23" s="81">
        <v>8</v>
      </c>
      <c r="T23" s="84">
        <v>46027.066516203704</v>
      </c>
      <c r="U23" s="84">
        <v>46027.066516203704</v>
      </c>
    </row>
    <row r="24" spans="1:21" ht="16.5" thickBot="1">
      <c r="A24" s="299"/>
      <c r="B24" s="300"/>
      <c r="C24" s="300"/>
      <c r="D24" s="300"/>
      <c r="E24" s="300"/>
      <c r="F24" s="300"/>
      <c r="G24" s="300"/>
      <c r="H24" s="300"/>
      <c r="I24" s="300"/>
      <c r="J24" s="300"/>
      <c r="K24" s="300"/>
      <c r="L24" s="300"/>
      <c r="M24" s="300"/>
      <c r="N24" s="300"/>
      <c r="O24" s="300"/>
      <c r="P24" s="300"/>
      <c r="Q24" s="300"/>
      <c r="R24" s="300"/>
      <c r="S24" s="300"/>
      <c r="T24" s="300"/>
      <c r="U24" s="301"/>
    </row>
    <row r="25" spans="1:21" ht="16.5" thickBot="1">
      <c r="A25" s="302" t="s">
        <v>304</v>
      </c>
      <c r="B25" s="303"/>
      <c r="C25" s="303"/>
      <c r="D25" s="303"/>
      <c r="E25" s="303"/>
      <c r="F25" s="303"/>
      <c r="G25" s="303"/>
      <c r="H25" s="303"/>
      <c r="I25" s="303"/>
      <c r="J25" s="303"/>
      <c r="K25" s="303"/>
      <c r="L25" s="303"/>
      <c r="M25" s="303"/>
      <c r="N25" s="303"/>
      <c r="O25" s="303"/>
      <c r="P25" s="303"/>
      <c r="Q25" s="303"/>
      <c r="R25" s="303"/>
      <c r="S25" s="303"/>
      <c r="T25" s="303"/>
      <c r="U25" s="304"/>
    </row>
    <row r="26" spans="1:21" ht="64.5" thickBot="1">
      <c r="A26" s="77">
        <v>1</v>
      </c>
      <c r="B26" s="78">
        <v>5369440</v>
      </c>
      <c r="C26" s="77" t="s">
        <v>176</v>
      </c>
      <c r="D26" s="77" t="s">
        <v>161</v>
      </c>
      <c r="E26" s="77" t="s">
        <v>177</v>
      </c>
      <c r="F26" s="77" t="s">
        <v>208</v>
      </c>
      <c r="G26" s="79" t="s">
        <v>245</v>
      </c>
      <c r="H26" s="80">
        <v>46026.104166666664</v>
      </c>
      <c r="I26" s="80">
        <v>46026.208333333336</v>
      </c>
      <c r="J26" s="51" t="s">
        <v>246</v>
      </c>
      <c r="K26" s="77" t="s">
        <v>187</v>
      </c>
      <c r="L26" s="77" t="s">
        <v>247</v>
      </c>
      <c r="M26" s="77" t="s">
        <v>186</v>
      </c>
      <c r="N26" s="77">
        <v>1</v>
      </c>
      <c r="O26" s="77"/>
      <c r="P26" s="77">
        <v>1</v>
      </c>
      <c r="Q26" s="77">
        <v>150</v>
      </c>
      <c r="R26" s="77"/>
      <c r="S26" s="77">
        <v>150</v>
      </c>
      <c r="T26" s="80">
        <v>46026.371932870374</v>
      </c>
      <c r="U26" s="80">
        <v>46026.512094907404</v>
      </c>
    </row>
    <row r="27" spans="1:21" ht="51.75" thickBot="1">
      <c r="A27" s="77">
        <v>2</v>
      </c>
      <c r="B27" s="78">
        <v>5369966</v>
      </c>
      <c r="C27" s="77" t="s">
        <v>176</v>
      </c>
      <c r="D27" s="77" t="s">
        <v>161</v>
      </c>
      <c r="E27" s="77" t="s">
        <v>177</v>
      </c>
      <c r="F27" s="77" t="s">
        <v>208</v>
      </c>
      <c r="G27" s="79" t="s">
        <v>249</v>
      </c>
      <c r="H27" s="80">
        <v>46026.426388888889</v>
      </c>
      <c r="I27" s="80">
        <v>46026.479166666664</v>
      </c>
      <c r="J27" s="51" t="s">
        <v>250</v>
      </c>
      <c r="K27" s="77" t="s">
        <v>251</v>
      </c>
      <c r="L27" s="77" t="s">
        <v>252</v>
      </c>
      <c r="M27" s="77" t="s">
        <v>186</v>
      </c>
      <c r="N27" s="77">
        <v>1</v>
      </c>
      <c r="O27" s="77"/>
      <c r="P27" s="77">
        <v>1</v>
      </c>
      <c r="Q27" s="77">
        <v>76</v>
      </c>
      <c r="R27" s="77"/>
      <c r="S27" s="77">
        <v>76</v>
      </c>
      <c r="T27" s="80">
        <v>46026.774745370371</v>
      </c>
      <c r="U27" s="80">
        <v>46026.946250000001</v>
      </c>
    </row>
    <row r="28" spans="1:21" ht="77.25" thickBot="1">
      <c r="A28" s="77">
        <v>3</v>
      </c>
      <c r="B28" s="78">
        <v>5369968</v>
      </c>
      <c r="C28" s="77" t="s">
        <v>176</v>
      </c>
      <c r="D28" s="77" t="s">
        <v>161</v>
      </c>
      <c r="E28" s="77" t="s">
        <v>177</v>
      </c>
      <c r="F28" s="77" t="s">
        <v>219</v>
      </c>
      <c r="G28" s="79" t="s">
        <v>254</v>
      </c>
      <c r="H28" s="80">
        <v>46026.511805555558</v>
      </c>
      <c r="I28" s="80">
        <v>46026.536111111112</v>
      </c>
      <c r="J28" s="51" t="s">
        <v>255</v>
      </c>
      <c r="K28" s="77" t="s">
        <v>199</v>
      </c>
      <c r="L28" s="77" t="s">
        <v>256</v>
      </c>
      <c r="M28" s="77" t="s">
        <v>186</v>
      </c>
      <c r="N28" s="77">
        <v>1</v>
      </c>
      <c r="O28" s="77"/>
      <c r="P28" s="77">
        <v>1</v>
      </c>
      <c r="Q28" s="77">
        <v>35</v>
      </c>
      <c r="R28" s="77"/>
      <c r="S28" s="77">
        <v>35</v>
      </c>
      <c r="T28" s="80">
        <v>46026.776064814818</v>
      </c>
      <c r="U28" s="80">
        <v>46026.947627314818</v>
      </c>
    </row>
    <row r="29" spans="1:21" ht="26.25" thickBot="1">
      <c r="A29" s="77">
        <v>4</v>
      </c>
      <c r="B29" s="78">
        <v>5370107</v>
      </c>
      <c r="C29" s="77" t="s">
        <v>176</v>
      </c>
      <c r="D29" s="77" t="s">
        <v>161</v>
      </c>
      <c r="E29" s="77" t="s">
        <v>177</v>
      </c>
      <c r="F29" s="77" t="s">
        <v>219</v>
      </c>
      <c r="G29" s="79" t="s">
        <v>258</v>
      </c>
      <c r="H29" s="80">
        <v>46026.831944444442</v>
      </c>
      <c r="I29" s="80">
        <v>46026.833333333336</v>
      </c>
      <c r="J29" s="51" t="s">
        <v>259</v>
      </c>
      <c r="K29" s="77" t="s">
        <v>187</v>
      </c>
      <c r="L29" s="77" t="s">
        <v>260</v>
      </c>
      <c r="M29" s="77" t="s">
        <v>186</v>
      </c>
      <c r="N29" s="77"/>
      <c r="O29" s="77"/>
      <c r="P29" s="77"/>
      <c r="Q29" s="77"/>
      <c r="R29" s="77"/>
      <c r="S29" s="77"/>
      <c r="T29" s="80">
        <v>46026.86414351852</v>
      </c>
      <c r="U29" s="80">
        <v>46026.86414351852</v>
      </c>
    </row>
    <row r="30" spans="1:21" ht="26.25" thickBot="1">
      <c r="A30" s="77">
        <v>5</v>
      </c>
      <c r="B30" s="78">
        <v>5370665</v>
      </c>
      <c r="C30" s="77" t="s">
        <v>176</v>
      </c>
      <c r="D30" s="77" t="s">
        <v>161</v>
      </c>
      <c r="E30" s="77" t="s">
        <v>177</v>
      </c>
      <c r="F30" s="77" t="s">
        <v>262</v>
      </c>
      <c r="G30" s="79" t="s">
        <v>263</v>
      </c>
      <c r="H30" s="80">
        <v>46026.840277777781</v>
      </c>
      <c r="I30" s="80">
        <v>46026.863194444442</v>
      </c>
      <c r="J30" s="51" t="s">
        <v>264</v>
      </c>
      <c r="K30" s="77" t="s">
        <v>187</v>
      </c>
      <c r="L30" s="77" t="s">
        <v>190</v>
      </c>
      <c r="M30" s="77" t="s">
        <v>186</v>
      </c>
      <c r="N30" s="77">
        <v>2</v>
      </c>
      <c r="O30" s="77"/>
      <c r="P30" s="77">
        <v>2</v>
      </c>
      <c r="Q30" s="77">
        <v>17</v>
      </c>
      <c r="R30" s="77"/>
      <c r="S30" s="77">
        <v>17</v>
      </c>
      <c r="T30" s="80">
        <v>46027.059895833336</v>
      </c>
      <c r="U30" s="80">
        <v>46027.059895833336</v>
      </c>
    </row>
    <row r="31" spans="1:21" ht="26.25" thickBot="1">
      <c r="A31" s="77">
        <v>6</v>
      </c>
      <c r="B31" s="78">
        <v>5370659</v>
      </c>
      <c r="C31" s="77" t="s">
        <v>176</v>
      </c>
      <c r="D31" s="77" t="s">
        <v>161</v>
      </c>
      <c r="E31" s="77" t="s">
        <v>177</v>
      </c>
      <c r="F31" s="77" t="s">
        <v>266</v>
      </c>
      <c r="G31" s="79" t="s">
        <v>267</v>
      </c>
      <c r="H31" s="80">
        <v>46026.88958333333</v>
      </c>
      <c r="I31" s="80">
        <v>46026.916666666664</v>
      </c>
      <c r="J31" s="51" t="s">
        <v>268</v>
      </c>
      <c r="K31" s="77" t="s">
        <v>237</v>
      </c>
      <c r="L31" s="77" t="s">
        <v>269</v>
      </c>
      <c r="M31" s="77" t="s">
        <v>186</v>
      </c>
      <c r="N31" s="77">
        <v>1</v>
      </c>
      <c r="O31" s="77"/>
      <c r="P31" s="77">
        <v>1</v>
      </c>
      <c r="Q31" s="77">
        <v>39</v>
      </c>
      <c r="R31" s="77"/>
      <c r="S31" s="77">
        <v>39</v>
      </c>
      <c r="T31" s="80">
        <v>46027.05636574074</v>
      </c>
      <c r="U31" s="80">
        <v>46027.05636574074</v>
      </c>
    </row>
    <row r="32" spans="1:21" ht="16.5" thickBot="1">
      <c r="A32" s="305"/>
      <c r="B32" s="306"/>
      <c r="C32" s="306"/>
      <c r="D32" s="306"/>
      <c r="E32" s="306"/>
      <c r="F32" s="306"/>
      <c r="G32" s="306"/>
      <c r="H32" s="306"/>
      <c r="I32" s="306"/>
      <c r="J32" s="306"/>
      <c r="K32" s="306"/>
      <c r="L32" s="306"/>
      <c r="M32" s="306"/>
      <c r="N32" s="306"/>
      <c r="O32" s="306"/>
      <c r="P32" s="306"/>
      <c r="Q32" s="306"/>
      <c r="R32" s="306"/>
      <c r="S32" s="306"/>
      <c r="T32" s="306"/>
      <c r="U32" s="307"/>
    </row>
    <row r="33" spans="1:21" ht="16.5" thickBot="1">
      <c r="A33" s="290" t="s">
        <v>305</v>
      </c>
      <c r="B33" s="291"/>
      <c r="C33" s="291"/>
      <c r="D33" s="291"/>
      <c r="E33" s="291"/>
      <c r="F33" s="291"/>
      <c r="G33" s="291"/>
      <c r="H33" s="291"/>
      <c r="I33" s="291"/>
      <c r="J33" s="291"/>
      <c r="K33" s="291"/>
      <c r="L33" s="291"/>
      <c r="M33" s="291"/>
      <c r="N33" s="291"/>
      <c r="O33" s="291"/>
      <c r="P33" s="291"/>
      <c r="Q33" s="291"/>
      <c r="R33" s="291"/>
      <c r="S33" s="291"/>
      <c r="T33" s="291"/>
      <c r="U33" s="292"/>
    </row>
    <row r="34" spans="1:21" ht="77.25" thickBot="1">
      <c r="A34" s="81">
        <v>1</v>
      </c>
      <c r="B34" s="82">
        <v>5369442</v>
      </c>
      <c r="C34" s="81" t="s">
        <v>176</v>
      </c>
      <c r="D34" s="81" t="s">
        <v>161</v>
      </c>
      <c r="E34" s="81" t="s">
        <v>206</v>
      </c>
      <c r="F34" s="81" t="s">
        <v>207</v>
      </c>
      <c r="G34" s="83" t="s">
        <v>306</v>
      </c>
      <c r="H34" s="84">
        <v>46026.168749999997</v>
      </c>
      <c r="I34" s="84">
        <v>46026.416666666664</v>
      </c>
      <c r="J34" s="51" t="s">
        <v>307</v>
      </c>
      <c r="K34" s="81" t="s">
        <v>187</v>
      </c>
      <c r="L34" s="81" t="s">
        <v>211</v>
      </c>
      <c r="M34" s="81" t="s">
        <v>186</v>
      </c>
      <c r="N34" s="81">
        <v>1</v>
      </c>
      <c r="O34" s="81"/>
      <c r="P34" s="81">
        <v>1</v>
      </c>
      <c r="Q34" s="81">
        <v>357</v>
      </c>
      <c r="R34" s="81"/>
      <c r="S34" s="81">
        <v>357</v>
      </c>
      <c r="T34" s="84">
        <v>46026.37767361111</v>
      </c>
      <c r="U34" s="84">
        <v>46026.514317129629</v>
      </c>
    </row>
    <row r="35" spans="1:21" ht="39" thickBot="1">
      <c r="A35" s="81">
        <v>2</v>
      </c>
      <c r="B35" s="82">
        <v>5370639</v>
      </c>
      <c r="C35" s="81" t="s">
        <v>176</v>
      </c>
      <c r="D35" s="81" t="s">
        <v>161</v>
      </c>
      <c r="E35" s="81" t="s">
        <v>48</v>
      </c>
      <c r="F35" s="81" t="s">
        <v>46</v>
      </c>
      <c r="G35" s="83" t="s">
        <v>213</v>
      </c>
      <c r="H35" s="84">
        <v>46026.293749999997</v>
      </c>
      <c r="I35" s="84">
        <v>46026.304861111108</v>
      </c>
      <c r="J35" s="51" t="s">
        <v>308</v>
      </c>
      <c r="K35" s="81" t="s">
        <v>187</v>
      </c>
      <c r="L35" s="81" t="s">
        <v>309</v>
      </c>
      <c r="M35" s="81" t="s">
        <v>186</v>
      </c>
      <c r="N35" s="81">
        <v>1</v>
      </c>
      <c r="O35" s="81"/>
      <c r="P35" s="81">
        <v>1</v>
      </c>
      <c r="Q35" s="81">
        <v>16</v>
      </c>
      <c r="R35" s="81"/>
      <c r="S35" s="81">
        <v>16</v>
      </c>
      <c r="T35" s="84">
        <v>46027.048391203702</v>
      </c>
      <c r="U35" s="84">
        <v>46027.048391203702</v>
      </c>
    </row>
    <row r="36" spans="1:21" ht="51.75" thickBot="1">
      <c r="A36" s="81">
        <v>3</v>
      </c>
      <c r="B36" s="82">
        <v>5369525</v>
      </c>
      <c r="C36" s="81" t="s">
        <v>176</v>
      </c>
      <c r="D36" s="81" t="s">
        <v>161</v>
      </c>
      <c r="E36" s="81" t="s">
        <v>197</v>
      </c>
      <c r="F36" s="81" t="s">
        <v>198</v>
      </c>
      <c r="G36" s="83" t="s">
        <v>310</v>
      </c>
      <c r="H36" s="84">
        <v>46026.297222222223</v>
      </c>
      <c r="I36" s="84">
        <v>46026.333333333336</v>
      </c>
      <c r="J36" s="51" t="s">
        <v>311</v>
      </c>
      <c r="K36" s="81" t="s">
        <v>187</v>
      </c>
      <c r="L36" s="81" t="s">
        <v>312</v>
      </c>
      <c r="M36" s="81" t="s">
        <v>186</v>
      </c>
      <c r="N36" s="81">
        <v>1</v>
      </c>
      <c r="O36" s="81"/>
      <c r="P36" s="81">
        <v>1</v>
      </c>
      <c r="Q36" s="81">
        <v>52</v>
      </c>
      <c r="R36" s="81"/>
      <c r="S36" s="81">
        <v>52</v>
      </c>
      <c r="T36" s="84">
        <v>46026.444965277777</v>
      </c>
      <c r="U36" s="84">
        <v>46026.515428240738</v>
      </c>
    </row>
    <row r="37" spans="1:21" ht="26.25" thickBot="1">
      <c r="A37" s="81">
        <v>4</v>
      </c>
      <c r="B37" s="82">
        <v>5369590</v>
      </c>
      <c r="C37" s="81" t="s">
        <v>176</v>
      </c>
      <c r="D37" s="81" t="s">
        <v>161</v>
      </c>
      <c r="E37" s="81" t="s">
        <v>48</v>
      </c>
      <c r="F37" s="81" t="s">
        <v>46</v>
      </c>
      <c r="G37" s="83" t="s">
        <v>313</v>
      </c>
      <c r="H37" s="84">
        <v>46026.411111111112</v>
      </c>
      <c r="I37" s="84">
        <v>46026.425694444442</v>
      </c>
      <c r="J37" s="51" t="s">
        <v>235</v>
      </c>
      <c r="K37" s="81" t="s">
        <v>187</v>
      </c>
      <c r="L37" s="81" t="s">
        <v>211</v>
      </c>
      <c r="M37" s="81" t="s">
        <v>186</v>
      </c>
      <c r="N37" s="81">
        <v>2</v>
      </c>
      <c r="O37" s="81"/>
      <c r="P37" s="81">
        <v>2</v>
      </c>
      <c r="Q37" s="81">
        <v>11</v>
      </c>
      <c r="R37" s="81"/>
      <c r="S37" s="81">
        <v>11</v>
      </c>
      <c r="T37" s="84">
        <v>46026.507962962962</v>
      </c>
      <c r="U37" s="84">
        <v>46027.04614583333</v>
      </c>
    </row>
    <row r="38" spans="1:21" ht="26.25" thickBot="1">
      <c r="A38" s="81">
        <v>5</v>
      </c>
      <c r="B38" s="82">
        <v>5369973</v>
      </c>
      <c r="C38" s="81" t="s">
        <v>176</v>
      </c>
      <c r="D38" s="81" t="s">
        <v>161</v>
      </c>
      <c r="E38" s="81" t="s">
        <v>42</v>
      </c>
      <c r="F38" s="81" t="s">
        <v>191</v>
      </c>
      <c r="G38" s="83" t="s">
        <v>314</v>
      </c>
      <c r="H38" s="84">
        <v>46026.547222222223</v>
      </c>
      <c r="I38" s="84">
        <v>46026.550694444442</v>
      </c>
      <c r="J38" s="51" t="s">
        <v>192</v>
      </c>
      <c r="K38" s="81" t="s">
        <v>193</v>
      </c>
      <c r="L38" s="81" t="s">
        <v>212</v>
      </c>
      <c r="M38" s="81" t="s">
        <v>186</v>
      </c>
      <c r="N38" s="81">
        <v>3</v>
      </c>
      <c r="O38" s="81"/>
      <c r="P38" s="81">
        <v>3</v>
      </c>
      <c r="Q38" s="81">
        <v>2</v>
      </c>
      <c r="R38" s="81"/>
      <c r="S38" s="81">
        <v>2</v>
      </c>
      <c r="T38" s="84">
        <v>46026.78020833333</v>
      </c>
      <c r="U38" s="84">
        <v>46027.061238425929</v>
      </c>
    </row>
    <row r="39" spans="1:21" ht="39" thickBot="1">
      <c r="A39" s="81">
        <v>6</v>
      </c>
      <c r="B39" s="82">
        <v>5370312</v>
      </c>
      <c r="C39" s="81" t="s">
        <v>176</v>
      </c>
      <c r="D39" s="81" t="s">
        <v>161</v>
      </c>
      <c r="E39" s="81" t="s">
        <v>197</v>
      </c>
      <c r="F39" s="81" t="s">
        <v>198</v>
      </c>
      <c r="G39" s="83" t="s">
        <v>315</v>
      </c>
      <c r="H39" s="84">
        <v>46026.760416666664</v>
      </c>
      <c r="I39" s="84">
        <v>46026.78402777778</v>
      </c>
      <c r="J39" s="51" t="s">
        <v>234</v>
      </c>
      <c r="K39" s="81" t="s">
        <v>187</v>
      </c>
      <c r="L39" s="81" t="s">
        <v>190</v>
      </c>
      <c r="M39" s="81" t="s">
        <v>186</v>
      </c>
      <c r="N39" s="81">
        <v>1</v>
      </c>
      <c r="O39" s="81"/>
      <c r="P39" s="81">
        <v>1</v>
      </c>
      <c r="Q39" s="81">
        <v>34</v>
      </c>
      <c r="R39" s="81"/>
      <c r="S39" s="81">
        <v>34</v>
      </c>
      <c r="T39" s="84">
        <v>46026.95003472222</v>
      </c>
      <c r="U39" s="84">
        <v>46026.95003472222</v>
      </c>
    </row>
    <row r="40" spans="1:21" ht="26.25" thickBot="1">
      <c r="A40" s="81">
        <v>7</v>
      </c>
      <c r="B40" s="82">
        <v>5370684</v>
      </c>
      <c r="C40" s="81" t="s">
        <v>176</v>
      </c>
      <c r="D40" s="81" t="s">
        <v>161</v>
      </c>
      <c r="E40" s="81" t="s">
        <v>42</v>
      </c>
      <c r="F40" s="81" t="s">
        <v>191</v>
      </c>
      <c r="G40" s="83" t="s">
        <v>316</v>
      </c>
      <c r="H40" s="84">
        <v>46026.776388888888</v>
      </c>
      <c r="I40" s="84">
        <v>46026.779861111114</v>
      </c>
      <c r="J40" s="51" t="s">
        <v>192</v>
      </c>
      <c r="K40" s="81" t="s">
        <v>193</v>
      </c>
      <c r="L40" s="81" t="s">
        <v>317</v>
      </c>
      <c r="M40" s="81" t="s">
        <v>186</v>
      </c>
      <c r="N40" s="81">
        <v>1</v>
      </c>
      <c r="O40" s="81"/>
      <c r="P40" s="81">
        <v>1</v>
      </c>
      <c r="Q40" s="81">
        <v>5</v>
      </c>
      <c r="R40" s="81"/>
      <c r="S40" s="81">
        <v>5</v>
      </c>
      <c r="T40" s="84">
        <v>46027.064837962964</v>
      </c>
      <c r="U40" s="84">
        <v>46027.064837962964</v>
      </c>
    </row>
    <row r="41" spans="1:21" ht="26.25" thickBot="1">
      <c r="A41" s="81">
        <v>8</v>
      </c>
      <c r="B41" s="82">
        <v>5370327</v>
      </c>
      <c r="C41" s="81" t="s">
        <v>176</v>
      </c>
      <c r="D41" s="81" t="s">
        <v>161</v>
      </c>
      <c r="E41" s="81" t="s">
        <v>42</v>
      </c>
      <c r="F41" s="81" t="s">
        <v>191</v>
      </c>
      <c r="G41" s="83" t="s">
        <v>318</v>
      </c>
      <c r="H41" s="84">
        <v>46026.798611111109</v>
      </c>
      <c r="I41" s="84">
        <v>46026.827777777777</v>
      </c>
      <c r="J41" s="51" t="s">
        <v>319</v>
      </c>
      <c r="K41" s="81" t="s">
        <v>187</v>
      </c>
      <c r="L41" s="81" t="s">
        <v>320</v>
      </c>
      <c r="M41" s="81" t="s">
        <v>186</v>
      </c>
      <c r="N41" s="81">
        <v>2</v>
      </c>
      <c r="O41" s="81"/>
      <c r="P41" s="81">
        <v>2</v>
      </c>
      <c r="Q41" s="81">
        <v>21</v>
      </c>
      <c r="R41" s="81"/>
      <c r="S41" s="81">
        <v>21</v>
      </c>
      <c r="T41" s="84">
        <v>46026.953344907408</v>
      </c>
      <c r="U41" s="84">
        <v>46026.953344907408</v>
      </c>
    </row>
    <row r="42" spans="1:21" ht="26.25" thickBot="1">
      <c r="A42" s="81">
        <v>9</v>
      </c>
      <c r="B42" s="82">
        <v>5370102</v>
      </c>
      <c r="C42" s="81" t="s">
        <v>176</v>
      </c>
      <c r="D42" s="81" t="s">
        <v>161</v>
      </c>
      <c r="E42" s="81" t="s">
        <v>42</v>
      </c>
      <c r="F42" s="81" t="s">
        <v>191</v>
      </c>
      <c r="G42" s="83" t="s">
        <v>321</v>
      </c>
      <c r="H42" s="84">
        <v>46026.798611111109</v>
      </c>
      <c r="I42" s="84">
        <v>46026.80972222222</v>
      </c>
      <c r="J42" s="51" t="s">
        <v>308</v>
      </c>
      <c r="K42" s="81" t="s">
        <v>279</v>
      </c>
      <c r="L42" s="81" t="s">
        <v>279</v>
      </c>
      <c r="M42" s="81" t="s">
        <v>186</v>
      </c>
      <c r="N42" s="81"/>
      <c r="O42" s="81"/>
      <c r="P42" s="81"/>
      <c r="Q42" s="81"/>
      <c r="R42" s="81"/>
      <c r="S42" s="81"/>
      <c r="T42" s="84">
        <v>46026.862233796295</v>
      </c>
      <c r="U42" s="84">
        <v>46026.862233796295</v>
      </c>
    </row>
    <row r="43" spans="1:21" ht="26.25" thickBot="1">
      <c r="A43" s="81">
        <v>10</v>
      </c>
      <c r="B43" s="82">
        <v>5370323</v>
      </c>
      <c r="C43" s="81" t="s">
        <v>176</v>
      </c>
      <c r="D43" s="81" t="s">
        <v>161</v>
      </c>
      <c r="E43" s="81" t="s">
        <v>42</v>
      </c>
      <c r="F43" s="81" t="s">
        <v>191</v>
      </c>
      <c r="G43" s="83" t="s">
        <v>322</v>
      </c>
      <c r="H43" s="84">
        <v>46026.804166666669</v>
      </c>
      <c r="I43" s="84">
        <v>46026.808333333334</v>
      </c>
      <c r="J43" s="51" t="s">
        <v>196</v>
      </c>
      <c r="K43" s="81" t="s">
        <v>193</v>
      </c>
      <c r="L43" s="81" t="s">
        <v>238</v>
      </c>
      <c r="M43" s="81" t="s">
        <v>186</v>
      </c>
      <c r="N43" s="81">
        <v>2</v>
      </c>
      <c r="O43" s="81"/>
      <c r="P43" s="81">
        <v>2</v>
      </c>
      <c r="Q43" s="81">
        <v>3</v>
      </c>
      <c r="R43" s="81"/>
      <c r="S43" s="81">
        <v>3</v>
      </c>
      <c r="T43" s="84">
        <v>46026.952453703707</v>
      </c>
      <c r="U43" s="84">
        <v>46027.063472222224</v>
      </c>
    </row>
    <row r="44" spans="1:21" ht="26.25" thickBot="1">
      <c r="A44" s="81">
        <v>11</v>
      </c>
      <c r="B44" s="82">
        <v>5370319</v>
      </c>
      <c r="C44" s="81" t="s">
        <v>176</v>
      </c>
      <c r="D44" s="81" t="s">
        <v>161</v>
      </c>
      <c r="E44" s="81" t="s">
        <v>42</v>
      </c>
      <c r="F44" s="81" t="s">
        <v>191</v>
      </c>
      <c r="G44" s="83" t="s">
        <v>323</v>
      </c>
      <c r="H44" s="84">
        <v>46026.85</v>
      </c>
      <c r="I44" s="84">
        <v>46026.854166666664</v>
      </c>
      <c r="J44" s="51" t="s">
        <v>196</v>
      </c>
      <c r="K44" s="81" t="s">
        <v>199</v>
      </c>
      <c r="L44" s="81" t="s">
        <v>324</v>
      </c>
      <c r="M44" s="81" t="s">
        <v>186</v>
      </c>
      <c r="N44" s="81">
        <v>2</v>
      </c>
      <c r="O44" s="81"/>
      <c r="P44" s="81">
        <v>2</v>
      </c>
      <c r="Q44" s="81">
        <v>3</v>
      </c>
      <c r="R44" s="81"/>
      <c r="S44" s="81">
        <v>3</v>
      </c>
      <c r="T44" s="84">
        <v>46026.95171296296</v>
      </c>
      <c r="U44" s="84">
        <v>46026.95171296296</v>
      </c>
    </row>
    <row r="45" spans="1:21" ht="26.25" thickBot="1">
      <c r="A45" s="81">
        <v>12</v>
      </c>
      <c r="B45" s="82">
        <v>5370333</v>
      </c>
      <c r="C45" s="81" t="s">
        <v>176</v>
      </c>
      <c r="D45" s="81" t="s">
        <v>161</v>
      </c>
      <c r="E45" s="81" t="s">
        <v>42</v>
      </c>
      <c r="F45" s="81" t="s">
        <v>191</v>
      </c>
      <c r="G45" s="83" t="s">
        <v>325</v>
      </c>
      <c r="H45" s="84">
        <v>46026.863888888889</v>
      </c>
      <c r="I45" s="84">
        <v>46026.868055555555</v>
      </c>
      <c r="J45" s="51" t="s">
        <v>196</v>
      </c>
      <c r="K45" s="81" t="s">
        <v>187</v>
      </c>
      <c r="L45" s="81" t="s">
        <v>326</v>
      </c>
      <c r="M45" s="81" t="s">
        <v>186</v>
      </c>
      <c r="N45" s="81">
        <v>2</v>
      </c>
      <c r="O45" s="81"/>
      <c r="P45" s="81">
        <v>2</v>
      </c>
      <c r="Q45" s="81">
        <v>3</v>
      </c>
      <c r="R45" s="81"/>
      <c r="S45" s="81">
        <v>3</v>
      </c>
      <c r="T45" s="84">
        <v>46026.954062500001</v>
      </c>
      <c r="U45" s="84">
        <v>46026.954062500001</v>
      </c>
    </row>
    <row r="46" spans="1:21" ht="26.25" thickBot="1">
      <c r="A46" s="81">
        <v>13</v>
      </c>
      <c r="B46" s="82">
        <v>5369595</v>
      </c>
      <c r="C46" s="81" t="s">
        <v>176</v>
      </c>
      <c r="D46" s="81" t="s">
        <v>161</v>
      </c>
      <c r="E46" s="81" t="s">
        <v>48</v>
      </c>
      <c r="F46" s="81" t="s">
        <v>46</v>
      </c>
      <c r="G46" s="83" t="s">
        <v>214</v>
      </c>
      <c r="H46" s="84">
        <v>46026.879861111112</v>
      </c>
      <c r="I46" s="84">
        <v>46026.893055555556</v>
      </c>
      <c r="J46" s="51" t="s">
        <v>327</v>
      </c>
      <c r="K46" s="81" t="s">
        <v>187</v>
      </c>
      <c r="L46" s="81" t="s">
        <v>190</v>
      </c>
      <c r="M46" s="81" t="s">
        <v>186</v>
      </c>
      <c r="N46" s="81">
        <v>1</v>
      </c>
      <c r="O46" s="81"/>
      <c r="P46" s="81">
        <v>1</v>
      </c>
      <c r="Q46" s="81">
        <v>7</v>
      </c>
      <c r="R46" s="81"/>
      <c r="S46" s="81">
        <v>7</v>
      </c>
      <c r="T46" s="84">
        <v>46026.508738425924</v>
      </c>
      <c r="U46" s="84">
        <v>46027.046979166669</v>
      </c>
    </row>
  </sheetData>
  <mergeCells count="26">
    <mergeCell ref="A1:U1"/>
    <mergeCell ref="A14:U14"/>
    <mergeCell ref="A24:U24"/>
    <mergeCell ref="A25:U25"/>
    <mergeCell ref="A32:U32"/>
    <mergeCell ref="F4:F5"/>
    <mergeCell ref="G4:G5"/>
    <mergeCell ref="A9:U9"/>
    <mergeCell ref="A10:U10"/>
    <mergeCell ref="A13:U13"/>
    <mergeCell ref="A33:U33"/>
    <mergeCell ref="N4:P4"/>
    <mergeCell ref="Q4:S4"/>
    <mergeCell ref="T4:T5"/>
    <mergeCell ref="U4:U5"/>
    <mergeCell ref="A6:U6"/>
    <mergeCell ref="H4:I4"/>
    <mergeCell ref="J4:J5"/>
    <mergeCell ref="K4:K5"/>
    <mergeCell ref="L4:L5"/>
    <mergeCell ref="M4:M5"/>
    <mergeCell ref="A4:A5"/>
    <mergeCell ref="B4:B5"/>
    <mergeCell ref="C4:C5"/>
    <mergeCell ref="D4:D5"/>
    <mergeCell ref="E4:E5"/>
  </mergeCells>
  <hyperlinks>
    <hyperlink ref="B7" r:id="rId1" display="javascript:showAFIDDetail('5369451')"/>
    <hyperlink ref="B8" r:id="rId2" display="javascript:showAFIDDetail('5370297')"/>
    <hyperlink ref="B11" r:id="rId3" display="javascript:showAFIDDetail('5369497')"/>
    <hyperlink ref="B12" r:id="rId4" display="javascript:showAFIDDetail('5369970')"/>
    <hyperlink ref="B15" r:id="rId5" display="javascript:showAFIDDetail('5369598')"/>
    <hyperlink ref="B16" r:id="rId6" display="javascript:showAFIDDetail('5369601')"/>
    <hyperlink ref="B17" r:id="rId7" display="javascript:showAFIDDetail('5369602')"/>
    <hyperlink ref="B18" r:id="rId8" display="javascript:showAFIDDetail('5370693')"/>
    <hyperlink ref="B19" r:id="rId9" display="javascript:showAFIDDetail('5370359')"/>
    <hyperlink ref="B20" r:id="rId10" display="javascript:showAFIDDetail('5370651')"/>
    <hyperlink ref="B21" r:id="rId11" display="javascript:showAFIDDetail('5370366')"/>
    <hyperlink ref="B22" r:id="rId12" display="javascript:showAFIDDetail('5370381')"/>
    <hyperlink ref="B23" r:id="rId13" display="javascript:showAFIDDetail('5370689')"/>
    <hyperlink ref="B26" r:id="rId14" display="javascript:showAFIDDetail('5369440')"/>
    <hyperlink ref="B27" r:id="rId15" display="javascript:showAFIDDetail('5369966')"/>
    <hyperlink ref="B28" r:id="rId16" display="javascript:showAFIDDetail('5369968')"/>
    <hyperlink ref="B29" r:id="rId17" display="javascript:showAFIDDetail('5370107')"/>
    <hyperlink ref="B30" r:id="rId18" display="javascript:showAFIDDetail('5370665')"/>
    <hyperlink ref="B31" r:id="rId19" display="javascript:showAFIDDetail('5370659')"/>
    <hyperlink ref="B34" r:id="rId20" display="javascript:showAFIDDetail('5369442')"/>
    <hyperlink ref="B35" r:id="rId21" display="javascript:showAFIDDetail('5370639')"/>
    <hyperlink ref="B36" r:id="rId22" display="javascript:showAFIDDetail('5369525')"/>
    <hyperlink ref="B37" r:id="rId23" display="javascript:showAFIDDetail('5369590')"/>
    <hyperlink ref="B38" r:id="rId24" display="javascript:showAFIDDetail('5369973')"/>
    <hyperlink ref="B39" r:id="rId25" display="javascript:showAFIDDetail('5370312')"/>
    <hyperlink ref="B40" r:id="rId26" display="javascript:showAFIDDetail('5370684')"/>
    <hyperlink ref="B41" r:id="rId27" display="javascript:showAFIDDetail('5370327')"/>
    <hyperlink ref="B42" r:id="rId28" display="javascript:showAFIDDetail('5370102')"/>
    <hyperlink ref="B43" r:id="rId29" display="javascript:showAFIDDetail('5370323')"/>
    <hyperlink ref="B44" r:id="rId30" display="javascript:showAFIDDetail('5370319')"/>
    <hyperlink ref="B45" r:id="rId31" display="javascript:showAFIDDetail('5370333')"/>
    <hyperlink ref="B46" r:id="rId32" display="javascript:showAFIDDetail('5369595')"/>
  </hyperlinks>
  <pageMargins left="0.15748031496062992" right="0.15748031496062992" top="0.23622047244094491" bottom="0.31496062992125984" header="0.15748031496062992" footer="0.15748031496062992"/>
  <pageSetup paperSize="9" scale="45" orientation="landscape" r:id="rId33"/>
  <headerFooter>
    <oddFooter>&amp;C&amp;"-,Bold"&amp;14Page &amp;P of &amp;N</oddFooter>
  </headerFooter>
  <drawing r:id="rId34"/>
</worksheet>
</file>

<file path=xl/worksheets/sheet8.xml><?xml version="1.0" encoding="utf-8"?>
<worksheet xmlns="http://schemas.openxmlformats.org/spreadsheetml/2006/main" xmlns:r="http://schemas.openxmlformats.org/officeDocument/2006/relationships">
  <dimension ref="A1:K8"/>
  <sheetViews>
    <sheetView workbookViewId="0">
      <selection activeCell="I6" sqref="I6:K6"/>
    </sheetView>
  </sheetViews>
  <sheetFormatPr defaultColWidth="10.28515625" defaultRowHeight="15"/>
  <cols>
    <col min="1" max="1" width="9.85546875" customWidth="1"/>
    <col min="4" max="4" width="17" customWidth="1"/>
    <col min="8" max="8" width="5.85546875" customWidth="1"/>
    <col min="9" max="9" width="9.140625" customWidth="1"/>
    <col min="10" max="10" width="8.140625" customWidth="1"/>
    <col min="11" max="11" width="18.140625" customWidth="1"/>
  </cols>
  <sheetData>
    <row r="1" spans="1:11" ht="27.75" thickBot="1">
      <c r="A1" s="315" t="s">
        <v>243</v>
      </c>
      <c r="B1" s="316"/>
      <c r="C1" s="316"/>
      <c r="D1" s="316"/>
      <c r="E1" s="316"/>
      <c r="F1" s="316"/>
      <c r="G1" s="316"/>
      <c r="H1" s="316"/>
      <c r="I1" s="316"/>
      <c r="J1" s="316"/>
      <c r="K1" s="317"/>
    </row>
    <row r="2" spans="1:11" ht="21" thickBot="1">
      <c r="A2" s="30" t="s">
        <v>114</v>
      </c>
      <c r="B2" s="327" t="s">
        <v>115</v>
      </c>
      <c r="C2" s="328"/>
      <c r="D2" s="329"/>
      <c r="E2" s="327" t="s">
        <v>116</v>
      </c>
      <c r="F2" s="328"/>
      <c r="G2" s="328"/>
      <c r="H2" s="329"/>
      <c r="I2" s="328" t="s">
        <v>31</v>
      </c>
      <c r="J2" s="328"/>
      <c r="K2" s="329"/>
    </row>
    <row r="3" spans="1:11" ht="20.25">
      <c r="A3" s="33">
        <v>1</v>
      </c>
      <c r="B3" s="318" t="s">
        <v>117</v>
      </c>
      <c r="C3" s="319"/>
      <c r="D3" s="320"/>
      <c r="E3" s="321" t="s">
        <v>118</v>
      </c>
      <c r="F3" s="322"/>
      <c r="G3" s="322"/>
      <c r="H3" s="323"/>
      <c r="I3" s="324"/>
      <c r="J3" s="325"/>
      <c r="K3" s="326"/>
    </row>
    <row r="4" spans="1:11" ht="20.25">
      <c r="A4" s="68">
        <v>2</v>
      </c>
      <c r="B4" s="308" t="s">
        <v>119</v>
      </c>
      <c r="C4" s="309"/>
      <c r="D4" s="310"/>
      <c r="E4" s="308" t="s">
        <v>118</v>
      </c>
      <c r="F4" s="309"/>
      <c r="G4" s="309"/>
      <c r="H4" s="311"/>
      <c r="I4" s="312"/>
      <c r="J4" s="313"/>
      <c r="K4" s="314"/>
    </row>
    <row r="5" spans="1:11" ht="20.25">
      <c r="A5" s="68">
        <v>3</v>
      </c>
      <c r="B5" s="308" t="s">
        <v>120</v>
      </c>
      <c r="C5" s="309"/>
      <c r="D5" s="310"/>
      <c r="E5" s="308" t="s">
        <v>118</v>
      </c>
      <c r="F5" s="309"/>
      <c r="G5" s="309"/>
      <c r="H5" s="311"/>
      <c r="I5" s="330"/>
      <c r="J5" s="331"/>
      <c r="K5" s="332"/>
    </row>
    <row r="6" spans="1:11" ht="20.25">
      <c r="A6" s="68">
        <v>4</v>
      </c>
      <c r="B6" s="308" t="s">
        <v>121</v>
      </c>
      <c r="C6" s="309"/>
      <c r="D6" s="310"/>
      <c r="E6" s="333" t="s">
        <v>118</v>
      </c>
      <c r="F6" s="334"/>
      <c r="G6" s="334"/>
      <c r="H6" s="335"/>
      <c r="I6" s="330"/>
      <c r="J6" s="336"/>
      <c r="K6" s="337"/>
    </row>
    <row r="7" spans="1:11" ht="20.25">
      <c r="A7" s="68">
        <v>5</v>
      </c>
      <c r="B7" s="308" t="s">
        <v>122</v>
      </c>
      <c r="C7" s="309"/>
      <c r="D7" s="310"/>
      <c r="E7" s="333" t="s">
        <v>118</v>
      </c>
      <c r="F7" s="334"/>
      <c r="G7" s="334"/>
      <c r="H7" s="335"/>
      <c r="I7" s="330"/>
      <c r="J7" s="336"/>
      <c r="K7" s="337"/>
    </row>
    <row r="8" spans="1:11" ht="21" thickBot="1">
      <c r="A8" s="69">
        <v>6</v>
      </c>
      <c r="B8" s="338" t="s">
        <v>123</v>
      </c>
      <c r="C8" s="339"/>
      <c r="D8" s="340"/>
      <c r="E8" s="341" t="s">
        <v>118</v>
      </c>
      <c r="F8" s="342"/>
      <c r="G8" s="342"/>
      <c r="H8" s="343"/>
      <c r="I8" s="344" t="s">
        <v>39</v>
      </c>
      <c r="J8" s="345"/>
      <c r="K8" s="346"/>
    </row>
  </sheetData>
  <mergeCells count="22">
    <mergeCell ref="B7:D7"/>
    <mergeCell ref="E7:H7"/>
    <mergeCell ref="I7:K7"/>
    <mergeCell ref="B8:D8"/>
    <mergeCell ref="E8:H8"/>
    <mergeCell ref="I8:K8"/>
    <mergeCell ref="B5:D5"/>
    <mergeCell ref="E5:H5"/>
    <mergeCell ref="I5:K5"/>
    <mergeCell ref="B6:D6"/>
    <mergeCell ref="E6:H6"/>
    <mergeCell ref="I6:K6"/>
    <mergeCell ref="B4:D4"/>
    <mergeCell ref="E4:H4"/>
    <mergeCell ref="I4:K4"/>
    <mergeCell ref="A1:K1"/>
    <mergeCell ref="B3:D3"/>
    <mergeCell ref="E3:H3"/>
    <mergeCell ref="I3:K3"/>
    <mergeCell ref="B2:D2"/>
    <mergeCell ref="E2:H2"/>
    <mergeCell ref="I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T9"/>
  <sheetViews>
    <sheetView workbookViewId="0">
      <selection sqref="A1:T2"/>
    </sheetView>
  </sheetViews>
  <sheetFormatPr defaultColWidth="10.5703125" defaultRowHeight="15"/>
  <cols>
    <col min="3" max="3" width="13.42578125" bestFit="1" customWidth="1"/>
    <col min="5" max="5" width="12.42578125" customWidth="1"/>
    <col min="8" max="8" width="11.85546875" customWidth="1"/>
    <col min="9" max="9" width="12.42578125" customWidth="1"/>
    <col min="13" max="13" width="14.7109375" customWidth="1"/>
    <col min="14" max="14" width="13.7109375" customWidth="1"/>
    <col min="16" max="16" width="12.42578125" customWidth="1"/>
  </cols>
  <sheetData>
    <row r="1" spans="1:20" ht="42" customHeight="1">
      <c r="A1" s="298" t="s">
        <v>241</v>
      </c>
      <c r="B1" s="298"/>
      <c r="C1" s="298"/>
      <c r="D1" s="298"/>
      <c r="E1" s="298"/>
      <c r="F1" s="298"/>
      <c r="G1" s="298"/>
      <c r="H1" s="298"/>
      <c r="I1" s="298"/>
      <c r="J1" s="298"/>
      <c r="K1" s="298"/>
      <c r="L1" s="298"/>
      <c r="M1" s="298"/>
      <c r="N1" s="298"/>
      <c r="O1" s="298"/>
      <c r="P1" s="298"/>
      <c r="Q1" s="298"/>
      <c r="R1" s="298"/>
      <c r="S1" s="298"/>
      <c r="T1" s="298"/>
    </row>
    <row r="2" spans="1:20">
      <c r="A2" s="298"/>
      <c r="B2" s="298"/>
      <c r="C2" s="298"/>
      <c r="D2" s="298"/>
      <c r="E2" s="298"/>
      <c r="F2" s="298"/>
      <c r="G2" s="298"/>
      <c r="H2" s="298"/>
      <c r="I2" s="298"/>
      <c r="J2" s="298"/>
      <c r="K2" s="298"/>
      <c r="L2" s="298"/>
      <c r="M2" s="298"/>
      <c r="N2" s="298"/>
      <c r="O2" s="298"/>
      <c r="P2" s="298"/>
      <c r="Q2" s="298"/>
      <c r="R2" s="298"/>
      <c r="S2" s="298"/>
      <c r="T2" s="298"/>
    </row>
    <row r="3" spans="1:20" ht="16.5" thickBot="1">
      <c r="A3" s="52"/>
      <c r="B3" s="52"/>
      <c r="C3" s="52"/>
      <c r="D3" s="52"/>
      <c r="E3" s="52"/>
      <c r="F3" s="52"/>
      <c r="G3" s="52"/>
      <c r="H3" s="52"/>
      <c r="I3" s="52"/>
      <c r="J3" s="52"/>
      <c r="K3" s="52"/>
      <c r="L3" s="52"/>
      <c r="M3" s="52"/>
      <c r="N3" s="52"/>
      <c r="O3" s="52"/>
      <c r="P3" s="52"/>
      <c r="Q3" s="52"/>
      <c r="R3" s="52"/>
      <c r="S3" s="52"/>
      <c r="T3" s="52"/>
    </row>
    <row r="4" spans="1:20" ht="16.5" thickBot="1">
      <c r="A4" s="53" t="s">
        <v>124</v>
      </c>
      <c r="B4" s="54" t="s">
        <v>125</v>
      </c>
      <c r="C4" s="350" t="s">
        <v>127</v>
      </c>
      <c r="D4" s="353" t="s">
        <v>128</v>
      </c>
      <c r="E4" s="354"/>
      <c r="F4" s="354"/>
      <c r="G4" s="354"/>
      <c r="H4" s="354"/>
      <c r="I4" s="354"/>
      <c r="J4" s="354"/>
      <c r="K4" s="354"/>
      <c r="L4" s="355"/>
      <c r="M4" s="353" t="s">
        <v>129</v>
      </c>
      <c r="N4" s="354"/>
      <c r="O4" s="354"/>
      <c r="P4" s="354"/>
      <c r="Q4" s="355"/>
      <c r="R4" s="55"/>
      <c r="S4" s="55"/>
      <c r="T4" s="56"/>
    </row>
    <row r="5" spans="1:20" ht="32.25" thickBot="1">
      <c r="A5" s="57" t="s">
        <v>130</v>
      </c>
      <c r="B5" s="58" t="s">
        <v>126</v>
      </c>
      <c r="C5" s="351"/>
      <c r="D5" s="356" t="s">
        <v>131</v>
      </c>
      <c r="E5" s="357"/>
      <c r="F5" s="358"/>
      <c r="G5" s="359" t="s">
        <v>132</v>
      </c>
      <c r="H5" s="58" t="s">
        <v>133</v>
      </c>
      <c r="I5" s="58" t="s">
        <v>135</v>
      </c>
      <c r="J5" s="359" t="s">
        <v>137</v>
      </c>
      <c r="K5" s="359" t="s">
        <v>138</v>
      </c>
      <c r="L5" s="359" t="s">
        <v>139</v>
      </c>
      <c r="M5" s="58" t="s">
        <v>133</v>
      </c>
      <c r="N5" s="58" t="s">
        <v>141</v>
      </c>
      <c r="O5" s="59"/>
      <c r="P5" s="59"/>
      <c r="Q5" s="59"/>
      <c r="R5" s="59"/>
      <c r="S5" s="59"/>
      <c r="T5" s="60"/>
    </row>
    <row r="6" spans="1:20" ht="32.25" thickBot="1">
      <c r="A6" s="57" t="s">
        <v>143</v>
      </c>
      <c r="B6" s="57"/>
      <c r="C6" s="352"/>
      <c r="D6" s="57" t="s">
        <v>144</v>
      </c>
      <c r="E6" s="58" t="s">
        <v>24</v>
      </c>
      <c r="F6" s="57" t="s">
        <v>143</v>
      </c>
      <c r="G6" s="352"/>
      <c r="H6" s="57" t="s">
        <v>134</v>
      </c>
      <c r="I6" s="57" t="s">
        <v>136</v>
      </c>
      <c r="J6" s="352"/>
      <c r="K6" s="352"/>
      <c r="L6" s="352"/>
      <c r="M6" s="57" t="s">
        <v>140</v>
      </c>
      <c r="N6" s="57" t="s">
        <v>142</v>
      </c>
      <c r="O6" s="57" t="s">
        <v>144</v>
      </c>
      <c r="P6" s="58" t="s">
        <v>24</v>
      </c>
      <c r="Q6" s="59"/>
      <c r="R6" s="59"/>
      <c r="S6" s="59"/>
      <c r="T6" s="60"/>
    </row>
    <row r="7" spans="1:20" ht="32.25" thickBot="1">
      <c r="A7" s="57" t="s">
        <v>147</v>
      </c>
      <c r="B7" s="57" t="s">
        <v>148</v>
      </c>
      <c r="C7" s="57" t="s">
        <v>149</v>
      </c>
      <c r="D7" s="57" t="s">
        <v>150</v>
      </c>
      <c r="E7" s="57" t="s">
        <v>145</v>
      </c>
      <c r="F7" s="57" t="s">
        <v>151</v>
      </c>
      <c r="G7" s="57" t="s">
        <v>152</v>
      </c>
      <c r="H7" s="57" t="s">
        <v>153</v>
      </c>
      <c r="I7" s="57" t="s">
        <v>154</v>
      </c>
      <c r="J7" s="57" t="s">
        <v>155</v>
      </c>
      <c r="K7" s="57" t="s">
        <v>156</v>
      </c>
      <c r="L7" s="57" t="s">
        <v>157</v>
      </c>
      <c r="M7" s="57" t="s">
        <v>158</v>
      </c>
      <c r="N7" s="57" t="s">
        <v>159</v>
      </c>
      <c r="O7" s="57" t="s">
        <v>160</v>
      </c>
      <c r="P7" s="57" t="s">
        <v>146</v>
      </c>
      <c r="Q7" s="59"/>
      <c r="R7" s="59"/>
      <c r="S7" s="59"/>
      <c r="T7" s="60"/>
    </row>
    <row r="8" spans="1:20" ht="16.5" thickBot="1">
      <c r="A8" s="347" t="s">
        <v>242</v>
      </c>
      <c r="B8" s="348"/>
      <c r="C8" s="348"/>
      <c r="D8" s="348"/>
      <c r="E8" s="348"/>
      <c r="F8" s="348"/>
      <c r="G8" s="348"/>
      <c r="H8" s="348"/>
      <c r="I8" s="348"/>
      <c r="J8" s="348"/>
      <c r="K8" s="348"/>
      <c r="L8" s="348"/>
      <c r="M8" s="348"/>
      <c r="N8" s="348"/>
      <c r="O8" s="348"/>
      <c r="P8" s="348"/>
      <c r="Q8" s="348"/>
      <c r="R8" s="348"/>
      <c r="S8" s="348"/>
      <c r="T8" s="349"/>
    </row>
    <row r="9" spans="1:20" ht="16.5" thickBot="1">
      <c r="A9" s="61">
        <v>1</v>
      </c>
      <c r="B9" s="62" t="s">
        <v>161</v>
      </c>
      <c r="C9" s="63">
        <v>53</v>
      </c>
      <c r="D9" s="64"/>
      <c r="E9" s="64">
        <v>34</v>
      </c>
      <c r="F9" s="65"/>
      <c r="G9" s="66"/>
      <c r="H9" s="66"/>
      <c r="I9" s="67"/>
      <c r="J9" s="63">
        <v>15</v>
      </c>
      <c r="K9" s="63">
        <v>49</v>
      </c>
      <c r="L9" s="61">
        <v>92.45</v>
      </c>
      <c r="M9" s="63">
        <v>3</v>
      </c>
      <c r="N9" s="63">
        <v>1</v>
      </c>
      <c r="O9" s="63"/>
      <c r="P9" s="63">
        <v>4</v>
      </c>
      <c r="Q9" s="61">
        <v>7.55</v>
      </c>
      <c r="R9" s="59"/>
      <c r="S9" s="59"/>
      <c r="T9" s="60"/>
    </row>
  </sheetData>
  <mergeCells count="10">
    <mergeCell ref="A8:T8"/>
    <mergeCell ref="A1:T2"/>
    <mergeCell ref="C4:C6"/>
    <mergeCell ref="D4:L4"/>
    <mergeCell ref="M4:Q4"/>
    <mergeCell ref="D5:F5"/>
    <mergeCell ref="G5:G6"/>
    <mergeCell ref="J5:J6"/>
    <mergeCell ref="K5:K6"/>
    <mergeCell ref="L5:L6"/>
  </mergeCells>
  <hyperlinks>
    <hyperlink ref="C9" r:id="rId1" display="javascript:drillDown('ALL','ALL','RPT','DV','SDAH')"/>
    <hyperlink ref="D9" r:id="rId2" display="javascript:drillDown('ALL','RTIS','ACT','DV','SDAH')"/>
    <hyperlink ref="E9" r:id="rId3" display="javascript:drillDown('RTIS','RTIS','RPT','DV','SDAH')"/>
    <hyperlink ref="G9" r:id="rId4" display="javascript:drillDown('ALL','RMLT','ACT','DV','SDAH')"/>
    <hyperlink ref="H9" r:id="rId5" display="javascript:drillDown('RMLT','RMLT','RPT','DV','SDAH')"/>
    <hyperlink ref="J9" r:id="rId6" display="javascript:drillDown('DATA_LOGGER','','RPT','DV','SDAH')"/>
    <hyperlink ref="K9" r:id="rId7" display="javascript:drillDown('TOTAL_AUTOMATIC','','RPT','DV','SDAH')"/>
    <hyperlink ref="M9" r:id="rId8" display="javascript:drillDown('TSR','','RPT','DV','SDAH')"/>
    <hyperlink ref="N9" r:id="rId9" display="javascript:drillDown('CONTROLLER','','RPT','DV','SDAH')"/>
    <hyperlink ref="O9" r:id="rId10" display="javascript:drillDown('PAMUSER','','RPT','DV','SDAH')"/>
    <hyperlink ref="P9" r:id="rId11" display="javascript:drillDown('TOTAL_MANUAL','','RPT','DV','SDAH')"/>
  </hyperlinks>
  <pageMargins left="0.7" right="0.7" top="0.75" bottom="0.75" header="0.3" footer="0.3"/>
  <pageSetup paperSize="9" orientation="portrait" r:id="rId12"/>
  <drawing r:id="rId13"/>
</worksheet>
</file>

<file path=xl/worksheets/sheet10.xml><?xml version="1.0" encoding="utf-8"?>
<worksheet xmlns="http://schemas.openxmlformats.org/spreadsheetml/2006/main" xmlns:r="http://schemas.openxmlformats.org/officeDocument/2006/relationships">
  <dimension ref="A1:M23"/>
  <sheetViews>
    <sheetView zoomScale="80" zoomScaleNormal="80" workbookViewId="0">
      <selection activeCell="G16" sqref="G16:G17"/>
    </sheetView>
  </sheetViews>
  <sheetFormatPr defaultRowHeight="15"/>
  <cols>
    <col min="1" max="1" width="11.7109375" style="1" customWidth="1"/>
    <col min="2" max="2" width="12.42578125" style="1" customWidth="1"/>
    <col min="3" max="3" width="11.28515625" style="1" customWidth="1"/>
    <col min="4" max="4" width="12.140625" style="1" customWidth="1"/>
    <col min="5" max="5" width="11.7109375" style="1" customWidth="1"/>
    <col min="6" max="6" width="17.85546875" style="1"/>
    <col min="7" max="7" width="26.42578125" style="1" customWidth="1"/>
    <col min="8" max="9" width="18.85546875" style="1" bestFit="1" customWidth="1"/>
    <col min="10" max="12" width="17.85546875" style="1"/>
    <col min="13" max="13" width="51.7109375" style="1" customWidth="1"/>
    <col min="14" max="16384" width="9.140625" style="1"/>
  </cols>
  <sheetData>
    <row r="1" spans="1:13" ht="34.5" thickBot="1">
      <c r="A1" s="369" t="s">
        <v>240</v>
      </c>
      <c r="B1" s="369"/>
      <c r="C1" s="369"/>
      <c r="D1" s="369"/>
      <c r="E1" s="369"/>
      <c r="F1" s="369"/>
      <c r="G1" s="369"/>
      <c r="H1" s="369"/>
      <c r="I1" s="369"/>
      <c r="J1" s="369"/>
      <c r="K1" s="369"/>
      <c r="L1" s="369"/>
      <c r="M1" s="369"/>
    </row>
    <row r="2" spans="1:13" ht="18">
      <c r="A2" s="370" t="s">
        <v>162</v>
      </c>
      <c r="B2" s="372" t="s">
        <v>163</v>
      </c>
      <c r="C2" s="372" t="s">
        <v>164</v>
      </c>
      <c r="D2" s="372" t="s">
        <v>165</v>
      </c>
      <c r="E2" s="372" t="s">
        <v>166</v>
      </c>
      <c r="F2" s="372" t="s">
        <v>167</v>
      </c>
      <c r="G2" s="372" t="s">
        <v>168</v>
      </c>
      <c r="H2" s="372" t="s">
        <v>169</v>
      </c>
      <c r="I2" s="372"/>
      <c r="J2" s="372" t="s">
        <v>170</v>
      </c>
      <c r="K2" s="372" t="s">
        <v>171</v>
      </c>
      <c r="L2" s="372" t="s">
        <v>172</v>
      </c>
      <c r="M2" s="374" t="s">
        <v>173</v>
      </c>
    </row>
    <row r="3" spans="1:13" ht="18.75" thickBot="1">
      <c r="A3" s="371"/>
      <c r="B3" s="373"/>
      <c r="C3" s="373"/>
      <c r="D3" s="373"/>
      <c r="E3" s="373"/>
      <c r="F3" s="373"/>
      <c r="G3" s="373"/>
      <c r="H3" s="70" t="s">
        <v>174</v>
      </c>
      <c r="I3" s="70" t="s">
        <v>175</v>
      </c>
      <c r="J3" s="373"/>
      <c r="K3" s="373"/>
      <c r="L3" s="373"/>
      <c r="M3" s="375"/>
    </row>
    <row r="4" spans="1:13">
      <c r="A4" s="360" t="s">
        <v>239</v>
      </c>
      <c r="B4" s="361"/>
      <c r="C4" s="361"/>
      <c r="D4" s="361"/>
      <c r="E4" s="361"/>
      <c r="F4" s="361"/>
      <c r="G4" s="361"/>
      <c r="H4" s="361"/>
      <c r="I4" s="361"/>
      <c r="J4" s="361"/>
      <c r="K4" s="361"/>
      <c r="L4" s="361"/>
      <c r="M4" s="362"/>
    </row>
    <row r="5" spans="1:13">
      <c r="A5" s="363"/>
      <c r="B5" s="364"/>
      <c r="C5" s="364"/>
      <c r="D5" s="364"/>
      <c r="E5" s="364"/>
      <c r="F5" s="364"/>
      <c r="G5" s="364"/>
      <c r="H5" s="364"/>
      <c r="I5" s="364"/>
      <c r="J5" s="364"/>
      <c r="K5" s="364"/>
      <c r="L5" s="364"/>
      <c r="M5" s="365"/>
    </row>
    <row r="6" spans="1:13">
      <c r="A6" s="363"/>
      <c r="B6" s="364"/>
      <c r="C6" s="364"/>
      <c r="D6" s="364"/>
      <c r="E6" s="364"/>
      <c r="F6" s="364"/>
      <c r="G6" s="364"/>
      <c r="H6" s="364"/>
      <c r="I6" s="364"/>
      <c r="J6" s="364"/>
      <c r="K6" s="364"/>
      <c r="L6" s="364"/>
      <c r="M6" s="365"/>
    </row>
    <row r="7" spans="1:13" ht="12" customHeight="1">
      <c r="A7" s="363"/>
      <c r="B7" s="364"/>
      <c r="C7" s="364"/>
      <c r="D7" s="364"/>
      <c r="E7" s="364"/>
      <c r="F7" s="364"/>
      <c r="G7" s="364"/>
      <c r="H7" s="364"/>
      <c r="I7" s="364"/>
      <c r="J7" s="364"/>
      <c r="K7" s="364"/>
      <c r="L7" s="364"/>
      <c r="M7" s="365"/>
    </row>
    <row r="8" spans="1:13" hidden="1">
      <c r="A8" s="363"/>
      <c r="B8" s="364"/>
      <c r="C8" s="364"/>
      <c r="D8" s="364"/>
      <c r="E8" s="364"/>
      <c r="F8" s="364"/>
      <c r="G8" s="364"/>
      <c r="H8" s="364"/>
      <c r="I8" s="364"/>
      <c r="J8" s="364"/>
      <c r="K8" s="364"/>
      <c r="L8" s="364"/>
      <c r="M8" s="365"/>
    </row>
    <row r="9" spans="1:13" hidden="1">
      <c r="A9" s="363"/>
      <c r="B9" s="364"/>
      <c r="C9" s="364"/>
      <c r="D9" s="364"/>
      <c r="E9" s="364"/>
      <c r="F9" s="364"/>
      <c r="G9" s="364"/>
      <c r="H9" s="364"/>
      <c r="I9" s="364"/>
      <c r="J9" s="364"/>
      <c r="K9" s="364"/>
      <c r="L9" s="364"/>
      <c r="M9" s="365"/>
    </row>
    <row r="10" spans="1:13" hidden="1">
      <c r="A10" s="363"/>
      <c r="B10" s="364"/>
      <c r="C10" s="364"/>
      <c r="D10" s="364"/>
      <c r="E10" s="364"/>
      <c r="F10" s="364"/>
      <c r="G10" s="364"/>
      <c r="H10" s="364"/>
      <c r="I10" s="364"/>
      <c r="J10" s="364"/>
      <c r="K10" s="364"/>
      <c r="L10" s="364"/>
      <c r="M10" s="365"/>
    </row>
    <row r="11" spans="1:13" ht="15.75" hidden="1" thickBot="1">
      <c r="A11" s="366"/>
      <c r="B11" s="367"/>
      <c r="C11" s="367"/>
      <c r="D11" s="367"/>
      <c r="E11" s="367"/>
      <c r="F11" s="367"/>
      <c r="G11" s="367"/>
      <c r="H11" s="367"/>
      <c r="I11" s="367"/>
      <c r="J11" s="367"/>
      <c r="K11" s="367"/>
      <c r="L11" s="367"/>
      <c r="M11" s="368"/>
    </row>
    <row r="15" spans="1:13" ht="34.5" thickBot="1">
      <c r="A15" s="369" t="s">
        <v>244</v>
      </c>
      <c r="B15" s="369"/>
      <c r="C15" s="369"/>
      <c r="D15" s="369"/>
      <c r="E15" s="369"/>
      <c r="F15" s="369"/>
      <c r="G15" s="369"/>
      <c r="H15" s="369"/>
      <c r="I15" s="369"/>
      <c r="J15" s="369"/>
      <c r="K15" s="369"/>
      <c r="L15" s="369"/>
      <c r="M15" s="369"/>
    </row>
    <row r="16" spans="1:13">
      <c r="A16" s="376" t="s">
        <v>162</v>
      </c>
      <c r="B16" s="378" t="s">
        <v>163</v>
      </c>
      <c r="C16" s="378" t="s">
        <v>164</v>
      </c>
      <c r="D16" s="378" t="s">
        <v>165</v>
      </c>
      <c r="E16" s="378" t="s">
        <v>166</v>
      </c>
      <c r="F16" s="378" t="s">
        <v>167</v>
      </c>
      <c r="G16" s="378" t="s">
        <v>168</v>
      </c>
      <c r="H16" s="378" t="s">
        <v>169</v>
      </c>
      <c r="I16" s="378"/>
      <c r="J16" s="378" t="s">
        <v>170</v>
      </c>
      <c r="K16" s="378" t="s">
        <v>171</v>
      </c>
      <c r="L16" s="378" t="s">
        <v>172</v>
      </c>
      <c r="M16" s="380" t="s">
        <v>173</v>
      </c>
    </row>
    <row r="17" spans="1:13" ht="15.75" thickBot="1">
      <c r="A17" s="377"/>
      <c r="B17" s="379"/>
      <c r="C17" s="379"/>
      <c r="D17" s="379"/>
      <c r="E17" s="379"/>
      <c r="F17" s="379"/>
      <c r="G17" s="379"/>
      <c r="H17" s="71" t="s">
        <v>174</v>
      </c>
      <c r="I17" s="71" t="s">
        <v>175</v>
      </c>
      <c r="J17" s="379"/>
      <c r="K17" s="379"/>
      <c r="L17" s="379"/>
      <c r="M17" s="381"/>
    </row>
    <row r="18" spans="1:13" ht="210.75" thickBot="1">
      <c r="A18" s="34">
        <v>1</v>
      </c>
      <c r="B18" s="34">
        <v>5369440</v>
      </c>
      <c r="C18" s="34" t="s">
        <v>176</v>
      </c>
      <c r="D18" s="34" t="s">
        <v>161</v>
      </c>
      <c r="E18" s="34" t="s">
        <v>177</v>
      </c>
      <c r="F18" s="34" t="s">
        <v>208</v>
      </c>
      <c r="G18" s="72" t="s">
        <v>245</v>
      </c>
      <c r="H18" s="35">
        <v>46026.104166666664</v>
      </c>
      <c r="I18" s="35">
        <v>46026.208333333336</v>
      </c>
      <c r="J18" s="34" t="s">
        <v>246</v>
      </c>
      <c r="K18" s="34" t="s">
        <v>187</v>
      </c>
      <c r="L18" s="34" t="s">
        <v>247</v>
      </c>
      <c r="M18" s="73" t="s">
        <v>248</v>
      </c>
    </row>
    <row r="19" spans="1:13" ht="210.75" thickBot="1">
      <c r="A19" s="36">
        <v>2</v>
      </c>
      <c r="B19" s="36">
        <v>5369966</v>
      </c>
      <c r="C19" s="36" t="s">
        <v>176</v>
      </c>
      <c r="D19" s="36" t="s">
        <v>161</v>
      </c>
      <c r="E19" s="36" t="s">
        <v>177</v>
      </c>
      <c r="F19" s="36" t="s">
        <v>208</v>
      </c>
      <c r="G19" s="74" t="s">
        <v>249</v>
      </c>
      <c r="H19" s="37">
        <v>46026.426388888889</v>
      </c>
      <c r="I19" s="37">
        <v>46026.479166666664</v>
      </c>
      <c r="J19" s="36" t="s">
        <v>250</v>
      </c>
      <c r="K19" s="36" t="s">
        <v>251</v>
      </c>
      <c r="L19" s="36" t="s">
        <v>252</v>
      </c>
      <c r="M19" s="73" t="s">
        <v>253</v>
      </c>
    </row>
    <row r="20" spans="1:13" ht="409.6" thickBot="1">
      <c r="A20" s="36">
        <v>3</v>
      </c>
      <c r="B20" s="36">
        <v>5369968</v>
      </c>
      <c r="C20" s="36" t="s">
        <v>176</v>
      </c>
      <c r="D20" s="36" t="s">
        <v>161</v>
      </c>
      <c r="E20" s="36" t="s">
        <v>177</v>
      </c>
      <c r="F20" s="36" t="s">
        <v>219</v>
      </c>
      <c r="G20" s="74" t="s">
        <v>254</v>
      </c>
      <c r="H20" s="37">
        <v>46026.511805555558</v>
      </c>
      <c r="I20" s="37">
        <v>46026.536111111112</v>
      </c>
      <c r="J20" s="36" t="s">
        <v>255</v>
      </c>
      <c r="K20" s="36" t="s">
        <v>199</v>
      </c>
      <c r="L20" s="36" t="s">
        <v>256</v>
      </c>
      <c r="M20" s="73" t="s">
        <v>257</v>
      </c>
    </row>
    <row r="21" spans="1:13" ht="165.75" thickBot="1">
      <c r="A21" s="36">
        <v>4</v>
      </c>
      <c r="B21" s="36">
        <v>5370107</v>
      </c>
      <c r="C21" s="36" t="s">
        <v>176</v>
      </c>
      <c r="D21" s="36" t="s">
        <v>161</v>
      </c>
      <c r="E21" s="36" t="s">
        <v>177</v>
      </c>
      <c r="F21" s="36" t="s">
        <v>219</v>
      </c>
      <c r="G21" s="74" t="s">
        <v>258</v>
      </c>
      <c r="H21" s="37">
        <v>46026.831944444442</v>
      </c>
      <c r="I21" s="37">
        <v>46026.833333333336</v>
      </c>
      <c r="J21" s="36" t="s">
        <v>259</v>
      </c>
      <c r="K21" s="36" t="s">
        <v>187</v>
      </c>
      <c r="L21" s="36" t="s">
        <v>260</v>
      </c>
      <c r="M21" s="73" t="s">
        <v>261</v>
      </c>
    </row>
    <row r="22" spans="1:13" ht="390.75" thickBot="1">
      <c r="A22" s="36">
        <v>5</v>
      </c>
      <c r="B22" s="36">
        <v>5370665</v>
      </c>
      <c r="C22" s="36" t="s">
        <v>176</v>
      </c>
      <c r="D22" s="36" t="s">
        <v>161</v>
      </c>
      <c r="E22" s="36" t="s">
        <v>177</v>
      </c>
      <c r="F22" s="36" t="s">
        <v>262</v>
      </c>
      <c r="G22" s="74" t="s">
        <v>263</v>
      </c>
      <c r="H22" s="37">
        <v>46026.840277777781</v>
      </c>
      <c r="I22" s="37">
        <v>46026.863194444442</v>
      </c>
      <c r="J22" s="36" t="s">
        <v>264</v>
      </c>
      <c r="K22" s="36" t="s">
        <v>187</v>
      </c>
      <c r="L22" s="36" t="s">
        <v>190</v>
      </c>
      <c r="M22" s="73" t="s">
        <v>265</v>
      </c>
    </row>
    <row r="23" spans="1:13" ht="195.75" thickBot="1">
      <c r="A23" s="36">
        <v>6</v>
      </c>
      <c r="B23" s="36">
        <v>5370659</v>
      </c>
      <c r="C23" s="36" t="s">
        <v>176</v>
      </c>
      <c r="D23" s="36" t="s">
        <v>161</v>
      </c>
      <c r="E23" s="36" t="s">
        <v>177</v>
      </c>
      <c r="F23" s="36" t="s">
        <v>266</v>
      </c>
      <c r="G23" s="74" t="s">
        <v>267</v>
      </c>
      <c r="H23" s="37">
        <v>46026.88958333333</v>
      </c>
      <c r="I23" s="37">
        <v>46026.916666666664</v>
      </c>
      <c r="J23" s="36" t="s">
        <v>268</v>
      </c>
      <c r="K23" s="36" t="s">
        <v>237</v>
      </c>
      <c r="L23" s="36" t="s">
        <v>269</v>
      </c>
      <c r="M23" s="73" t="s">
        <v>270</v>
      </c>
    </row>
  </sheetData>
  <mergeCells count="27">
    <mergeCell ref="L16:L17"/>
    <mergeCell ref="M16:M17"/>
    <mergeCell ref="F16:F17"/>
    <mergeCell ref="G16:G17"/>
    <mergeCell ref="H16:I16"/>
    <mergeCell ref="J16:J17"/>
    <mergeCell ref="K16:K17"/>
    <mergeCell ref="A16:A17"/>
    <mergeCell ref="B16:B17"/>
    <mergeCell ref="C16:C17"/>
    <mergeCell ref="D16:D17"/>
    <mergeCell ref="E16:E17"/>
    <mergeCell ref="A4:M11"/>
    <mergeCell ref="A15:M15"/>
    <mergeCell ref="A1:M1"/>
    <mergeCell ref="A2:A3"/>
    <mergeCell ref="B2:B3"/>
    <mergeCell ref="C2:C3"/>
    <mergeCell ref="D2:D3"/>
    <mergeCell ref="E2:E3"/>
    <mergeCell ref="F2:F3"/>
    <mergeCell ref="G2:G3"/>
    <mergeCell ref="H2:I2"/>
    <mergeCell ref="J2:J3"/>
    <mergeCell ref="K2:K3"/>
    <mergeCell ref="L2:L3"/>
    <mergeCell ref="M2:M3"/>
  </mergeCells>
  <hyperlinks>
    <hyperlink ref="B18" r:id="rId1" tooltip="https://icms.indianrail.gov.in/reports/javascript:showAFIDDetail('5369440')" display="5369440"/>
    <hyperlink ref="B19" r:id="rId2" tooltip="https://icms.indianrail.gov.in/reports/javascript:showAFIDDetail('5369966')" display="5369966"/>
    <hyperlink ref="B20" r:id="rId3" tooltip="https://icms.indianrail.gov.in/reports/javascript:showAFIDDetail('5369968')" display="5369968"/>
    <hyperlink ref="B21" r:id="rId4" tooltip="https://icms.indianrail.gov.in/reports/javascript:showAFIDDetail('5370107')" display="5370107"/>
    <hyperlink ref="B22" r:id="rId5" tooltip="https://icms.indianrail.gov.in/reports/javascript:showAFIDDetail('5370665')" display="5370665"/>
    <hyperlink ref="B23" r:id="rId6" tooltip="https://icms.indianrail.gov.in/reports/javascript:showAFIDDetail('5370659')" display="5370659"/>
  </hyperlinks>
  <pageMargins left="0.7" right="0.7" top="0.75" bottom="0.75" header="0.3" footer="0.3"/>
  <drawing r:id="rId7"/>
</worksheet>
</file>

<file path=xl/worksheets/sheet11.xml><?xml version="1.0" encoding="utf-8"?>
<worksheet xmlns="http://schemas.openxmlformats.org/spreadsheetml/2006/main" xmlns:r="http://schemas.openxmlformats.org/officeDocument/2006/relationships">
  <dimension ref="A1:G3"/>
  <sheetViews>
    <sheetView workbookViewId="0">
      <selection activeCell="C2" sqref="C2"/>
    </sheetView>
  </sheetViews>
  <sheetFormatPr defaultRowHeight="15"/>
  <cols>
    <col min="1" max="1" width="9.140625" style="1"/>
    <col min="2" max="2" width="10.85546875" style="1" customWidth="1"/>
    <col min="3" max="3" width="24.5703125" style="1" customWidth="1"/>
    <col min="4" max="4" width="15.7109375" style="1" customWidth="1"/>
    <col min="5" max="5" width="14.140625" style="1" customWidth="1"/>
    <col min="6" max="6" width="31.28515625" style="1" customWidth="1"/>
    <col min="7" max="7" width="50.140625" style="1" customWidth="1"/>
    <col min="8" max="8" width="9.140625" style="1"/>
    <col min="9" max="9" width="9.85546875" style="1" customWidth="1"/>
    <col min="10" max="16384" width="9.140625" style="1"/>
  </cols>
  <sheetData>
    <row r="1" spans="1:7" ht="24" thickBot="1">
      <c r="A1" s="382" t="s">
        <v>271</v>
      </c>
      <c r="B1" s="382"/>
      <c r="C1" s="382"/>
      <c r="D1" s="382"/>
      <c r="E1" s="382"/>
      <c r="F1" s="382"/>
      <c r="G1" s="382"/>
    </row>
    <row r="2" spans="1:7" ht="15.75" thickBot="1">
      <c r="A2" s="38" t="s">
        <v>200</v>
      </c>
      <c r="B2" s="39" t="s">
        <v>201</v>
      </c>
      <c r="C2" s="39" t="s">
        <v>202</v>
      </c>
      <c r="D2" s="39" t="s">
        <v>203</v>
      </c>
      <c r="E2" s="39" t="s">
        <v>204</v>
      </c>
      <c r="F2" s="39" t="s">
        <v>205</v>
      </c>
      <c r="G2" s="40" t="s">
        <v>31</v>
      </c>
    </row>
    <row r="3" spans="1:7">
      <c r="A3" s="75">
        <v>1</v>
      </c>
      <c r="B3" s="75" t="s">
        <v>272</v>
      </c>
      <c r="C3" s="75" t="s">
        <v>273</v>
      </c>
      <c r="D3" s="75" t="s">
        <v>274</v>
      </c>
      <c r="E3" s="75" t="s">
        <v>186</v>
      </c>
      <c r="F3" s="75" t="s">
        <v>275</v>
      </c>
      <c r="G3" s="76" t="s">
        <v>276</v>
      </c>
    </row>
  </sheetData>
  <mergeCells count="1">
    <mergeCell ref="A1:G1"/>
  </mergeCells>
  <hyperlinks>
    <hyperlink ref="B2" r:id="rId1" tooltip="https://icms.indianrail.gov.in/reports/javascript:showAFIDDetail('5357911')" display="535791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MISSION  OPERATION</vt:lpstr>
      <vt:lpstr>UNUSUAL REPORT</vt:lpstr>
      <vt:lpstr>PUNCTUALITY OF SUBURBAN</vt:lpstr>
      <vt:lpstr>SEC WISE  SUB FROM TRAINS.</vt:lpstr>
      <vt:lpstr>SLOT WISE  SUB</vt:lpstr>
      <vt:lpstr>PUNCTUALITY STATISTICS</vt:lpstr>
      <vt:lpstr>ASSET FAILURE</vt:lpstr>
      <vt:lpstr>ART-ARMV CRANE WB STATU</vt:lpstr>
      <vt:lpstr>Break up of terminating</vt:lpstr>
      <vt:lpstr>ICMS ASSET FAILURE</vt:lpstr>
      <vt:lpstr>GLUED JOINT 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2025-12-10T19:48:49Z</cp:lastPrinted>
  <dcterms:created xsi:type="dcterms:W3CDTF">2025-03-10T22:09:00Z</dcterms:created>
  <dcterms:modified xsi:type="dcterms:W3CDTF">2026-01-04T20:42:10Z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3BC74D7E366247C9868223499A77C5D4_12</vt:lpwstr>
  </property>
  <property fmtid="{D5CDD505-2E9C-101B-9397-08002B2CF9AE}" pid="3" name="KSOProductBuildVer">
    <vt:lpwstr>1033-12.2.0.21931</vt:lpwstr>
  </property>
</Properties>
</file>